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215" activeTab="1"/>
  </bookViews>
  <sheets>
    <sheet name="Data" sheetId="2" r:id="rId1"/>
    <sheet name="Part 1" sheetId="5" r:id="rId2"/>
    <sheet name="Part 2" sheetId="6" r:id="rId3"/>
    <sheet name="Part 3" sheetId="7" r:id="rId4"/>
    <sheet name="Sheet1" sheetId="8" state="hidden" r:id="rId5"/>
    <sheet name="Sheet2" sheetId="9" state="hidden" r:id="rId6"/>
    <sheet name="Sheet3" sheetId="10" state="hidden" r:id="rId7"/>
    <sheet name="Sheet4" sheetId="11" state="hidden" r:id="rId8"/>
    <sheet name="Sheet5" sheetId="12" state="hidden" r:id="rId9"/>
    <sheet name="Sheet6" sheetId="13" state="hidden" r:id="rId10"/>
    <sheet name="Sheet7" sheetId="14" state="hidden" r:id="rId11"/>
    <sheet name="Sheet8" sheetId="15" state="hidden" r:id="rId12"/>
  </sheets>
  <calcPr calcId="144525" iterate="1" iterateCount="100" iterateDelta="0.001"/>
</workbook>
</file>

<file path=xl/sharedStrings.xml><?xml version="1.0" encoding="utf-8"?>
<sst xmlns="http://schemas.openxmlformats.org/spreadsheetml/2006/main" count="235" uniqueCount="104">
  <si>
    <t>Date</t>
  </si>
  <si>
    <t>Period</t>
  </si>
  <si>
    <t>AAPL (Apple Inc) / $</t>
  </si>
  <si>
    <t>AAPL (Apple Inc) / Volume</t>
  </si>
  <si>
    <t>HON (Honeywell Inc)  /  $</t>
  </si>
  <si>
    <t>HON (Honeywell Inc)  Volume</t>
  </si>
  <si>
    <t>(i)</t>
  </si>
  <si>
    <t>DIFFERENCE IN ACTUAL AND FORECAST</t>
  </si>
  <si>
    <t>ACTUAL VALUE</t>
  </si>
  <si>
    <t>(ii)</t>
  </si>
  <si>
    <t>COST</t>
  </si>
  <si>
    <t>KO</t>
  </si>
  <si>
    <t>ALPHA</t>
  </si>
  <si>
    <t>Apple Inc Forecast</t>
  </si>
  <si>
    <t>Honeywell Inc Forecast</t>
  </si>
  <si>
    <t>Apple Inc (A-F)</t>
  </si>
  <si>
    <t>Honeywell Inc (A-F)</t>
  </si>
  <si>
    <t>ALPHA = 0.15</t>
  </si>
  <si>
    <t>ALPHA = 0.35</t>
  </si>
  <si>
    <t>ALPHA = 0.55</t>
  </si>
  <si>
    <t>ALPHA = 0.75</t>
  </si>
  <si>
    <t>TOTAL</t>
  </si>
  <si>
    <t>APP MAPD</t>
  </si>
  <si>
    <t>HON MAPD</t>
  </si>
  <si>
    <t>ALPHA=0.15</t>
  </si>
  <si>
    <t>ALPHA=0.35</t>
  </si>
  <si>
    <t>ALPHA=0.55</t>
  </si>
  <si>
    <t>ALPHA=0.75</t>
  </si>
  <si>
    <t>(iii)</t>
  </si>
  <si>
    <t>APP</t>
  </si>
  <si>
    <t>HON</t>
  </si>
  <si>
    <t>BETA</t>
  </si>
  <si>
    <t>APP Forecast</t>
  </si>
  <si>
    <t>HON Forecast</t>
  </si>
  <si>
    <t>APP T value</t>
  </si>
  <si>
    <t>HON T value</t>
  </si>
  <si>
    <t>APP Adj.Forecast</t>
  </si>
  <si>
    <t>HON Adj.Forecast</t>
  </si>
  <si>
    <t>APP |(A-F)/A|^2</t>
  </si>
  <si>
    <t>HON |(A-F)/A|^2</t>
  </si>
  <si>
    <t>BETA = 0.15</t>
  </si>
  <si>
    <t>BETA = 0.25</t>
  </si>
  <si>
    <t>BETA = 0.45</t>
  </si>
  <si>
    <t>BETA = 0.85</t>
  </si>
  <si>
    <t>APP MAPE</t>
  </si>
  <si>
    <t>HON MAPE</t>
  </si>
  <si>
    <t>BETA=0.15</t>
  </si>
  <si>
    <t>BETA=0.25</t>
  </si>
  <si>
    <t>BETA=0.45</t>
  </si>
  <si>
    <t>BETA=0.85</t>
  </si>
  <si>
    <t>Weighted Moving Average(APP)</t>
  </si>
  <si>
    <t>Weighted Moving Average(HON)</t>
  </si>
  <si>
    <t>ACTUAL VALUES FROM YAHOO</t>
  </si>
  <si>
    <t>simple regression</t>
  </si>
  <si>
    <r>
      <rPr>
        <b/>
        <sz val="12"/>
        <color rgb="FF000000"/>
        <rFont val="Calibri"/>
        <charset val="134"/>
      </rPr>
      <t xml:space="preserve">Absolute percentage error of APP
</t>
    </r>
    <r>
      <rPr>
        <sz val="12"/>
        <color rgb="FF000000"/>
        <rFont val="Calibri"/>
        <charset val="134"/>
      </rPr>
      <t>| (actual_value - forecasted_value) / actual_value | * 100</t>
    </r>
  </si>
  <si>
    <r>
      <rPr>
        <b/>
        <sz val="12"/>
        <color rgb="FF000000"/>
        <rFont val="Calibri"/>
        <charset val="134"/>
      </rPr>
      <t xml:space="preserve">Absolute percentage error of HON
</t>
    </r>
    <r>
      <rPr>
        <sz val="12"/>
        <color rgb="FF000000"/>
        <rFont val="Calibri"/>
        <charset val="134"/>
      </rPr>
      <t>| (actual_value - forecasted_value) / actual_value | * 100</t>
    </r>
  </si>
  <si>
    <t>Using linear regression for APP</t>
  </si>
  <si>
    <t>SUMMARY OUTPUT OF APP</t>
  </si>
  <si>
    <t>SUMMARY OUTPUT OF HON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</si>
  <si>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</si>
  <si>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</si>
  <si>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</si>
  <si>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</si>
  <si>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</si>
  <si>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</si>
  <si>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</si>
  <si>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</si>
  <si>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</si>
  <si>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</si>
  <si>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</si>
  <si>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</si>
  <si>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</si>
  <si>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</si>
  <si>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</si>
  <si>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</si>
  <si>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</si>
  <si>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</si>
  <si>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</si>
  <si>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</si>
  <si>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</si>
  <si>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RESIDUAL OUTPUT</t>
  </si>
  <si>
    <t>PROBABILITY OUTPUT</t>
  </si>
  <si>
    <t>Observation</t>
  </si>
  <si>
    <t>Predicted APP</t>
  </si>
  <si>
    <t>Residuals</t>
  </si>
  <si>
    <t>Standard Residuals</t>
  </si>
  <si>
    <t>Percentile</t>
  </si>
  <si>
    <t>Predicted HON</t>
  </si>
  <si>
    <t>MAPE OF APP=</t>
  </si>
  <si>
    <t>MAPE OF HON=</t>
  </si>
  <si>
    <t>mean=</t>
  </si>
  <si>
    <t>sd=</t>
  </si>
  <si>
    <t xml:space="preserve">H0: The residuals are normally distributed </t>
  </si>
  <si>
    <t>CHI SQUARE TEST TO CHECK FOR NORMALITY OF RESIDUALS</t>
  </si>
  <si>
    <t>Ha: The residuals are not normally distributed</t>
  </si>
  <si>
    <t>OBSERVED</t>
  </si>
  <si>
    <t>EXPECTED</t>
  </si>
  <si>
    <t>((Obs_Val - Exp_Val)^2)/Exp_Val</t>
  </si>
  <si>
    <t>Mean=</t>
  </si>
  <si>
    <t>Chi square value=</t>
  </si>
  <si>
    <t>Sd=</t>
  </si>
  <si>
    <t xml:space="preserve">p_Value
</t>
  </si>
  <si>
    <t>Df=</t>
  </si>
  <si>
    <t>Since p_value is less than 0.5 we cannot reject the null hypothesis.Hence the residuals are normally distributed.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</si>
</sst>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178" formatCode="0.0000"/>
  </numFmts>
  <fonts count="28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0000"/>
      <name val="Calibri"/>
      <charset val="134"/>
    </font>
    <font>
      <sz val="11"/>
      <color rgb="FF444444"/>
      <name val="Calibri"/>
      <charset val="1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374151"/>
      <name val="Calibri"/>
      <charset val="134"/>
    </font>
    <font>
      <sz val="12"/>
      <color rgb="FF444444"/>
      <name val="Calibri"/>
      <charset val="134"/>
    </font>
    <font>
      <sz val="12"/>
      <color rgb="FF374151"/>
      <name val="Söhne"/>
      <charset val="1"/>
    </font>
    <font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i/>
      <sz val="12"/>
      <color rgb="FF7F7F7F"/>
      <name val="Calibri"/>
      <charset val="134"/>
      <scheme val="minor"/>
    </font>
    <font>
      <sz val="12"/>
      <color rgb="FF9C570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8"/>
      <color theme="3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A7D00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3F3F76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2"/>
      <color rgb="FF0061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00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0" fillId="9" borderId="0" applyNumberFormat="0" applyBorder="0" applyAlignment="0" applyProtection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3" borderId="0" applyNumberFormat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6" fillId="6" borderId="29" applyNumberFormat="0" applyAlignment="0" applyProtection="0"/>
    <xf numFmtId="0" fontId="20" fillId="0" borderId="33" applyNumberFormat="0" applyFill="0" applyAlignment="0" applyProtection="0"/>
    <xf numFmtId="0" fontId="0" fillId="19" borderId="35" applyNumberFormat="0" applyFont="0" applyAlignment="0" applyProtection="0"/>
    <xf numFmtId="0" fontId="0" fillId="8" borderId="0" applyNumberFormat="0" applyBorder="0" applyAlignment="0" applyProtection="0"/>
    <xf numFmtId="0" fontId="23" fillId="0" borderId="0" applyNumberFormat="0" applyFill="0" applyBorder="0" applyAlignment="0" applyProtection="0"/>
    <xf numFmtId="0" fontId="0" fillId="27" borderId="0" applyNumberFormat="0" applyBorder="0" applyAlignment="0" applyProtection="0"/>
    <xf numFmtId="0" fontId="15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5" fillId="0" borderId="36" applyNumberFormat="0" applyFill="0" applyAlignment="0" applyProtection="0"/>
    <xf numFmtId="0" fontId="14" fillId="0" borderId="34" applyNumberFormat="0" applyFill="0" applyAlignment="0" applyProtection="0"/>
    <xf numFmtId="0" fontId="14" fillId="0" borderId="0" applyNumberFormat="0" applyFill="0" applyBorder="0" applyAlignment="0" applyProtection="0"/>
    <xf numFmtId="0" fontId="22" fillId="23" borderId="32" applyNumberFormat="0" applyAlignment="0" applyProtection="0"/>
    <xf numFmtId="0" fontId="0" fillId="7" borderId="0" applyNumberFormat="0" applyBorder="0" applyAlignment="0" applyProtection="0"/>
    <xf numFmtId="0" fontId="24" fillId="26" borderId="0" applyNumberFormat="0" applyBorder="0" applyAlignment="0" applyProtection="0"/>
    <xf numFmtId="0" fontId="26" fillId="15" borderId="37" applyNumberFormat="0" applyAlignment="0" applyProtection="0"/>
    <xf numFmtId="0" fontId="0" fillId="25" borderId="0" applyNumberFormat="0" applyBorder="0" applyAlignment="0" applyProtection="0"/>
    <xf numFmtId="0" fontId="19" fillId="15" borderId="32" applyNumberFormat="0" applyAlignment="0" applyProtection="0"/>
    <xf numFmtId="0" fontId="18" fillId="0" borderId="31" applyNumberFormat="0" applyFill="0" applyAlignment="0" applyProtection="0"/>
    <xf numFmtId="0" fontId="1" fillId="0" borderId="30" applyNumberFormat="0" applyFill="0" applyAlignment="0" applyProtection="0"/>
    <xf numFmtId="0" fontId="21" fillId="18" borderId="0" applyNumberFormat="0" applyBorder="0" applyAlignment="0" applyProtection="0"/>
    <xf numFmtId="0" fontId="13" fillId="11" borderId="0" applyNumberFormat="0" applyBorder="0" applyAlignment="0" applyProtection="0"/>
    <xf numFmtId="0" fontId="10" fillId="30" borderId="0" applyNumberFormat="0" applyBorder="0" applyAlignment="0" applyProtection="0"/>
    <xf numFmtId="0" fontId="0" fillId="32" borderId="0" applyNumberFormat="0" applyBorder="0" applyAlignment="0" applyProtection="0"/>
    <xf numFmtId="0" fontId="0" fillId="29" borderId="0" applyNumberFormat="0" applyBorder="0" applyAlignment="0" applyProtection="0"/>
    <xf numFmtId="0" fontId="10" fillId="28" borderId="0" applyNumberFormat="0" applyBorder="0" applyAlignment="0" applyProtection="0"/>
    <xf numFmtId="0" fontId="0" fillId="5" borderId="0" applyNumberFormat="0" applyBorder="0" applyAlignment="0" applyProtection="0"/>
    <xf numFmtId="0" fontId="0" fillId="24" borderId="0" applyNumberFormat="0" applyBorder="0" applyAlignment="0" applyProtection="0"/>
    <xf numFmtId="0" fontId="0" fillId="22" borderId="0" applyNumberFormat="0" applyBorder="0" applyAlignment="0" applyProtection="0"/>
    <xf numFmtId="0" fontId="10" fillId="14" borderId="0" applyNumberFormat="0" applyBorder="0" applyAlignment="0" applyProtection="0"/>
    <xf numFmtId="0" fontId="0" fillId="10" borderId="0" applyNumberFormat="0" applyBorder="0" applyAlignment="0" applyProtection="0"/>
    <xf numFmtId="0" fontId="10" fillId="21" borderId="0" applyNumberFormat="0" applyBorder="0" applyAlignment="0" applyProtection="0"/>
    <xf numFmtId="0" fontId="0" fillId="12" borderId="0" applyNumberFormat="0" applyBorder="0" applyAlignment="0" applyProtection="0"/>
    <xf numFmtId="0" fontId="0" fillId="33" borderId="0" applyNumberFormat="0" applyBorder="0" applyAlignment="0" applyProtection="0"/>
    <xf numFmtId="0" fontId="10" fillId="17" borderId="0" applyNumberFormat="0" applyBorder="0" applyAlignment="0" applyProtection="0"/>
    <xf numFmtId="0" fontId="0" fillId="16" borderId="0" applyNumberFormat="0" applyBorder="0" applyAlignment="0" applyProtection="0"/>
    <xf numFmtId="0" fontId="0" fillId="4" borderId="0" applyNumberFormat="0" applyBorder="0" applyAlignment="0" applyProtection="0"/>
    <xf numFmtId="0" fontId="10" fillId="31" borderId="0" applyNumberFormat="0" applyBorder="0" applyAlignment="0" applyProtection="0"/>
    <xf numFmtId="0" fontId="0" fillId="34" borderId="0" applyNumberFormat="0" applyBorder="0" applyAlignment="0" applyProtection="0"/>
    <xf numFmtId="0" fontId="0" fillId="20" borderId="0" applyNumberFormat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11" fontId="0" fillId="0" borderId="0" xfId="0" applyNumberFormat="1"/>
    <xf numFmtId="0" fontId="3" fillId="0" borderId="0" xfId="0" applyFont="1"/>
    <xf numFmtId="2" fontId="3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/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/>
    <xf numFmtId="0" fontId="7" fillId="0" borderId="0" xfId="0" applyFont="1"/>
    <xf numFmtId="0" fontId="8" fillId="0" borderId="0" xfId="0" applyFont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horizontal="center"/>
    </xf>
    <xf numFmtId="178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78" fontId="0" fillId="0" borderId="7" xfId="0" applyNumberFormat="1" applyBorder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 wrapText="1"/>
    </xf>
    <xf numFmtId="11" fontId="0" fillId="0" borderId="7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/>
    <xf numFmtId="0" fontId="6" fillId="3" borderId="18" xfId="0" applyFont="1" applyFill="1" applyBorder="1" applyAlignment="1">
      <alignment horizontal="center" vertical="center"/>
    </xf>
    <xf numFmtId="0" fontId="5" fillId="0" borderId="0" xfId="0" applyFon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7" xfId="0" applyBorder="1"/>
    <xf numFmtId="0" fontId="0" fillId="0" borderId="28" xfId="0" applyBorder="1" applyAlignment="1">
      <alignment horizontal="center"/>
    </xf>
    <xf numFmtId="0" fontId="10" fillId="3" borderId="18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0" xfId="0" applyFont="1"/>
    <xf numFmtId="0" fontId="1" fillId="0" borderId="17" xfId="0" applyFont="1" applyBorder="1"/>
    <xf numFmtId="58" fontId="0" fillId="0" borderId="0" xfId="0" applyNumberFormat="1" applyAlignment="1">
      <alignment horizontal="center"/>
    </xf>
    <xf numFmtId="0" fontId="3" fillId="0" borderId="0" xfId="0" applyFont="1" quotePrefix="1"/>
    <xf numFmtId="2" fontId="3" fillId="0" borderId="0" xfId="0" applyNumberFormat="1" applyFo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AAPL (Apple Inc) / $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Data!$A$2:$A$258</c:f>
              <c:numCache>
                <c:formatCode>m/d/yyyy</c:formatCode>
                <c:ptCount val="257"/>
                <c:pt idx="0" c:formatCode="m/d/yyyy">
                  <c:v>43777</c:v>
                </c:pt>
                <c:pt idx="1" c:formatCode="m/d/yyyy">
                  <c:v>43780</c:v>
                </c:pt>
                <c:pt idx="2" c:formatCode="m/d/yyyy">
                  <c:v>43781</c:v>
                </c:pt>
                <c:pt idx="3" c:formatCode="m/d/yyyy">
                  <c:v>43782</c:v>
                </c:pt>
                <c:pt idx="4" c:formatCode="m/d/yyyy">
                  <c:v>43783</c:v>
                </c:pt>
                <c:pt idx="5" c:formatCode="m/d/yyyy">
                  <c:v>43784</c:v>
                </c:pt>
                <c:pt idx="6" c:formatCode="m/d/yyyy">
                  <c:v>43787</c:v>
                </c:pt>
                <c:pt idx="7" c:formatCode="m/d/yyyy">
                  <c:v>43788</c:v>
                </c:pt>
                <c:pt idx="8" c:formatCode="m/d/yyyy">
                  <c:v>43789</c:v>
                </c:pt>
                <c:pt idx="9" c:formatCode="m/d/yyyy">
                  <c:v>43790</c:v>
                </c:pt>
                <c:pt idx="10" c:formatCode="m/d/yyyy">
                  <c:v>43791</c:v>
                </c:pt>
                <c:pt idx="11" c:formatCode="m/d/yyyy">
                  <c:v>43794</c:v>
                </c:pt>
                <c:pt idx="12" c:formatCode="m/d/yyyy">
                  <c:v>43795</c:v>
                </c:pt>
                <c:pt idx="13" c:formatCode="m/d/yyyy">
                  <c:v>43796</c:v>
                </c:pt>
                <c:pt idx="14" c:formatCode="m/d/yyyy">
                  <c:v>43798</c:v>
                </c:pt>
                <c:pt idx="15" c:formatCode="m/d/yyyy">
                  <c:v>43801</c:v>
                </c:pt>
                <c:pt idx="16" c:formatCode="m/d/yyyy">
                  <c:v>43802</c:v>
                </c:pt>
                <c:pt idx="17" c:formatCode="m/d/yyyy">
                  <c:v>43803</c:v>
                </c:pt>
                <c:pt idx="18" c:formatCode="m/d/yyyy">
                  <c:v>43804</c:v>
                </c:pt>
                <c:pt idx="19" c:formatCode="m/d/yyyy">
                  <c:v>43805</c:v>
                </c:pt>
                <c:pt idx="20" c:formatCode="m/d/yyyy">
                  <c:v>43808</c:v>
                </c:pt>
                <c:pt idx="21" c:formatCode="m/d/yyyy">
                  <c:v>43809</c:v>
                </c:pt>
                <c:pt idx="22" c:formatCode="m/d/yyyy">
                  <c:v>43810</c:v>
                </c:pt>
                <c:pt idx="23" c:formatCode="m/d/yyyy">
                  <c:v>43811</c:v>
                </c:pt>
                <c:pt idx="24" c:formatCode="m/d/yyyy">
                  <c:v>43812</c:v>
                </c:pt>
                <c:pt idx="25" c:formatCode="m/d/yyyy">
                  <c:v>43815</c:v>
                </c:pt>
                <c:pt idx="26" c:formatCode="m/d/yyyy">
                  <c:v>43816</c:v>
                </c:pt>
                <c:pt idx="27" c:formatCode="m/d/yyyy">
                  <c:v>43817</c:v>
                </c:pt>
                <c:pt idx="28" c:formatCode="m/d/yyyy">
                  <c:v>43818</c:v>
                </c:pt>
                <c:pt idx="29" c:formatCode="m/d/yyyy">
                  <c:v>43819</c:v>
                </c:pt>
                <c:pt idx="30" c:formatCode="m/d/yyyy">
                  <c:v>43822</c:v>
                </c:pt>
                <c:pt idx="31" c:formatCode="m/d/yyyy">
                  <c:v>43823</c:v>
                </c:pt>
                <c:pt idx="32" c:formatCode="m/d/yyyy">
                  <c:v>43825</c:v>
                </c:pt>
                <c:pt idx="33" c:formatCode="m/d/yyyy">
                  <c:v>43826</c:v>
                </c:pt>
                <c:pt idx="34" c:formatCode="m/d/yyyy">
                  <c:v>43829</c:v>
                </c:pt>
                <c:pt idx="35" c:formatCode="m/d/yyyy">
                  <c:v>43830</c:v>
                </c:pt>
                <c:pt idx="36" c:formatCode="m/d/yyyy">
                  <c:v>43832</c:v>
                </c:pt>
                <c:pt idx="37" c:formatCode="m/d/yyyy">
                  <c:v>43833</c:v>
                </c:pt>
                <c:pt idx="38" c:formatCode="m/d/yyyy">
                  <c:v>43836</c:v>
                </c:pt>
                <c:pt idx="39" c:formatCode="m/d/yyyy">
                  <c:v>43837</c:v>
                </c:pt>
                <c:pt idx="40" c:formatCode="m/d/yyyy">
                  <c:v>43838</c:v>
                </c:pt>
                <c:pt idx="41" c:formatCode="m/d/yyyy">
                  <c:v>43839</c:v>
                </c:pt>
                <c:pt idx="42" c:formatCode="m/d/yyyy">
                  <c:v>43840</c:v>
                </c:pt>
                <c:pt idx="43" c:formatCode="m/d/yyyy">
                  <c:v>43843</c:v>
                </c:pt>
                <c:pt idx="44" c:formatCode="m/d/yyyy">
                  <c:v>43844</c:v>
                </c:pt>
                <c:pt idx="45" c:formatCode="m/d/yyyy">
                  <c:v>43845</c:v>
                </c:pt>
                <c:pt idx="46" c:formatCode="m/d/yyyy">
                  <c:v>43846</c:v>
                </c:pt>
                <c:pt idx="47" c:formatCode="m/d/yyyy">
                  <c:v>43847</c:v>
                </c:pt>
                <c:pt idx="48" c:formatCode="m/d/yyyy">
                  <c:v>43851</c:v>
                </c:pt>
                <c:pt idx="49" c:formatCode="m/d/yyyy">
                  <c:v>43852</c:v>
                </c:pt>
                <c:pt idx="50" c:formatCode="m/d/yyyy">
                  <c:v>43853</c:v>
                </c:pt>
                <c:pt idx="51" c:formatCode="m/d/yyyy">
                  <c:v>43854</c:v>
                </c:pt>
                <c:pt idx="52" c:formatCode="m/d/yyyy">
                  <c:v>43857</c:v>
                </c:pt>
                <c:pt idx="53" c:formatCode="m/d/yyyy">
                  <c:v>43858</c:v>
                </c:pt>
                <c:pt idx="54" c:formatCode="m/d/yyyy">
                  <c:v>43859</c:v>
                </c:pt>
                <c:pt idx="55" c:formatCode="m/d/yyyy">
                  <c:v>43860</c:v>
                </c:pt>
                <c:pt idx="56" c:formatCode="m/d/yyyy">
                  <c:v>43861</c:v>
                </c:pt>
                <c:pt idx="57" c:formatCode="m/d/yyyy">
                  <c:v>43864</c:v>
                </c:pt>
                <c:pt idx="58" c:formatCode="m/d/yyyy">
                  <c:v>43865</c:v>
                </c:pt>
                <c:pt idx="59" c:formatCode="m/d/yyyy">
                  <c:v>43866</c:v>
                </c:pt>
                <c:pt idx="60" c:formatCode="m/d/yyyy">
                  <c:v>43867</c:v>
                </c:pt>
                <c:pt idx="61" c:formatCode="m/d/yyyy">
                  <c:v>43868</c:v>
                </c:pt>
                <c:pt idx="62" c:formatCode="m/d/yyyy">
                  <c:v>43871</c:v>
                </c:pt>
                <c:pt idx="63" c:formatCode="m/d/yyyy">
                  <c:v>43872</c:v>
                </c:pt>
                <c:pt idx="64" c:formatCode="m/d/yyyy">
                  <c:v>43873</c:v>
                </c:pt>
                <c:pt idx="65" c:formatCode="m/d/yyyy">
                  <c:v>43874</c:v>
                </c:pt>
                <c:pt idx="66" c:formatCode="m/d/yyyy">
                  <c:v>43875</c:v>
                </c:pt>
                <c:pt idx="67" c:formatCode="m/d/yyyy">
                  <c:v>43879</c:v>
                </c:pt>
                <c:pt idx="68" c:formatCode="m/d/yyyy">
                  <c:v>43880</c:v>
                </c:pt>
                <c:pt idx="69" c:formatCode="m/d/yyyy">
                  <c:v>43881</c:v>
                </c:pt>
                <c:pt idx="70" c:formatCode="m/d/yyyy">
                  <c:v>43882</c:v>
                </c:pt>
                <c:pt idx="71" c:formatCode="m/d/yyyy">
                  <c:v>43885</c:v>
                </c:pt>
                <c:pt idx="72" c:formatCode="m/d/yyyy">
                  <c:v>43886</c:v>
                </c:pt>
                <c:pt idx="73" c:formatCode="m/d/yyyy">
                  <c:v>43887</c:v>
                </c:pt>
                <c:pt idx="74" c:formatCode="m/d/yyyy">
                  <c:v>43888</c:v>
                </c:pt>
                <c:pt idx="75" c:formatCode="m/d/yyyy">
                  <c:v>43889</c:v>
                </c:pt>
                <c:pt idx="76" c:formatCode="m/d/yyyy">
                  <c:v>43892</c:v>
                </c:pt>
                <c:pt idx="77" c:formatCode="m/d/yyyy">
                  <c:v>43893</c:v>
                </c:pt>
                <c:pt idx="78" c:formatCode="m/d/yyyy">
                  <c:v>43894</c:v>
                </c:pt>
                <c:pt idx="79" c:formatCode="m/d/yyyy">
                  <c:v>43895</c:v>
                </c:pt>
                <c:pt idx="80" c:formatCode="m/d/yyyy">
                  <c:v>43896</c:v>
                </c:pt>
                <c:pt idx="81" c:formatCode="m/d/yyyy">
                  <c:v>43899</c:v>
                </c:pt>
                <c:pt idx="82" c:formatCode="m/d/yyyy">
                  <c:v>43900</c:v>
                </c:pt>
                <c:pt idx="83" c:formatCode="m/d/yyyy">
                  <c:v>43901</c:v>
                </c:pt>
                <c:pt idx="84" c:formatCode="m/d/yyyy">
                  <c:v>43902</c:v>
                </c:pt>
                <c:pt idx="85" c:formatCode="m/d/yyyy">
                  <c:v>43903</c:v>
                </c:pt>
                <c:pt idx="86" c:formatCode="m/d/yyyy">
                  <c:v>43906</c:v>
                </c:pt>
                <c:pt idx="87" c:formatCode="m/d/yyyy">
                  <c:v>43907</c:v>
                </c:pt>
                <c:pt idx="88" c:formatCode="m/d/yyyy">
                  <c:v>43908</c:v>
                </c:pt>
                <c:pt idx="89" c:formatCode="m/d/yyyy">
                  <c:v>43909</c:v>
                </c:pt>
                <c:pt idx="90" c:formatCode="m/d/yyyy">
                  <c:v>43910</c:v>
                </c:pt>
                <c:pt idx="91" c:formatCode="m/d/yyyy">
                  <c:v>43913</c:v>
                </c:pt>
                <c:pt idx="92" c:formatCode="m/d/yyyy">
                  <c:v>43914</c:v>
                </c:pt>
                <c:pt idx="93" c:formatCode="m/d/yyyy">
                  <c:v>43915</c:v>
                </c:pt>
                <c:pt idx="94" c:formatCode="m/d/yyyy">
                  <c:v>43916</c:v>
                </c:pt>
                <c:pt idx="95" c:formatCode="m/d/yyyy">
                  <c:v>43917</c:v>
                </c:pt>
                <c:pt idx="96" c:formatCode="m/d/yyyy">
                  <c:v>43920</c:v>
                </c:pt>
                <c:pt idx="97" c:formatCode="m/d/yyyy">
                  <c:v>43921</c:v>
                </c:pt>
                <c:pt idx="98" c:formatCode="m/d/yyyy">
                  <c:v>43922</c:v>
                </c:pt>
                <c:pt idx="99" c:formatCode="m/d/yyyy">
                  <c:v>43923</c:v>
                </c:pt>
                <c:pt idx="100" c:formatCode="m/d/yyyy">
                  <c:v>43924</c:v>
                </c:pt>
                <c:pt idx="101" c:formatCode="m/d/yyyy">
                  <c:v>43927</c:v>
                </c:pt>
                <c:pt idx="102" c:formatCode="m/d/yyyy">
                  <c:v>43928</c:v>
                </c:pt>
                <c:pt idx="103" c:formatCode="m/d/yyyy">
                  <c:v>43929</c:v>
                </c:pt>
                <c:pt idx="104" c:formatCode="m/d/yyyy">
                  <c:v>43930</c:v>
                </c:pt>
                <c:pt idx="105" c:formatCode="m/d/yyyy">
                  <c:v>43934</c:v>
                </c:pt>
                <c:pt idx="106" c:formatCode="m/d/yyyy">
                  <c:v>43935</c:v>
                </c:pt>
                <c:pt idx="107" c:formatCode="m/d/yyyy">
                  <c:v>43936</c:v>
                </c:pt>
                <c:pt idx="108" c:formatCode="m/d/yyyy">
                  <c:v>43937</c:v>
                </c:pt>
                <c:pt idx="109" c:formatCode="m/d/yyyy">
                  <c:v>43938</c:v>
                </c:pt>
                <c:pt idx="110" c:formatCode="m/d/yyyy">
                  <c:v>43941</c:v>
                </c:pt>
                <c:pt idx="111" c:formatCode="m/d/yyyy">
                  <c:v>43942</c:v>
                </c:pt>
                <c:pt idx="112" c:formatCode="m/d/yyyy">
                  <c:v>43943</c:v>
                </c:pt>
                <c:pt idx="113" c:formatCode="m/d/yyyy">
                  <c:v>43944</c:v>
                </c:pt>
                <c:pt idx="114" c:formatCode="m/d/yyyy">
                  <c:v>43945</c:v>
                </c:pt>
                <c:pt idx="115" c:formatCode="m/d/yyyy">
                  <c:v>43948</c:v>
                </c:pt>
                <c:pt idx="116" c:formatCode="m/d/yyyy">
                  <c:v>43949</c:v>
                </c:pt>
                <c:pt idx="117" c:formatCode="m/d/yyyy">
                  <c:v>43950</c:v>
                </c:pt>
                <c:pt idx="118" c:formatCode="m/d/yyyy">
                  <c:v>43951</c:v>
                </c:pt>
                <c:pt idx="119" c:formatCode="m/d/yyyy">
                  <c:v>43952</c:v>
                </c:pt>
                <c:pt idx="120" c:formatCode="m/d/yyyy">
                  <c:v>43955</c:v>
                </c:pt>
                <c:pt idx="121" c:formatCode="m/d/yyyy">
                  <c:v>43956</c:v>
                </c:pt>
                <c:pt idx="122" c:formatCode="m/d/yyyy">
                  <c:v>43957</c:v>
                </c:pt>
                <c:pt idx="123" c:formatCode="m/d/yyyy">
                  <c:v>43958</c:v>
                </c:pt>
                <c:pt idx="124" c:formatCode="m/d/yyyy">
                  <c:v>43959</c:v>
                </c:pt>
                <c:pt idx="125" c:formatCode="m/d/yyyy">
                  <c:v>43962</c:v>
                </c:pt>
                <c:pt idx="126" c:formatCode="m/d/yyyy">
                  <c:v>43963</c:v>
                </c:pt>
                <c:pt idx="127" c:formatCode="m/d/yyyy">
                  <c:v>43964</c:v>
                </c:pt>
                <c:pt idx="128" c:formatCode="m/d/yyyy">
                  <c:v>43965</c:v>
                </c:pt>
                <c:pt idx="129" c:formatCode="m/d/yyyy">
                  <c:v>43966</c:v>
                </c:pt>
                <c:pt idx="130" c:formatCode="m/d/yyyy">
                  <c:v>43969</c:v>
                </c:pt>
                <c:pt idx="131" c:formatCode="m/d/yyyy">
                  <c:v>43970</c:v>
                </c:pt>
                <c:pt idx="132" c:formatCode="m/d/yyyy">
                  <c:v>43971</c:v>
                </c:pt>
                <c:pt idx="133" c:formatCode="m/d/yyyy">
                  <c:v>43972</c:v>
                </c:pt>
                <c:pt idx="134" c:formatCode="m/d/yyyy">
                  <c:v>43973</c:v>
                </c:pt>
                <c:pt idx="135" c:formatCode="m/d/yyyy">
                  <c:v>43977</c:v>
                </c:pt>
                <c:pt idx="136" c:formatCode="m/d/yyyy">
                  <c:v>43978</c:v>
                </c:pt>
                <c:pt idx="137" c:formatCode="m/d/yyyy">
                  <c:v>43979</c:v>
                </c:pt>
                <c:pt idx="138" c:formatCode="m/d/yyyy">
                  <c:v>43980</c:v>
                </c:pt>
                <c:pt idx="139" c:formatCode="m/d/yyyy">
                  <c:v>43983</c:v>
                </c:pt>
                <c:pt idx="140" c:formatCode="m/d/yyyy">
                  <c:v>43984</c:v>
                </c:pt>
                <c:pt idx="141" c:formatCode="m/d/yyyy">
                  <c:v>43985</c:v>
                </c:pt>
                <c:pt idx="142" c:formatCode="m/d/yyyy">
                  <c:v>43986</c:v>
                </c:pt>
                <c:pt idx="143" c:formatCode="m/d/yyyy">
                  <c:v>43987</c:v>
                </c:pt>
                <c:pt idx="144" c:formatCode="m/d/yyyy">
                  <c:v>43990</c:v>
                </c:pt>
                <c:pt idx="145" c:formatCode="m/d/yyyy">
                  <c:v>43991</c:v>
                </c:pt>
                <c:pt idx="146" c:formatCode="m/d/yyyy">
                  <c:v>43992</c:v>
                </c:pt>
                <c:pt idx="147" c:formatCode="m/d/yyyy">
                  <c:v>43993</c:v>
                </c:pt>
                <c:pt idx="148" c:formatCode="m/d/yyyy">
                  <c:v>43994</c:v>
                </c:pt>
                <c:pt idx="149" c:formatCode="m/d/yyyy">
                  <c:v>43997</c:v>
                </c:pt>
                <c:pt idx="150" c:formatCode="m/d/yyyy">
                  <c:v>43998</c:v>
                </c:pt>
                <c:pt idx="151" c:formatCode="m/d/yyyy">
                  <c:v>43999</c:v>
                </c:pt>
                <c:pt idx="152" c:formatCode="m/d/yyyy">
                  <c:v>44000</c:v>
                </c:pt>
                <c:pt idx="153" c:formatCode="m/d/yyyy">
                  <c:v>44001</c:v>
                </c:pt>
                <c:pt idx="154" c:formatCode="m/d/yyyy">
                  <c:v>44004</c:v>
                </c:pt>
                <c:pt idx="155" c:formatCode="m/d/yyyy">
                  <c:v>44005</c:v>
                </c:pt>
                <c:pt idx="156" c:formatCode="m/d/yyyy">
                  <c:v>44006</c:v>
                </c:pt>
                <c:pt idx="157" c:formatCode="m/d/yyyy">
                  <c:v>44007</c:v>
                </c:pt>
                <c:pt idx="158" c:formatCode="m/d/yyyy">
                  <c:v>44008</c:v>
                </c:pt>
                <c:pt idx="159" c:formatCode="m/d/yyyy">
                  <c:v>44011</c:v>
                </c:pt>
                <c:pt idx="160" c:formatCode="m/d/yyyy">
                  <c:v>44012</c:v>
                </c:pt>
                <c:pt idx="161" c:formatCode="m/d/yyyy">
                  <c:v>44013</c:v>
                </c:pt>
                <c:pt idx="162" c:formatCode="m/d/yyyy">
                  <c:v>44014</c:v>
                </c:pt>
                <c:pt idx="163" c:formatCode="m/d/yyyy">
                  <c:v>44018</c:v>
                </c:pt>
                <c:pt idx="164" c:formatCode="m/d/yyyy">
                  <c:v>44019</c:v>
                </c:pt>
                <c:pt idx="165" c:formatCode="m/d/yyyy">
                  <c:v>44020</c:v>
                </c:pt>
                <c:pt idx="166" c:formatCode="m/d/yyyy">
                  <c:v>44021</c:v>
                </c:pt>
                <c:pt idx="167" c:formatCode="m/d/yyyy">
                  <c:v>44022</c:v>
                </c:pt>
                <c:pt idx="168" c:formatCode="m/d/yyyy">
                  <c:v>44025</c:v>
                </c:pt>
                <c:pt idx="169" c:formatCode="m/d/yyyy">
                  <c:v>44026</c:v>
                </c:pt>
                <c:pt idx="170" c:formatCode="m/d/yyyy">
                  <c:v>44027</c:v>
                </c:pt>
                <c:pt idx="171" c:formatCode="m/d/yyyy">
                  <c:v>44028</c:v>
                </c:pt>
                <c:pt idx="172" c:formatCode="m/d/yyyy">
                  <c:v>44029</c:v>
                </c:pt>
                <c:pt idx="173" c:formatCode="m/d/yyyy">
                  <c:v>44032</c:v>
                </c:pt>
                <c:pt idx="174" c:formatCode="m/d/yyyy">
                  <c:v>44033</c:v>
                </c:pt>
                <c:pt idx="175" c:formatCode="m/d/yyyy">
                  <c:v>44034</c:v>
                </c:pt>
                <c:pt idx="176" c:formatCode="m/d/yyyy">
                  <c:v>44035</c:v>
                </c:pt>
                <c:pt idx="177" c:formatCode="m/d/yyyy">
                  <c:v>44036</c:v>
                </c:pt>
                <c:pt idx="178" c:formatCode="m/d/yyyy">
                  <c:v>44039</c:v>
                </c:pt>
                <c:pt idx="179" c:formatCode="m/d/yyyy">
                  <c:v>44040</c:v>
                </c:pt>
                <c:pt idx="180" c:formatCode="m/d/yyyy">
                  <c:v>44041</c:v>
                </c:pt>
                <c:pt idx="181" c:formatCode="m/d/yyyy">
                  <c:v>44042</c:v>
                </c:pt>
                <c:pt idx="182" c:formatCode="m/d/yyyy">
                  <c:v>44043</c:v>
                </c:pt>
                <c:pt idx="183" c:formatCode="m/d/yyyy">
                  <c:v>44046</c:v>
                </c:pt>
                <c:pt idx="184" c:formatCode="m/d/yyyy">
                  <c:v>44047</c:v>
                </c:pt>
                <c:pt idx="185" c:formatCode="m/d/yyyy">
                  <c:v>44048</c:v>
                </c:pt>
                <c:pt idx="186" c:formatCode="m/d/yyyy">
                  <c:v>44049</c:v>
                </c:pt>
                <c:pt idx="187" c:formatCode="m/d/yyyy">
                  <c:v>44050</c:v>
                </c:pt>
                <c:pt idx="188" c:formatCode="m/d/yyyy">
                  <c:v>44053</c:v>
                </c:pt>
                <c:pt idx="189" c:formatCode="m/d/yyyy">
                  <c:v>44054</c:v>
                </c:pt>
                <c:pt idx="190" c:formatCode="m/d/yyyy">
                  <c:v>44055</c:v>
                </c:pt>
                <c:pt idx="191" c:formatCode="m/d/yyyy">
                  <c:v>44056</c:v>
                </c:pt>
                <c:pt idx="192" c:formatCode="m/d/yyyy">
                  <c:v>44057</c:v>
                </c:pt>
                <c:pt idx="193" c:formatCode="m/d/yyyy">
                  <c:v>44060</c:v>
                </c:pt>
                <c:pt idx="194" c:formatCode="m/d/yyyy">
                  <c:v>44061</c:v>
                </c:pt>
                <c:pt idx="195" c:formatCode="m/d/yyyy">
                  <c:v>44062</c:v>
                </c:pt>
                <c:pt idx="196" c:formatCode="m/d/yyyy">
                  <c:v>44063</c:v>
                </c:pt>
                <c:pt idx="197" c:formatCode="m/d/yyyy">
                  <c:v>44064</c:v>
                </c:pt>
                <c:pt idx="198" c:formatCode="m/d/yyyy">
                  <c:v>44067</c:v>
                </c:pt>
                <c:pt idx="199" c:formatCode="m/d/yyyy">
                  <c:v>44068</c:v>
                </c:pt>
                <c:pt idx="200" c:formatCode="m/d/yyyy">
                  <c:v>44069</c:v>
                </c:pt>
                <c:pt idx="201" c:formatCode="m/d/yyyy">
                  <c:v>44070</c:v>
                </c:pt>
                <c:pt idx="202" c:formatCode="m/d/yyyy">
                  <c:v>44071</c:v>
                </c:pt>
                <c:pt idx="203" c:formatCode="m/d/yyyy">
                  <c:v>44074</c:v>
                </c:pt>
                <c:pt idx="204" c:formatCode="m/d/yyyy">
                  <c:v>44075</c:v>
                </c:pt>
                <c:pt idx="205" c:formatCode="m/d/yyyy">
                  <c:v>44076</c:v>
                </c:pt>
                <c:pt idx="206" c:formatCode="m/d/yyyy">
                  <c:v>44077</c:v>
                </c:pt>
                <c:pt idx="207" c:formatCode="m/d/yyyy">
                  <c:v>44078</c:v>
                </c:pt>
                <c:pt idx="208" c:formatCode="m/d/yyyy">
                  <c:v>44082</c:v>
                </c:pt>
                <c:pt idx="209" c:formatCode="m/d/yyyy">
                  <c:v>44083</c:v>
                </c:pt>
                <c:pt idx="210" c:formatCode="m/d/yyyy">
                  <c:v>44084</c:v>
                </c:pt>
                <c:pt idx="211" c:formatCode="m/d/yyyy">
                  <c:v>44085</c:v>
                </c:pt>
                <c:pt idx="212" c:formatCode="m/d/yyyy">
                  <c:v>44088</c:v>
                </c:pt>
                <c:pt idx="213" c:formatCode="m/d/yyyy">
                  <c:v>44089</c:v>
                </c:pt>
                <c:pt idx="214" c:formatCode="m/d/yyyy">
                  <c:v>44090</c:v>
                </c:pt>
                <c:pt idx="215" c:formatCode="m/d/yyyy">
                  <c:v>44091</c:v>
                </c:pt>
                <c:pt idx="216" c:formatCode="m/d/yyyy">
                  <c:v>44092</c:v>
                </c:pt>
                <c:pt idx="217" c:formatCode="m/d/yyyy">
                  <c:v>44095</c:v>
                </c:pt>
                <c:pt idx="218" c:formatCode="m/d/yyyy">
                  <c:v>44096</c:v>
                </c:pt>
                <c:pt idx="219" c:formatCode="m/d/yyyy">
                  <c:v>44097</c:v>
                </c:pt>
                <c:pt idx="220" c:formatCode="m/d/yyyy">
                  <c:v>44098</c:v>
                </c:pt>
                <c:pt idx="221" c:formatCode="m/d/yyyy">
                  <c:v>44099</c:v>
                </c:pt>
                <c:pt idx="222" c:formatCode="m/d/yyyy">
                  <c:v>44102</c:v>
                </c:pt>
                <c:pt idx="223" c:formatCode="m/d/yyyy">
                  <c:v>44103</c:v>
                </c:pt>
                <c:pt idx="224" c:formatCode="m/d/yyyy">
                  <c:v>44104</c:v>
                </c:pt>
                <c:pt idx="225" c:formatCode="m/d/yyyy">
                  <c:v>44105</c:v>
                </c:pt>
                <c:pt idx="226" c:formatCode="m/d/yyyy">
                  <c:v>44106</c:v>
                </c:pt>
                <c:pt idx="227" c:formatCode="m/d/yyyy">
                  <c:v>44109</c:v>
                </c:pt>
                <c:pt idx="228" c:formatCode="m/d/yyyy">
                  <c:v>44110</c:v>
                </c:pt>
                <c:pt idx="229" c:formatCode="m/d/yyyy">
                  <c:v>44111</c:v>
                </c:pt>
                <c:pt idx="230" c:formatCode="m/d/yyyy">
                  <c:v>44112</c:v>
                </c:pt>
                <c:pt idx="231" c:formatCode="m/d/yyyy">
                  <c:v>44113</c:v>
                </c:pt>
                <c:pt idx="232" c:formatCode="m/d/yyyy">
                  <c:v>44116</c:v>
                </c:pt>
                <c:pt idx="233" c:formatCode="m/d/yyyy">
                  <c:v>44117</c:v>
                </c:pt>
                <c:pt idx="234" c:formatCode="m/d/yyyy">
                  <c:v>44118</c:v>
                </c:pt>
                <c:pt idx="235" c:formatCode="m/d/yyyy">
                  <c:v>44119</c:v>
                </c:pt>
                <c:pt idx="236" c:formatCode="m/d/yyyy">
                  <c:v>44120</c:v>
                </c:pt>
                <c:pt idx="237" c:formatCode="m/d/yyyy">
                  <c:v>44123</c:v>
                </c:pt>
                <c:pt idx="238" c:formatCode="m/d/yyyy">
                  <c:v>44124</c:v>
                </c:pt>
                <c:pt idx="239" c:formatCode="m/d/yyyy">
                  <c:v>44125</c:v>
                </c:pt>
                <c:pt idx="240" c:formatCode="m/d/yyyy">
                  <c:v>44126</c:v>
                </c:pt>
                <c:pt idx="241" c:formatCode="m/d/yyyy">
                  <c:v>44127</c:v>
                </c:pt>
                <c:pt idx="242" c:formatCode="m/d/yyyy">
                  <c:v>44130</c:v>
                </c:pt>
                <c:pt idx="243" c:formatCode="m/d/yyyy">
                  <c:v>44131</c:v>
                </c:pt>
                <c:pt idx="244" c:formatCode="m/d/yyyy">
                  <c:v>44132</c:v>
                </c:pt>
                <c:pt idx="245" c:formatCode="m/d/yyyy">
                  <c:v>44133</c:v>
                </c:pt>
                <c:pt idx="246" c:formatCode="m/d/yyyy">
                  <c:v>44134</c:v>
                </c:pt>
                <c:pt idx="247" c:formatCode="m/d/yyyy">
                  <c:v>44137</c:v>
                </c:pt>
                <c:pt idx="248" c:formatCode="m/d/yyyy">
                  <c:v>44138</c:v>
                </c:pt>
                <c:pt idx="249" c:formatCode="m/d/yyyy">
                  <c:v>44139</c:v>
                </c:pt>
                <c:pt idx="250" c:formatCode="m/d/yyyy">
                  <c:v>44140</c:v>
                </c:pt>
                <c:pt idx="251" c:formatCode="m/d/yyyy">
                  <c:v>44141</c:v>
                </c:pt>
                <c:pt idx="252" c:formatCode="m/d/yyyy">
                  <c:v>44144</c:v>
                </c:pt>
                <c:pt idx="253" c:formatCode="m/d/yyyy">
                  <c:v>44145</c:v>
                </c:pt>
                <c:pt idx="254" c:formatCode="m/d/yyyy">
                  <c:v>44146</c:v>
                </c:pt>
                <c:pt idx="255" c:formatCode="m/d/yyyy">
                  <c:v>44147</c:v>
                </c:pt>
                <c:pt idx="256" c:formatCode="m/d/yyyy">
                  <c:v>44148</c:v>
                </c:pt>
              </c:numCache>
            </c:numRef>
          </c:cat>
          <c:val>
            <c:numRef>
              <c:f>Data!$C$2:$C$258</c:f>
              <c:numCache>
                <c:formatCode>0.00</c:formatCode>
                <c:ptCount val="257"/>
                <c:pt idx="0">
                  <c:v>63.954544</c:v>
                </c:pt>
                <c:pt idx="1">
                  <c:v>64.460991</c:v>
                </c:pt>
                <c:pt idx="2">
                  <c:v>64.401978</c:v>
                </c:pt>
                <c:pt idx="3">
                  <c:v>65.019051</c:v>
                </c:pt>
                <c:pt idx="4">
                  <c:v>64.56916</c:v>
                </c:pt>
                <c:pt idx="5">
                  <c:v>65.336212</c:v>
                </c:pt>
                <c:pt idx="6">
                  <c:v>65.665634</c:v>
                </c:pt>
                <c:pt idx="7">
                  <c:v>65.466507</c:v>
                </c:pt>
                <c:pt idx="8">
                  <c:v>64.704376</c:v>
                </c:pt>
                <c:pt idx="9">
                  <c:v>64.414268</c:v>
                </c:pt>
                <c:pt idx="10">
                  <c:v>64.357727</c:v>
                </c:pt>
                <c:pt idx="11">
                  <c:v>65.486168</c:v>
                </c:pt>
                <c:pt idx="12">
                  <c:v>64.974815</c:v>
                </c:pt>
                <c:pt idx="13">
                  <c:v>65.847565</c:v>
                </c:pt>
                <c:pt idx="14">
                  <c:v>65.702515</c:v>
                </c:pt>
                <c:pt idx="15">
                  <c:v>64.942841</c:v>
                </c:pt>
                <c:pt idx="16">
                  <c:v>63.784916</c:v>
                </c:pt>
                <c:pt idx="17">
                  <c:v>64.347893</c:v>
                </c:pt>
                <c:pt idx="18">
                  <c:v>65.291946</c:v>
                </c:pt>
                <c:pt idx="19">
                  <c:v>66.553131</c:v>
                </c:pt>
                <c:pt idx="20">
                  <c:v>65.621384</c:v>
                </c:pt>
                <c:pt idx="21">
                  <c:v>66.004898</c:v>
                </c:pt>
                <c:pt idx="22">
                  <c:v>66.567886</c:v>
                </c:pt>
                <c:pt idx="23">
                  <c:v>66.737518</c:v>
                </c:pt>
                <c:pt idx="24">
                  <c:v>67.644707</c:v>
                </c:pt>
                <c:pt idx="25">
                  <c:v>68.802635</c:v>
                </c:pt>
                <c:pt idx="26">
                  <c:v>68.937851</c:v>
                </c:pt>
                <c:pt idx="27">
                  <c:v>68.773132</c:v>
                </c:pt>
                <c:pt idx="28">
                  <c:v>68.841965</c:v>
                </c:pt>
                <c:pt idx="29">
                  <c:v>68.699387</c:v>
                </c:pt>
                <c:pt idx="30">
                  <c:v>69.820442</c:v>
                </c:pt>
                <c:pt idx="31">
                  <c:v>69.886818</c:v>
                </c:pt>
                <c:pt idx="32">
                  <c:v>71.273392</c:v>
                </c:pt>
                <c:pt idx="33">
                  <c:v>71.246353</c:v>
                </c:pt>
                <c:pt idx="34">
                  <c:v>71.669212</c:v>
                </c:pt>
                <c:pt idx="35">
                  <c:v>72.192863</c:v>
                </c:pt>
                <c:pt idx="36">
                  <c:v>73.840042</c:v>
                </c:pt>
                <c:pt idx="37">
                  <c:v>73.122154</c:v>
                </c:pt>
                <c:pt idx="38">
                  <c:v>73.704819</c:v>
                </c:pt>
                <c:pt idx="39">
                  <c:v>73.358185</c:v>
                </c:pt>
                <c:pt idx="40">
                  <c:v>74.538239</c:v>
                </c:pt>
                <c:pt idx="41">
                  <c:v>76.121498</c:v>
                </c:pt>
                <c:pt idx="42">
                  <c:v>76.293579</c:v>
                </c:pt>
                <c:pt idx="43">
                  <c:v>77.923538</c:v>
                </c:pt>
                <c:pt idx="44">
                  <c:v>76.871323</c:v>
                </c:pt>
                <c:pt idx="45">
                  <c:v>76.541885</c:v>
                </c:pt>
                <c:pt idx="46">
                  <c:v>77.500694</c:v>
                </c:pt>
                <c:pt idx="47">
                  <c:v>78.358696</c:v>
                </c:pt>
                <c:pt idx="48">
                  <c:v>77.827667</c:v>
                </c:pt>
                <c:pt idx="49">
                  <c:v>78.105476</c:v>
                </c:pt>
                <c:pt idx="50">
                  <c:v>78.481621</c:v>
                </c:pt>
                <c:pt idx="51">
                  <c:v>78.25544</c:v>
                </c:pt>
                <c:pt idx="52">
                  <c:v>75.954315</c:v>
                </c:pt>
                <c:pt idx="53">
                  <c:v>78.103012</c:v>
                </c:pt>
                <c:pt idx="54">
                  <c:v>79.7379</c:v>
                </c:pt>
                <c:pt idx="55">
                  <c:v>79.622337</c:v>
                </c:pt>
                <c:pt idx="56">
                  <c:v>76.091995</c:v>
                </c:pt>
                <c:pt idx="57">
                  <c:v>75.883018</c:v>
                </c:pt>
                <c:pt idx="58">
                  <c:v>78.388199</c:v>
                </c:pt>
                <c:pt idx="59">
                  <c:v>79.027405</c:v>
                </c:pt>
                <c:pt idx="60">
                  <c:v>79.951775</c:v>
                </c:pt>
                <c:pt idx="61">
                  <c:v>78.865021</c:v>
                </c:pt>
                <c:pt idx="62">
                  <c:v>79.239594</c:v>
                </c:pt>
                <c:pt idx="63">
                  <c:v>78.76152</c:v>
                </c:pt>
                <c:pt idx="64">
                  <c:v>80.631927</c:v>
                </c:pt>
                <c:pt idx="65">
                  <c:v>80.057739</c:v>
                </c:pt>
                <c:pt idx="66">
                  <c:v>80.077461</c:v>
                </c:pt>
                <c:pt idx="67">
                  <c:v>78.611198</c:v>
                </c:pt>
                <c:pt idx="68">
                  <c:v>79.749702</c:v>
                </c:pt>
                <c:pt idx="69">
                  <c:v>78.931564</c:v>
                </c:pt>
                <c:pt idx="70">
                  <c:v>77.144943</c:v>
                </c:pt>
                <c:pt idx="71">
                  <c:v>73.480522</c:v>
                </c:pt>
                <c:pt idx="72">
                  <c:v>70.991577</c:v>
                </c:pt>
                <c:pt idx="73">
                  <c:v>72.117767</c:v>
                </c:pt>
                <c:pt idx="74">
                  <c:v>67.403557</c:v>
                </c:pt>
                <c:pt idx="75">
                  <c:v>67.364128</c:v>
                </c:pt>
                <c:pt idx="76">
                  <c:v>73.635773</c:v>
                </c:pt>
                <c:pt idx="77">
                  <c:v>71.297157</c:v>
                </c:pt>
                <c:pt idx="78">
                  <c:v>74.60424</c:v>
                </c:pt>
                <c:pt idx="79">
                  <c:v>72.184303</c:v>
                </c:pt>
                <c:pt idx="80">
                  <c:v>71.225685</c:v>
                </c:pt>
                <c:pt idx="81">
                  <c:v>65.592308</c:v>
                </c:pt>
                <c:pt idx="82">
                  <c:v>70.316368</c:v>
                </c:pt>
                <c:pt idx="83">
                  <c:v>67.874245</c:v>
                </c:pt>
                <c:pt idx="84">
                  <c:v>61.171341</c:v>
                </c:pt>
                <c:pt idx="85">
                  <c:v>68.500175</c:v>
                </c:pt>
                <c:pt idx="86">
                  <c:v>59.687832</c:v>
                </c:pt>
                <c:pt idx="87">
                  <c:v>62.312309</c:v>
                </c:pt>
                <c:pt idx="88">
                  <c:v>60.786911</c:v>
                </c:pt>
                <c:pt idx="89">
                  <c:v>60.321156</c:v>
                </c:pt>
                <c:pt idx="90">
                  <c:v>56.491634</c:v>
                </c:pt>
                <c:pt idx="91">
                  <c:v>55.291519</c:v>
                </c:pt>
                <c:pt idx="92">
                  <c:v>60.838661</c:v>
                </c:pt>
                <c:pt idx="93">
                  <c:v>60.503517</c:v>
                </c:pt>
                <c:pt idx="94">
                  <c:v>63.687393</c:v>
                </c:pt>
                <c:pt idx="95">
                  <c:v>61.050594</c:v>
                </c:pt>
                <c:pt idx="96">
                  <c:v>62.79285</c:v>
                </c:pt>
                <c:pt idx="97">
                  <c:v>62.664707</c:v>
                </c:pt>
                <c:pt idx="98">
                  <c:v>59.367474</c:v>
                </c:pt>
                <c:pt idx="99">
                  <c:v>60.35812</c:v>
                </c:pt>
                <c:pt idx="100">
                  <c:v>59.490692</c:v>
                </c:pt>
                <c:pt idx="101">
                  <c:v>64.680504</c:v>
                </c:pt>
                <c:pt idx="102">
                  <c:v>63.931355</c:v>
                </c:pt>
                <c:pt idx="103">
                  <c:v>65.567657</c:v>
                </c:pt>
                <c:pt idx="104">
                  <c:v>66.040802</c:v>
                </c:pt>
                <c:pt idx="105">
                  <c:v>67.337029</c:v>
                </c:pt>
                <c:pt idx="106">
                  <c:v>70.737755</c:v>
                </c:pt>
                <c:pt idx="107">
                  <c:v>70.09211</c:v>
                </c:pt>
                <c:pt idx="108">
                  <c:v>70.64904</c:v>
                </c:pt>
                <c:pt idx="109">
                  <c:v>69.690422</c:v>
                </c:pt>
                <c:pt idx="110">
                  <c:v>68.243881</c:v>
                </c:pt>
                <c:pt idx="111">
                  <c:v>66.134438</c:v>
                </c:pt>
                <c:pt idx="112">
                  <c:v>68.039352</c:v>
                </c:pt>
                <c:pt idx="113">
                  <c:v>67.775673</c:v>
                </c:pt>
                <c:pt idx="114">
                  <c:v>69.732323</c:v>
                </c:pt>
                <c:pt idx="115">
                  <c:v>69.781609</c:v>
                </c:pt>
                <c:pt idx="116">
                  <c:v>68.65049</c:v>
                </c:pt>
                <c:pt idx="117">
                  <c:v>70.905334</c:v>
                </c:pt>
                <c:pt idx="118">
                  <c:v>72.401154</c:v>
                </c:pt>
                <c:pt idx="119">
                  <c:v>71.235542</c:v>
                </c:pt>
                <c:pt idx="120">
                  <c:v>72.243446</c:v>
                </c:pt>
                <c:pt idx="121">
                  <c:v>73.327736</c:v>
                </c:pt>
                <c:pt idx="122">
                  <c:v>74.084282</c:v>
                </c:pt>
                <c:pt idx="123">
                  <c:v>74.85067</c:v>
                </c:pt>
                <c:pt idx="124">
                  <c:v>77.259674</c:v>
                </c:pt>
                <c:pt idx="125">
                  <c:v>78.475372</c:v>
                </c:pt>
                <c:pt idx="126">
                  <c:v>77.578537</c:v>
                </c:pt>
                <c:pt idx="127">
                  <c:v>76.641853</c:v>
                </c:pt>
                <c:pt idx="128">
                  <c:v>77.112686</c:v>
                </c:pt>
                <c:pt idx="129">
                  <c:v>76.656792</c:v>
                </c:pt>
                <c:pt idx="130">
                  <c:v>78.462914</c:v>
                </c:pt>
                <c:pt idx="131">
                  <c:v>78.009521</c:v>
                </c:pt>
                <c:pt idx="132">
                  <c:v>79.526665</c:v>
                </c:pt>
                <c:pt idx="133">
                  <c:v>78.933754</c:v>
                </c:pt>
                <c:pt idx="134">
                  <c:v>79.441963</c:v>
                </c:pt>
                <c:pt idx="135">
                  <c:v>78.903862</c:v>
                </c:pt>
                <c:pt idx="136">
                  <c:v>79.247643</c:v>
                </c:pt>
                <c:pt idx="137">
                  <c:v>79.282524</c:v>
                </c:pt>
                <c:pt idx="138">
                  <c:v>79.205299</c:v>
                </c:pt>
                <c:pt idx="139">
                  <c:v>80.179359</c:v>
                </c:pt>
                <c:pt idx="140">
                  <c:v>80.550545</c:v>
                </c:pt>
                <c:pt idx="141">
                  <c:v>80.99398</c:v>
                </c:pt>
                <c:pt idx="142">
                  <c:v>80.296448</c:v>
                </c:pt>
                <c:pt idx="143">
                  <c:v>82.583374</c:v>
                </c:pt>
                <c:pt idx="144">
                  <c:v>83.07164</c:v>
                </c:pt>
                <c:pt idx="145">
                  <c:v>85.694878</c:v>
                </c:pt>
                <c:pt idx="146">
                  <c:v>87.89959</c:v>
                </c:pt>
                <c:pt idx="147">
                  <c:v>83.679497</c:v>
                </c:pt>
                <c:pt idx="148">
                  <c:v>84.401947</c:v>
                </c:pt>
                <c:pt idx="149">
                  <c:v>85.445755</c:v>
                </c:pt>
                <c:pt idx="150">
                  <c:v>87.710258</c:v>
                </c:pt>
                <c:pt idx="151">
                  <c:v>87.588196</c:v>
                </c:pt>
                <c:pt idx="152">
                  <c:v>87.623077</c:v>
                </c:pt>
                <c:pt idx="153">
                  <c:v>87.122337</c:v>
                </c:pt>
                <c:pt idx="154">
                  <c:v>89.401787</c:v>
                </c:pt>
                <c:pt idx="155">
                  <c:v>91.310051</c:v>
                </c:pt>
                <c:pt idx="156">
                  <c:v>89.698242</c:v>
                </c:pt>
                <c:pt idx="157">
                  <c:v>90.889038</c:v>
                </c:pt>
                <c:pt idx="158">
                  <c:v>88.096405</c:v>
                </c:pt>
                <c:pt idx="159">
                  <c:v>90.126732</c:v>
                </c:pt>
                <c:pt idx="160">
                  <c:v>90.879066</c:v>
                </c:pt>
                <c:pt idx="161">
                  <c:v>90.707176</c:v>
                </c:pt>
                <c:pt idx="162">
                  <c:v>90.707176</c:v>
                </c:pt>
                <c:pt idx="163">
                  <c:v>93.133614</c:v>
                </c:pt>
                <c:pt idx="164">
                  <c:v>92.844635</c:v>
                </c:pt>
                <c:pt idx="165">
                  <c:v>95.006996</c:v>
                </c:pt>
                <c:pt idx="166">
                  <c:v>95.415558</c:v>
                </c:pt>
                <c:pt idx="167">
                  <c:v>95.582466</c:v>
                </c:pt>
                <c:pt idx="168">
                  <c:v>95.141525</c:v>
                </c:pt>
                <c:pt idx="169">
                  <c:v>96.715965</c:v>
                </c:pt>
                <c:pt idx="170">
                  <c:v>97.381111</c:v>
                </c:pt>
                <c:pt idx="171">
                  <c:v>96.182846</c:v>
                </c:pt>
                <c:pt idx="172">
                  <c:v>95.988533</c:v>
                </c:pt>
                <c:pt idx="173">
                  <c:v>98.011391</c:v>
                </c:pt>
                <c:pt idx="174">
                  <c:v>96.658661</c:v>
                </c:pt>
                <c:pt idx="175">
                  <c:v>96.930199</c:v>
                </c:pt>
                <c:pt idx="176">
                  <c:v>92.518288</c:v>
                </c:pt>
                <c:pt idx="177">
                  <c:v>92.289093</c:v>
                </c:pt>
                <c:pt idx="178">
                  <c:v>94.476364</c:v>
                </c:pt>
                <c:pt idx="179">
                  <c:v>92.924355</c:v>
                </c:pt>
                <c:pt idx="180">
                  <c:v>94.705559</c:v>
                </c:pt>
                <c:pt idx="181">
                  <c:v>95.851517</c:v>
                </c:pt>
                <c:pt idx="182">
                  <c:v>105.886086</c:v>
                </c:pt>
                <c:pt idx="183">
                  <c:v>108.554153</c:v>
                </c:pt>
                <c:pt idx="184">
                  <c:v>109.279099</c:v>
                </c:pt>
                <c:pt idx="185">
                  <c:v>109.675194</c:v>
                </c:pt>
                <c:pt idx="186">
                  <c:v>113.501678</c:v>
                </c:pt>
                <c:pt idx="187">
                  <c:v>110.921135</c:v>
                </c:pt>
                <c:pt idx="188">
                  <c:v>112.533356</c:v>
                </c:pt>
                <c:pt idx="189">
                  <c:v>109.186623</c:v>
                </c:pt>
                <c:pt idx="190">
                  <c:v>112.815369</c:v>
                </c:pt>
                <c:pt idx="191">
                  <c:v>114.81192</c:v>
                </c:pt>
                <c:pt idx="192">
                  <c:v>114.709602</c:v>
                </c:pt>
                <c:pt idx="193">
                  <c:v>114.41011</c:v>
                </c:pt>
                <c:pt idx="194">
                  <c:v>115.363472</c:v>
                </c:pt>
                <c:pt idx="195">
                  <c:v>115.508217</c:v>
                </c:pt>
                <c:pt idx="196">
                  <c:v>118.071297</c:v>
                </c:pt>
                <c:pt idx="197">
                  <c:v>124.1558</c:v>
                </c:pt>
                <c:pt idx="198">
                  <c:v>125.640739</c:v>
                </c:pt>
                <c:pt idx="199">
                  <c:v>124.610016</c:v>
                </c:pt>
                <c:pt idx="200">
                  <c:v>126.304596</c:v>
                </c:pt>
                <c:pt idx="201">
                  <c:v>124.794701</c:v>
                </c:pt>
                <c:pt idx="202">
                  <c:v>124.592552</c:v>
                </c:pt>
                <c:pt idx="203">
                  <c:v>128.817749</c:v>
                </c:pt>
                <c:pt idx="204">
                  <c:v>133.948898</c:v>
                </c:pt>
                <c:pt idx="205">
                  <c:v>131.173691</c:v>
                </c:pt>
                <c:pt idx="206">
                  <c:v>120.671806</c:v>
                </c:pt>
                <c:pt idx="207">
                  <c:v>120.751671</c:v>
                </c:pt>
                <c:pt idx="208">
                  <c:v>112.625694</c:v>
                </c:pt>
                <c:pt idx="209">
                  <c:v>117.117943</c:v>
                </c:pt>
                <c:pt idx="210">
                  <c:v>113.29454</c:v>
                </c:pt>
                <c:pt idx="211">
                  <c:v>111.807106</c:v>
                </c:pt>
                <c:pt idx="212">
                  <c:v>115.161316</c:v>
                </c:pt>
                <c:pt idx="213">
                  <c:v>115.341011</c:v>
                </c:pt>
                <c:pt idx="214">
                  <c:v>111.936882</c:v>
                </c:pt>
                <c:pt idx="215">
                  <c:v>110.149963</c:v>
                </c:pt>
                <c:pt idx="216">
                  <c:v>106.655991</c:v>
                </c:pt>
                <c:pt idx="217">
                  <c:v>109.890411</c:v>
                </c:pt>
                <c:pt idx="218">
                  <c:v>111.617432</c:v>
                </c:pt>
                <c:pt idx="219">
                  <c:v>106.935509</c:v>
                </c:pt>
                <c:pt idx="220">
                  <c:v>108.033615</c:v>
                </c:pt>
                <c:pt idx="221">
                  <c:v>112.086624</c:v>
                </c:pt>
                <c:pt idx="222">
                  <c:v>114.762009</c:v>
                </c:pt>
                <c:pt idx="223">
                  <c:v>113.893501</c:v>
                </c:pt>
                <c:pt idx="224">
                  <c:v>115.610542</c:v>
                </c:pt>
                <c:pt idx="225">
                  <c:v>116.58886</c:v>
                </c:pt>
                <c:pt idx="226">
                  <c:v>112.825348</c:v>
                </c:pt>
                <c:pt idx="227">
                  <c:v>116.299355</c:v>
                </c:pt>
                <c:pt idx="228">
                  <c:v>112.965111</c:v>
                </c:pt>
                <c:pt idx="229">
                  <c:v>114.881805</c:v>
                </c:pt>
                <c:pt idx="230">
                  <c:v>114.771988</c:v>
                </c:pt>
                <c:pt idx="231">
                  <c:v>116.768547</c:v>
                </c:pt>
                <c:pt idx="232">
                  <c:v>124.185753</c:v>
                </c:pt>
                <c:pt idx="233">
                  <c:v>120.891434</c:v>
                </c:pt>
                <c:pt idx="234">
                  <c:v>120.981277</c:v>
                </c:pt>
                <c:pt idx="235">
                  <c:v>120.502106</c:v>
                </c:pt>
                <c:pt idx="236">
                  <c:v>118.81501</c:v>
                </c:pt>
                <c:pt idx="237">
                  <c:v>115.780251</c:v>
                </c:pt>
                <c:pt idx="238">
                  <c:v>117.307617</c:v>
                </c:pt>
                <c:pt idx="239">
                  <c:v>116.668724</c:v>
                </c:pt>
                <c:pt idx="240">
                  <c:v>115.550644</c:v>
                </c:pt>
                <c:pt idx="241">
                  <c:v>114.841873</c:v>
                </c:pt>
                <c:pt idx="242">
                  <c:v>114.851852</c:v>
                </c:pt>
                <c:pt idx="243">
                  <c:v>116.399178</c:v>
                </c:pt>
                <c:pt idx="244">
                  <c:v>111.008476</c:v>
                </c:pt>
                <c:pt idx="245">
                  <c:v>115.121384</c:v>
                </c:pt>
                <c:pt idx="246">
                  <c:v>108.672516</c:v>
                </c:pt>
                <c:pt idx="247">
                  <c:v>108.582664</c:v>
                </c:pt>
                <c:pt idx="248">
                  <c:v>110.249794</c:v>
                </c:pt>
                <c:pt idx="249">
                  <c:v>114.752022</c:v>
                </c:pt>
                <c:pt idx="250">
                  <c:v>118.824997</c:v>
                </c:pt>
                <c:pt idx="251">
                  <c:v>118.690002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HON (Honeywell Inc)  /  $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Data!$A$2:$A$258</c:f>
              <c:numCache>
                <c:formatCode>m/d/yyyy</c:formatCode>
                <c:ptCount val="257"/>
                <c:pt idx="0" c:formatCode="m/d/yyyy">
                  <c:v>43777</c:v>
                </c:pt>
                <c:pt idx="1" c:formatCode="m/d/yyyy">
                  <c:v>43780</c:v>
                </c:pt>
                <c:pt idx="2" c:formatCode="m/d/yyyy">
                  <c:v>43781</c:v>
                </c:pt>
                <c:pt idx="3" c:formatCode="m/d/yyyy">
                  <c:v>43782</c:v>
                </c:pt>
                <c:pt idx="4" c:formatCode="m/d/yyyy">
                  <c:v>43783</c:v>
                </c:pt>
                <c:pt idx="5" c:formatCode="m/d/yyyy">
                  <c:v>43784</c:v>
                </c:pt>
                <c:pt idx="6" c:formatCode="m/d/yyyy">
                  <c:v>43787</c:v>
                </c:pt>
                <c:pt idx="7" c:formatCode="m/d/yyyy">
                  <c:v>43788</c:v>
                </c:pt>
                <c:pt idx="8" c:formatCode="m/d/yyyy">
                  <c:v>43789</c:v>
                </c:pt>
                <c:pt idx="9" c:formatCode="m/d/yyyy">
                  <c:v>43790</c:v>
                </c:pt>
                <c:pt idx="10" c:formatCode="m/d/yyyy">
                  <c:v>43791</c:v>
                </c:pt>
                <c:pt idx="11" c:formatCode="m/d/yyyy">
                  <c:v>43794</c:v>
                </c:pt>
                <c:pt idx="12" c:formatCode="m/d/yyyy">
                  <c:v>43795</c:v>
                </c:pt>
                <c:pt idx="13" c:formatCode="m/d/yyyy">
                  <c:v>43796</c:v>
                </c:pt>
                <c:pt idx="14" c:formatCode="m/d/yyyy">
                  <c:v>43798</c:v>
                </c:pt>
                <c:pt idx="15" c:formatCode="m/d/yyyy">
                  <c:v>43801</c:v>
                </c:pt>
                <c:pt idx="16" c:formatCode="m/d/yyyy">
                  <c:v>43802</c:v>
                </c:pt>
                <c:pt idx="17" c:formatCode="m/d/yyyy">
                  <c:v>43803</c:v>
                </c:pt>
                <c:pt idx="18" c:formatCode="m/d/yyyy">
                  <c:v>43804</c:v>
                </c:pt>
                <c:pt idx="19" c:formatCode="m/d/yyyy">
                  <c:v>43805</c:v>
                </c:pt>
                <c:pt idx="20" c:formatCode="m/d/yyyy">
                  <c:v>43808</c:v>
                </c:pt>
                <c:pt idx="21" c:formatCode="m/d/yyyy">
                  <c:v>43809</c:v>
                </c:pt>
                <c:pt idx="22" c:formatCode="m/d/yyyy">
                  <c:v>43810</c:v>
                </c:pt>
                <c:pt idx="23" c:formatCode="m/d/yyyy">
                  <c:v>43811</c:v>
                </c:pt>
                <c:pt idx="24" c:formatCode="m/d/yyyy">
                  <c:v>43812</c:v>
                </c:pt>
                <c:pt idx="25" c:formatCode="m/d/yyyy">
                  <c:v>43815</c:v>
                </c:pt>
                <c:pt idx="26" c:formatCode="m/d/yyyy">
                  <c:v>43816</c:v>
                </c:pt>
                <c:pt idx="27" c:formatCode="m/d/yyyy">
                  <c:v>43817</c:v>
                </c:pt>
                <c:pt idx="28" c:formatCode="m/d/yyyy">
                  <c:v>43818</c:v>
                </c:pt>
                <c:pt idx="29" c:formatCode="m/d/yyyy">
                  <c:v>43819</c:v>
                </c:pt>
                <c:pt idx="30" c:formatCode="m/d/yyyy">
                  <c:v>43822</c:v>
                </c:pt>
                <c:pt idx="31" c:formatCode="m/d/yyyy">
                  <c:v>43823</c:v>
                </c:pt>
                <c:pt idx="32" c:formatCode="m/d/yyyy">
                  <c:v>43825</c:v>
                </c:pt>
                <c:pt idx="33" c:formatCode="m/d/yyyy">
                  <c:v>43826</c:v>
                </c:pt>
                <c:pt idx="34" c:formatCode="m/d/yyyy">
                  <c:v>43829</c:v>
                </c:pt>
                <c:pt idx="35" c:formatCode="m/d/yyyy">
                  <c:v>43830</c:v>
                </c:pt>
                <c:pt idx="36" c:formatCode="m/d/yyyy">
                  <c:v>43832</c:v>
                </c:pt>
                <c:pt idx="37" c:formatCode="m/d/yyyy">
                  <c:v>43833</c:v>
                </c:pt>
                <c:pt idx="38" c:formatCode="m/d/yyyy">
                  <c:v>43836</c:v>
                </c:pt>
                <c:pt idx="39" c:formatCode="m/d/yyyy">
                  <c:v>43837</c:v>
                </c:pt>
                <c:pt idx="40" c:formatCode="m/d/yyyy">
                  <c:v>43838</c:v>
                </c:pt>
                <c:pt idx="41" c:formatCode="m/d/yyyy">
                  <c:v>43839</c:v>
                </c:pt>
                <c:pt idx="42" c:formatCode="m/d/yyyy">
                  <c:v>43840</c:v>
                </c:pt>
                <c:pt idx="43" c:formatCode="m/d/yyyy">
                  <c:v>43843</c:v>
                </c:pt>
                <c:pt idx="44" c:formatCode="m/d/yyyy">
                  <c:v>43844</c:v>
                </c:pt>
                <c:pt idx="45" c:formatCode="m/d/yyyy">
                  <c:v>43845</c:v>
                </c:pt>
                <c:pt idx="46" c:formatCode="m/d/yyyy">
                  <c:v>43846</c:v>
                </c:pt>
                <c:pt idx="47" c:formatCode="m/d/yyyy">
                  <c:v>43847</c:v>
                </c:pt>
                <c:pt idx="48" c:formatCode="m/d/yyyy">
                  <c:v>43851</c:v>
                </c:pt>
                <c:pt idx="49" c:formatCode="m/d/yyyy">
                  <c:v>43852</c:v>
                </c:pt>
                <c:pt idx="50" c:formatCode="m/d/yyyy">
                  <c:v>43853</c:v>
                </c:pt>
                <c:pt idx="51" c:formatCode="m/d/yyyy">
                  <c:v>43854</c:v>
                </c:pt>
                <c:pt idx="52" c:formatCode="m/d/yyyy">
                  <c:v>43857</c:v>
                </c:pt>
                <c:pt idx="53" c:formatCode="m/d/yyyy">
                  <c:v>43858</c:v>
                </c:pt>
                <c:pt idx="54" c:formatCode="m/d/yyyy">
                  <c:v>43859</c:v>
                </c:pt>
                <c:pt idx="55" c:formatCode="m/d/yyyy">
                  <c:v>43860</c:v>
                </c:pt>
                <c:pt idx="56" c:formatCode="m/d/yyyy">
                  <c:v>43861</c:v>
                </c:pt>
                <c:pt idx="57" c:formatCode="m/d/yyyy">
                  <c:v>43864</c:v>
                </c:pt>
                <c:pt idx="58" c:formatCode="m/d/yyyy">
                  <c:v>43865</c:v>
                </c:pt>
                <c:pt idx="59" c:formatCode="m/d/yyyy">
                  <c:v>43866</c:v>
                </c:pt>
                <c:pt idx="60" c:formatCode="m/d/yyyy">
                  <c:v>43867</c:v>
                </c:pt>
                <c:pt idx="61" c:formatCode="m/d/yyyy">
                  <c:v>43868</c:v>
                </c:pt>
                <c:pt idx="62" c:formatCode="m/d/yyyy">
                  <c:v>43871</c:v>
                </c:pt>
                <c:pt idx="63" c:formatCode="m/d/yyyy">
                  <c:v>43872</c:v>
                </c:pt>
                <c:pt idx="64" c:formatCode="m/d/yyyy">
                  <c:v>43873</c:v>
                </c:pt>
                <c:pt idx="65" c:formatCode="m/d/yyyy">
                  <c:v>43874</c:v>
                </c:pt>
                <c:pt idx="66" c:formatCode="m/d/yyyy">
                  <c:v>43875</c:v>
                </c:pt>
                <c:pt idx="67" c:formatCode="m/d/yyyy">
                  <c:v>43879</c:v>
                </c:pt>
                <c:pt idx="68" c:formatCode="m/d/yyyy">
                  <c:v>43880</c:v>
                </c:pt>
                <c:pt idx="69" c:formatCode="m/d/yyyy">
                  <c:v>43881</c:v>
                </c:pt>
                <c:pt idx="70" c:formatCode="m/d/yyyy">
                  <c:v>43882</c:v>
                </c:pt>
                <c:pt idx="71" c:formatCode="m/d/yyyy">
                  <c:v>43885</c:v>
                </c:pt>
                <c:pt idx="72" c:formatCode="m/d/yyyy">
                  <c:v>43886</c:v>
                </c:pt>
                <c:pt idx="73" c:formatCode="m/d/yyyy">
                  <c:v>43887</c:v>
                </c:pt>
                <c:pt idx="74" c:formatCode="m/d/yyyy">
                  <c:v>43888</c:v>
                </c:pt>
                <c:pt idx="75" c:formatCode="m/d/yyyy">
                  <c:v>43889</c:v>
                </c:pt>
                <c:pt idx="76" c:formatCode="m/d/yyyy">
                  <c:v>43892</c:v>
                </c:pt>
                <c:pt idx="77" c:formatCode="m/d/yyyy">
                  <c:v>43893</c:v>
                </c:pt>
                <c:pt idx="78" c:formatCode="m/d/yyyy">
                  <c:v>43894</c:v>
                </c:pt>
                <c:pt idx="79" c:formatCode="m/d/yyyy">
                  <c:v>43895</c:v>
                </c:pt>
                <c:pt idx="80" c:formatCode="m/d/yyyy">
                  <c:v>43896</c:v>
                </c:pt>
                <c:pt idx="81" c:formatCode="m/d/yyyy">
                  <c:v>43899</c:v>
                </c:pt>
                <c:pt idx="82" c:formatCode="m/d/yyyy">
                  <c:v>43900</c:v>
                </c:pt>
                <c:pt idx="83" c:formatCode="m/d/yyyy">
                  <c:v>43901</c:v>
                </c:pt>
                <c:pt idx="84" c:formatCode="m/d/yyyy">
                  <c:v>43902</c:v>
                </c:pt>
                <c:pt idx="85" c:formatCode="m/d/yyyy">
                  <c:v>43903</c:v>
                </c:pt>
                <c:pt idx="86" c:formatCode="m/d/yyyy">
                  <c:v>43906</c:v>
                </c:pt>
                <c:pt idx="87" c:formatCode="m/d/yyyy">
                  <c:v>43907</c:v>
                </c:pt>
                <c:pt idx="88" c:formatCode="m/d/yyyy">
                  <c:v>43908</c:v>
                </c:pt>
                <c:pt idx="89" c:formatCode="m/d/yyyy">
                  <c:v>43909</c:v>
                </c:pt>
                <c:pt idx="90" c:formatCode="m/d/yyyy">
                  <c:v>43910</c:v>
                </c:pt>
                <c:pt idx="91" c:formatCode="m/d/yyyy">
                  <c:v>43913</c:v>
                </c:pt>
                <c:pt idx="92" c:formatCode="m/d/yyyy">
                  <c:v>43914</c:v>
                </c:pt>
                <c:pt idx="93" c:formatCode="m/d/yyyy">
                  <c:v>43915</c:v>
                </c:pt>
                <c:pt idx="94" c:formatCode="m/d/yyyy">
                  <c:v>43916</c:v>
                </c:pt>
                <c:pt idx="95" c:formatCode="m/d/yyyy">
                  <c:v>43917</c:v>
                </c:pt>
                <c:pt idx="96" c:formatCode="m/d/yyyy">
                  <c:v>43920</c:v>
                </c:pt>
                <c:pt idx="97" c:formatCode="m/d/yyyy">
                  <c:v>43921</c:v>
                </c:pt>
                <c:pt idx="98" c:formatCode="m/d/yyyy">
                  <c:v>43922</c:v>
                </c:pt>
                <c:pt idx="99" c:formatCode="m/d/yyyy">
                  <c:v>43923</c:v>
                </c:pt>
                <c:pt idx="100" c:formatCode="m/d/yyyy">
                  <c:v>43924</c:v>
                </c:pt>
                <c:pt idx="101" c:formatCode="m/d/yyyy">
                  <c:v>43927</c:v>
                </c:pt>
                <c:pt idx="102" c:formatCode="m/d/yyyy">
                  <c:v>43928</c:v>
                </c:pt>
                <c:pt idx="103" c:formatCode="m/d/yyyy">
                  <c:v>43929</c:v>
                </c:pt>
                <c:pt idx="104" c:formatCode="m/d/yyyy">
                  <c:v>43930</c:v>
                </c:pt>
                <c:pt idx="105" c:formatCode="m/d/yyyy">
                  <c:v>43934</c:v>
                </c:pt>
                <c:pt idx="106" c:formatCode="m/d/yyyy">
                  <c:v>43935</c:v>
                </c:pt>
                <c:pt idx="107" c:formatCode="m/d/yyyy">
                  <c:v>43936</c:v>
                </c:pt>
                <c:pt idx="108" c:formatCode="m/d/yyyy">
                  <c:v>43937</c:v>
                </c:pt>
                <c:pt idx="109" c:formatCode="m/d/yyyy">
                  <c:v>43938</c:v>
                </c:pt>
                <c:pt idx="110" c:formatCode="m/d/yyyy">
                  <c:v>43941</c:v>
                </c:pt>
                <c:pt idx="111" c:formatCode="m/d/yyyy">
                  <c:v>43942</c:v>
                </c:pt>
                <c:pt idx="112" c:formatCode="m/d/yyyy">
                  <c:v>43943</c:v>
                </c:pt>
                <c:pt idx="113" c:formatCode="m/d/yyyy">
                  <c:v>43944</c:v>
                </c:pt>
                <c:pt idx="114" c:formatCode="m/d/yyyy">
                  <c:v>43945</c:v>
                </c:pt>
                <c:pt idx="115" c:formatCode="m/d/yyyy">
                  <c:v>43948</c:v>
                </c:pt>
                <c:pt idx="116" c:formatCode="m/d/yyyy">
                  <c:v>43949</c:v>
                </c:pt>
                <c:pt idx="117" c:formatCode="m/d/yyyy">
                  <c:v>43950</c:v>
                </c:pt>
                <c:pt idx="118" c:formatCode="m/d/yyyy">
                  <c:v>43951</c:v>
                </c:pt>
                <c:pt idx="119" c:formatCode="m/d/yyyy">
                  <c:v>43952</c:v>
                </c:pt>
                <c:pt idx="120" c:formatCode="m/d/yyyy">
                  <c:v>43955</c:v>
                </c:pt>
                <c:pt idx="121" c:formatCode="m/d/yyyy">
                  <c:v>43956</c:v>
                </c:pt>
                <c:pt idx="122" c:formatCode="m/d/yyyy">
                  <c:v>43957</c:v>
                </c:pt>
                <c:pt idx="123" c:formatCode="m/d/yyyy">
                  <c:v>43958</c:v>
                </c:pt>
                <c:pt idx="124" c:formatCode="m/d/yyyy">
                  <c:v>43959</c:v>
                </c:pt>
                <c:pt idx="125" c:formatCode="m/d/yyyy">
                  <c:v>43962</c:v>
                </c:pt>
                <c:pt idx="126" c:formatCode="m/d/yyyy">
                  <c:v>43963</c:v>
                </c:pt>
                <c:pt idx="127" c:formatCode="m/d/yyyy">
                  <c:v>43964</c:v>
                </c:pt>
                <c:pt idx="128" c:formatCode="m/d/yyyy">
                  <c:v>43965</c:v>
                </c:pt>
                <c:pt idx="129" c:formatCode="m/d/yyyy">
                  <c:v>43966</c:v>
                </c:pt>
                <c:pt idx="130" c:formatCode="m/d/yyyy">
                  <c:v>43969</c:v>
                </c:pt>
                <c:pt idx="131" c:formatCode="m/d/yyyy">
                  <c:v>43970</c:v>
                </c:pt>
                <c:pt idx="132" c:formatCode="m/d/yyyy">
                  <c:v>43971</c:v>
                </c:pt>
                <c:pt idx="133" c:formatCode="m/d/yyyy">
                  <c:v>43972</c:v>
                </c:pt>
                <c:pt idx="134" c:formatCode="m/d/yyyy">
                  <c:v>43973</c:v>
                </c:pt>
                <c:pt idx="135" c:formatCode="m/d/yyyy">
                  <c:v>43977</c:v>
                </c:pt>
                <c:pt idx="136" c:formatCode="m/d/yyyy">
                  <c:v>43978</c:v>
                </c:pt>
                <c:pt idx="137" c:formatCode="m/d/yyyy">
                  <c:v>43979</c:v>
                </c:pt>
                <c:pt idx="138" c:formatCode="m/d/yyyy">
                  <c:v>43980</c:v>
                </c:pt>
                <c:pt idx="139" c:formatCode="m/d/yyyy">
                  <c:v>43983</c:v>
                </c:pt>
                <c:pt idx="140" c:formatCode="m/d/yyyy">
                  <c:v>43984</c:v>
                </c:pt>
                <c:pt idx="141" c:formatCode="m/d/yyyy">
                  <c:v>43985</c:v>
                </c:pt>
                <c:pt idx="142" c:formatCode="m/d/yyyy">
                  <c:v>43986</c:v>
                </c:pt>
                <c:pt idx="143" c:formatCode="m/d/yyyy">
                  <c:v>43987</c:v>
                </c:pt>
                <c:pt idx="144" c:formatCode="m/d/yyyy">
                  <c:v>43990</c:v>
                </c:pt>
                <c:pt idx="145" c:formatCode="m/d/yyyy">
                  <c:v>43991</c:v>
                </c:pt>
                <c:pt idx="146" c:formatCode="m/d/yyyy">
                  <c:v>43992</c:v>
                </c:pt>
                <c:pt idx="147" c:formatCode="m/d/yyyy">
                  <c:v>43993</c:v>
                </c:pt>
                <c:pt idx="148" c:formatCode="m/d/yyyy">
                  <c:v>43994</c:v>
                </c:pt>
                <c:pt idx="149" c:formatCode="m/d/yyyy">
                  <c:v>43997</c:v>
                </c:pt>
                <c:pt idx="150" c:formatCode="m/d/yyyy">
                  <c:v>43998</c:v>
                </c:pt>
                <c:pt idx="151" c:formatCode="m/d/yyyy">
                  <c:v>43999</c:v>
                </c:pt>
                <c:pt idx="152" c:formatCode="m/d/yyyy">
                  <c:v>44000</c:v>
                </c:pt>
                <c:pt idx="153" c:formatCode="m/d/yyyy">
                  <c:v>44001</c:v>
                </c:pt>
                <c:pt idx="154" c:formatCode="m/d/yyyy">
                  <c:v>44004</c:v>
                </c:pt>
                <c:pt idx="155" c:formatCode="m/d/yyyy">
                  <c:v>44005</c:v>
                </c:pt>
                <c:pt idx="156" c:formatCode="m/d/yyyy">
                  <c:v>44006</c:v>
                </c:pt>
                <c:pt idx="157" c:formatCode="m/d/yyyy">
                  <c:v>44007</c:v>
                </c:pt>
                <c:pt idx="158" c:formatCode="m/d/yyyy">
                  <c:v>44008</c:v>
                </c:pt>
                <c:pt idx="159" c:formatCode="m/d/yyyy">
                  <c:v>44011</c:v>
                </c:pt>
                <c:pt idx="160" c:formatCode="m/d/yyyy">
                  <c:v>44012</c:v>
                </c:pt>
                <c:pt idx="161" c:formatCode="m/d/yyyy">
                  <c:v>44013</c:v>
                </c:pt>
                <c:pt idx="162" c:formatCode="m/d/yyyy">
                  <c:v>44014</c:v>
                </c:pt>
                <c:pt idx="163" c:formatCode="m/d/yyyy">
                  <c:v>44018</c:v>
                </c:pt>
                <c:pt idx="164" c:formatCode="m/d/yyyy">
                  <c:v>44019</c:v>
                </c:pt>
                <c:pt idx="165" c:formatCode="m/d/yyyy">
                  <c:v>44020</c:v>
                </c:pt>
                <c:pt idx="166" c:formatCode="m/d/yyyy">
                  <c:v>44021</c:v>
                </c:pt>
                <c:pt idx="167" c:formatCode="m/d/yyyy">
                  <c:v>44022</c:v>
                </c:pt>
                <c:pt idx="168" c:formatCode="m/d/yyyy">
                  <c:v>44025</c:v>
                </c:pt>
                <c:pt idx="169" c:formatCode="m/d/yyyy">
                  <c:v>44026</c:v>
                </c:pt>
                <c:pt idx="170" c:formatCode="m/d/yyyy">
                  <c:v>44027</c:v>
                </c:pt>
                <c:pt idx="171" c:formatCode="m/d/yyyy">
                  <c:v>44028</c:v>
                </c:pt>
                <c:pt idx="172" c:formatCode="m/d/yyyy">
                  <c:v>44029</c:v>
                </c:pt>
                <c:pt idx="173" c:formatCode="m/d/yyyy">
                  <c:v>44032</c:v>
                </c:pt>
                <c:pt idx="174" c:formatCode="m/d/yyyy">
                  <c:v>44033</c:v>
                </c:pt>
                <c:pt idx="175" c:formatCode="m/d/yyyy">
                  <c:v>44034</c:v>
                </c:pt>
                <c:pt idx="176" c:formatCode="m/d/yyyy">
                  <c:v>44035</c:v>
                </c:pt>
                <c:pt idx="177" c:formatCode="m/d/yyyy">
                  <c:v>44036</c:v>
                </c:pt>
                <c:pt idx="178" c:formatCode="m/d/yyyy">
                  <c:v>44039</c:v>
                </c:pt>
                <c:pt idx="179" c:formatCode="m/d/yyyy">
                  <c:v>44040</c:v>
                </c:pt>
                <c:pt idx="180" c:formatCode="m/d/yyyy">
                  <c:v>44041</c:v>
                </c:pt>
                <c:pt idx="181" c:formatCode="m/d/yyyy">
                  <c:v>44042</c:v>
                </c:pt>
                <c:pt idx="182" c:formatCode="m/d/yyyy">
                  <c:v>44043</c:v>
                </c:pt>
                <c:pt idx="183" c:formatCode="m/d/yyyy">
                  <c:v>44046</c:v>
                </c:pt>
                <c:pt idx="184" c:formatCode="m/d/yyyy">
                  <c:v>44047</c:v>
                </c:pt>
                <c:pt idx="185" c:formatCode="m/d/yyyy">
                  <c:v>44048</c:v>
                </c:pt>
                <c:pt idx="186" c:formatCode="m/d/yyyy">
                  <c:v>44049</c:v>
                </c:pt>
                <c:pt idx="187" c:formatCode="m/d/yyyy">
                  <c:v>44050</c:v>
                </c:pt>
                <c:pt idx="188" c:formatCode="m/d/yyyy">
                  <c:v>44053</c:v>
                </c:pt>
                <c:pt idx="189" c:formatCode="m/d/yyyy">
                  <c:v>44054</c:v>
                </c:pt>
                <c:pt idx="190" c:formatCode="m/d/yyyy">
                  <c:v>44055</c:v>
                </c:pt>
                <c:pt idx="191" c:formatCode="m/d/yyyy">
                  <c:v>44056</c:v>
                </c:pt>
                <c:pt idx="192" c:formatCode="m/d/yyyy">
                  <c:v>44057</c:v>
                </c:pt>
                <c:pt idx="193" c:formatCode="m/d/yyyy">
                  <c:v>44060</c:v>
                </c:pt>
                <c:pt idx="194" c:formatCode="m/d/yyyy">
                  <c:v>44061</c:v>
                </c:pt>
                <c:pt idx="195" c:formatCode="m/d/yyyy">
                  <c:v>44062</c:v>
                </c:pt>
                <c:pt idx="196" c:formatCode="m/d/yyyy">
                  <c:v>44063</c:v>
                </c:pt>
                <c:pt idx="197" c:formatCode="m/d/yyyy">
                  <c:v>44064</c:v>
                </c:pt>
                <c:pt idx="198" c:formatCode="m/d/yyyy">
                  <c:v>44067</c:v>
                </c:pt>
                <c:pt idx="199" c:formatCode="m/d/yyyy">
                  <c:v>44068</c:v>
                </c:pt>
                <c:pt idx="200" c:formatCode="m/d/yyyy">
                  <c:v>44069</c:v>
                </c:pt>
                <c:pt idx="201" c:formatCode="m/d/yyyy">
                  <c:v>44070</c:v>
                </c:pt>
                <c:pt idx="202" c:formatCode="m/d/yyyy">
                  <c:v>44071</c:v>
                </c:pt>
                <c:pt idx="203" c:formatCode="m/d/yyyy">
                  <c:v>44074</c:v>
                </c:pt>
                <c:pt idx="204" c:formatCode="m/d/yyyy">
                  <c:v>44075</c:v>
                </c:pt>
                <c:pt idx="205" c:formatCode="m/d/yyyy">
                  <c:v>44076</c:v>
                </c:pt>
                <c:pt idx="206" c:formatCode="m/d/yyyy">
                  <c:v>44077</c:v>
                </c:pt>
                <c:pt idx="207" c:formatCode="m/d/yyyy">
                  <c:v>44078</c:v>
                </c:pt>
                <c:pt idx="208" c:formatCode="m/d/yyyy">
                  <c:v>44082</c:v>
                </c:pt>
                <c:pt idx="209" c:formatCode="m/d/yyyy">
                  <c:v>44083</c:v>
                </c:pt>
                <c:pt idx="210" c:formatCode="m/d/yyyy">
                  <c:v>44084</c:v>
                </c:pt>
                <c:pt idx="211" c:formatCode="m/d/yyyy">
                  <c:v>44085</c:v>
                </c:pt>
                <c:pt idx="212" c:formatCode="m/d/yyyy">
                  <c:v>44088</c:v>
                </c:pt>
                <c:pt idx="213" c:formatCode="m/d/yyyy">
                  <c:v>44089</c:v>
                </c:pt>
                <c:pt idx="214" c:formatCode="m/d/yyyy">
                  <c:v>44090</c:v>
                </c:pt>
                <c:pt idx="215" c:formatCode="m/d/yyyy">
                  <c:v>44091</c:v>
                </c:pt>
                <c:pt idx="216" c:formatCode="m/d/yyyy">
                  <c:v>44092</c:v>
                </c:pt>
                <c:pt idx="217" c:formatCode="m/d/yyyy">
                  <c:v>44095</c:v>
                </c:pt>
                <c:pt idx="218" c:formatCode="m/d/yyyy">
                  <c:v>44096</c:v>
                </c:pt>
                <c:pt idx="219" c:formatCode="m/d/yyyy">
                  <c:v>44097</c:v>
                </c:pt>
                <c:pt idx="220" c:formatCode="m/d/yyyy">
                  <c:v>44098</c:v>
                </c:pt>
                <c:pt idx="221" c:formatCode="m/d/yyyy">
                  <c:v>44099</c:v>
                </c:pt>
                <c:pt idx="222" c:formatCode="m/d/yyyy">
                  <c:v>44102</c:v>
                </c:pt>
                <c:pt idx="223" c:formatCode="m/d/yyyy">
                  <c:v>44103</c:v>
                </c:pt>
                <c:pt idx="224" c:formatCode="m/d/yyyy">
                  <c:v>44104</c:v>
                </c:pt>
                <c:pt idx="225" c:formatCode="m/d/yyyy">
                  <c:v>44105</c:v>
                </c:pt>
                <c:pt idx="226" c:formatCode="m/d/yyyy">
                  <c:v>44106</c:v>
                </c:pt>
                <c:pt idx="227" c:formatCode="m/d/yyyy">
                  <c:v>44109</c:v>
                </c:pt>
                <c:pt idx="228" c:formatCode="m/d/yyyy">
                  <c:v>44110</c:v>
                </c:pt>
                <c:pt idx="229" c:formatCode="m/d/yyyy">
                  <c:v>44111</c:v>
                </c:pt>
                <c:pt idx="230" c:formatCode="m/d/yyyy">
                  <c:v>44112</c:v>
                </c:pt>
                <c:pt idx="231" c:formatCode="m/d/yyyy">
                  <c:v>44113</c:v>
                </c:pt>
                <c:pt idx="232" c:formatCode="m/d/yyyy">
                  <c:v>44116</c:v>
                </c:pt>
                <c:pt idx="233" c:formatCode="m/d/yyyy">
                  <c:v>44117</c:v>
                </c:pt>
                <c:pt idx="234" c:formatCode="m/d/yyyy">
                  <c:v>44118</c:v>
                </c:pt>
                <c:pt idx="235" c:formatCode="m/d/yyyy">
                  <c:v>44119</c:v>
                </c:pt>
                <c:pt idx="236" c:formatCode="m/d/yyyy">
                  <c:v>44120</c:v>
                </c:pt>
                <c:pt idx="237" c:formatCode="m/d/yyyy">
                  <c:v>44123</c:v>
                </c:pt>
                <c:pt idx="238" c:formatCode="m/d/yyyy">
                  <c:v>44124</c:v>
                </c:pt>
                <c:pt idx="239" c:formatCode="m/d/yyyy">
                  <c:v>44125</c:v>
                </c:pt>
                <c:pt idx="240" c:formatCode="m/d/yyyy">
                  <c:v>44126</c:v>
                </c:pt>
                <c:pt idx="241" c:formatCode="m/d/yyyy">
                  <c:v>44127</c:v>
                </c:pt>
                <c:pt idx="242" c:formatCode="m/d/yyyy">
                  <c:v>44130</c:v>
                </c:pt>
                <c:pt idx="243" c:formatCode="m/d/yyyy">
                  <c:v>44131</c:v>
                </c:pt>
                <c:pt idx="244" c:formatCode="m/d/yyyy">
                  <c:v>44132</c:v>
                </c:pt>
                <c:pt idx="245" c:formatCode="m/d/yyyy">
                  <c:v>44133</c:v>
                </c:pt>
                <c:pt idx="246" c:formatCode="m/d/yyyy">
                  <c:v>44134</c:v>
                </c:pt>
                <c:pt idx="247" c:formatCode="m/d/yyyy">
                  <c:v>44137</c:v>
                </c:pt>
                <c:pt idx="248" c:formatCode="m/d/yyyy">
                  <c:v>44138</c:v>
                </c:pt>
                <c:pt idx="249" c:formatCode="m/d/yyyy">
                  <c:v>44139</c:v>
                </c:pt>
                <c:pt idx="250" c:formatCode="m/d/yyyy">
                  <c:v>44140</c:v>
                </c:pt>
                <c:pt idx="251" c:formatCode="m/d/yyyy">
                  <c:v>44141</c:v>
                </c:pt>
                <c:pt idx="252" c:formatCode="m/d/yyyy">
                  <c:v>44144</c:v>
                </c:pt>
                <c:pt idx="253" c:formatCode="m/d/yyyy">
                  <c:v>44145</c:v>
                </c:pt>
                <c:pt idx="254" c:formatCode="m/d/yyyy">
                  <c:v>44146</c:v>
                </c:pt>
                <c:pt idx="255" c:formatCode="m/d/yyyy">
                  <c:v>44147</c:v>
                </c:pt>
                <c:pt idx="256" c:formatCode="m/d/yyyy">
                  <c:v>44148</c:v>
                </c:pt>
              </c:numCache>
            </c:numRef>
          </c:cat>
          <c:val>
            <c:numRef>
              <c:f>Data!$E$2:$E$258</c:f>
              <c:numCache>
                <c:formatCode>0.00</c:formatCode>
                <c:ptCount val="257"/>
                <c:pt idx="0">
                  <c:v>177.029373</c:v>
                </c:pt>
                <c:pt idx="1">
                  <c:v>176.658142</c:v>
                </c:pt>
                <c:pt idx="2">
                  <c:v>177.810913</c:v>
                </c:pt>
                <c:pt idx="3">
                  <c:v>177.752319</c:v>
                </c:pt>
                <c:pt idx="4">
                  <c:v>176.377808</c:v>
                </c:pt>
                <c:pt idx="5">
                  <c:v>178.43956</c:v>
                </c:pt>
                <c:pt idx="6">
                  <c:v>176.52507</c:v>
                </c:pt>
                <c:pt idx="7">
                  <c:v>176.839249</c:v>
                </c:pt>
                <c:pt idx="8">
                  <c:v>173.992081</c:v>
                </c:pt>
                <c:pt idx="9">
                  <c:v>173.314636</c:v>
                </c:pt>
                <c:pt idx="10">
                  <c:v>173.569901</c:v>
                </c:pt>
                <c:pt idx="11">
                  <c:v>173.294998</c:v>
                </c:pt>
                <c:pt idx="12">
                  <c:v>175.268387</c:v>
                </c:pt>
                <c:pt idx="13">
                  <c:v>176.151993</c:v>
                </c:pt>
                <c:pt idx="14">
                  <c:v>175.297852</c:v>
                </c:pt>
                <c:pt idx="15">
                  <c:v>171.144913</c:v>
                </c:pt>
                <c:pt idx="16">
                  <c:v>169.407135</c:v>
                </c:pt>
                <c:pt idx="17">
                  <c:v>170.055115</c:v>
                </c:pt>
                <c:pt idx="18">
                  <c:v>170.84053</c:v>
                </c:pt>
                <c:pt idx="19">
                  <c:v>172.264145</c:v>
                </c:pt>
                <c:pt idx="20">
                  <c:v>171.311798</c:v>
                </c:pt>
                <c:pt idx="21">
                  <c:v>170.86998</c:v>
                </c:pt>
                <c:pt idx="22">
                  <c:v>172.804092</c:v>
                </c:pt>
                <c:pt idx="23">
                  <c:v>174.158981</c:v>
                </c:pt>
                <c:pt idx="24">
                  <c:v>173.756439</c:v>
                </c:pt>
                <c:pt idx="25">
                  <c:v>173.186996</c:v>
                </c:pt>
                <c:pt idx="26">
                  <c:v>173.481537</c:v>
                </c:pt>
                <c:pt idx="27">
                  <c:v>171.459061</c:v>
                </c:pt>
                <c:pt idx="28">
                  <c:v>173.285187</c:v>
                </c:pt>
                <c:pt idx="29">
                  <c:v>173.196823</c:v>
                </c:pt>
                <c:pt idx="30">
                  <c:v>173.216461</c:v>
                </c:pt>
                <c:pt idx="31">
                  <c:v>173.098648</c:v>
                </c:pt>
                <c:pt idx="32">
                  <c:v>173.658264</c:v>
                </c:pt>
                <c:pt idx="33">
                  <c:v>173.265564</c:v>
                </c:pt>
                <c:pt idx="34">
                  <c:v>173.206619</c:v>
                </c:pt>
                <c:pt idx="35">
                  <c:v>173.776062</c:v>
                </c:pt>
                <c:pt idx="36">
                  <c:v>177.49704</c:v>
                </c:pt>
                <c:pt idx="37">
                  <c:v>175.602203</c:v>
                </c:pt>
                <c:pt idx="38">
                  <c:v>174.276794</c:v>
                </c:pt>
                <c:pt idx="39">
                  <c:v>174.374969</c:v>
                </c:pt>
                <c:pt idx="40">
                  <c:v>174.522232</c:v>
                </c:pt>
                <c:pt idx="41">
                  <c:v>175.80838</c:v>
                </c:pt>
                <c:pt idx="42">
                  <c:v>175.425461</c:v>
                </c:pt>
                <c:pt idx="43">
                  <c:v>177.968292</c:v>
                </c:pt>
                <c:pt idx="44">
                  <c:v>177.163223</c:v>
                </c:pt>
                <c:pt idx="45">
                  <c:v>177.438126</c:v>
                </c:pt>
                <c:pt idx="46">
                  <c:v>178.940262</c:v>
                </c:pt>
                <c:pt idx="47">
                  <c:v>179.892593</c:v>
                </c:pt>
                <c:pt idx="48">
                  <c:v>177.634491</c:v>
                </c:pt>
                <c:pt idx="49">
                  <c:v>176.770523</c:v>
                </c:pt>
                <c:pt idx="50">
                  <c:v>176.309097</c:v>
                </c:pt>
                <c:pt idx="51">
                  <c:v>173.903717</c:v>
                </c:pt>
                <c:pt idx="52">
                  <c:v>170.379089</c:v>
                </c:pt>
                <c:pt idx="53">
                  <c:v>172.264145</c:v>
                </c:pt>
                <c:pt idx="54">
                  <c:v>172.470306</c:v>
                </c:pt>
                <c:pt idx="55">
                  <c:v>175.09166</c:v>
                </c:pt>
                <c:pt idx="56">
                  <c:v>170.064926</c:v>
                </c:pt>
                <c:pt idx="57">
                  <c:v>168.199554</c:v>
                </c:pt>
                <c:pt idx="58">
                  <c:v>172.018692</c:v>
                </c:pt>
                <c:pt idx="59">
                  <c:v>173.677887</c:v>
                </c:pt>
                <c:pt idx="60">
                  <c:v>173.137924</c:v>
                </c:pt>
                <c:pt idx="61">
                  <c:v>172.087387</c:v>
                </c:pt>
                <c:pt idx="62">
                  <c:v>173.72699</c:v>
                </c:pt>
                <c:pt idx="63">
                  <c:v>175.886917</c:v>
                </c:pt>
                <c:pt idx="64">
                  <c:v>177.879929</c:v>
                </c:pt>
                <c:pt idx="65">
                  <c:v>176.839249</c:v>
                </c:pt>
                <c:pt idx="66">
                  <c:v>177.516693</c:v>
                </c:pt>
                <c:pt idx="67">
                  <c:v>176.151993</c:v>
                </c:pt>
                <c:pt idx="68">
                  <c:v>177.565765</c:v>
                </c:pt>
                <c:pt idx="69">
                  <c:v>177.408691</c:v>
                </c:pt>
                <c:pt idx="70">
                  <c:v>176.603622</c:v>
                </c:pt>
                <c:pt idx="71">
                  <c:v>172.077591</c:v>
                </c:pt>
                <c:pt idx="72">
                  <c:v>164.743652</c:v>
                </c:pt>
                <c:pt idx="73">
                  <c:v>164.134918</c:v>
                </c:pt>
                <c:pt idx="74">
                  <c:v>157.49176</c:v>
                </c:pt>
                <c:pt idx="75">
                  <c:v>160.077957</c:v>
                </c:pt>
                <c:pt idx="76">
                  <c:v>162.121277</c:v>
                </c:pt>
                <c:pt idx="77">
                  <c:v>159.801575</c:v>
                </c:pt>
                <c:pt idx="78">
                  <c:v>168.981613</c:v>
                </c:pt>
                <c:pt idx="79">
                  <c:v>162.79248</c:v>
                </c:pt>
                <c:pt idx="80">
                  <c:v>161.913971</c:v>
                </c:pt>
                <c:pt idx="81">
                  <c:v>150.888062</c:v>
                </c:pt>
                <c:pt idx="82">
                  <c:v>159.604156</c:v>
                </c:pt>
                <c:pt idx="83">
                  <c:v>151.411224</c:v>
                </c:pt>
                <c:pt idx="84">
                  <c:v>133.110397</c:v>
                </c:pt>
                <c:pt idx="85">
                  <c:v>147.482574</c:v>
                </c:pt>
                <c:pt idx="86">
                  <c:v>133.524979</c:v>
                </c:pt>
                <c:pt idx="87">
                  <c:v>130.099747</c:v>
                </c:pt>
                <c:pt idx="88">
                  <c:v>118.067001</c:v>
                </c:pt>
                <c:pt idx="89">
                  <c:v>117.425385</c:v>
                </c:pt>
                <c:pt idx="90">
                  <c:v>111.048721</c:v>
                </c:pt>
                <c:pt idx="91">
                  <c:v>102.520172</c:v>
                </c:pt>
                <c:pt idx="92">
                  <c:v>117.968285</c:v>
                </c:pt>
                <c:pt idx="93">
                  <c:v>127.977478</c:v>
                </c:pt>
                <c:pt idx="94">
                  <c:v>135.627487</c:v>
                </c:pt>
                <c:pt idx="95">
                  <c:v>129.576599</c:v>
                </c:pt>
                <c:pt idx="96">
                  <c:v>130.050385</c:v>
                </c:pt>
                <c:pt idx="97">
                  <c:v>132.064072</c:v>
                </c:pt>
                <c:pt idx="98">
                  <c:v>128.036713</c:v>
                </c:pt>
                <c:pt idx="99">
                  <c:v>131.09671</c:v>
                </c:pt>
                <c:pt idx="100">
                  <c:v>125.805862</c:v>
                </c:pt>
                <c:pt idx="101">
                  <c:v>132.271362</c:v>
                </c:pt>
                <c:pt idx="102">
                  <c:v>133.495361</c:v>
                </c:pt>
                <c:pt idx="103">
                  <c:v>137.453644</c:v>
                </c:pt>
                <c:pt idx="104">
                  <c:v>141.579712</c:v>
                </c:pt>
                <c:pt idx="105">
                  <c:v>136.160538</c:v>
                </c:pt>
                <c:pt idx="106">
                  <c:v>138.776337</c:v>
                </c:pt>
                <c:pt idx="107">
                  <c:v>133.100525</c:v>
                </c:pt>
                <c:pt idx="108">
                  <c:v>130.62291</c:v>
                </c:pt>
                <c:pt idx="109">
                  <c:v>136.535645</c:v>
                </c:pt>
                <c:pt idx="110">
                  <c:v>133.949432</c:v>
                </c:pt>
                <c:pt idx="111">
                  <c:v>130.297165</c:v>
                </c:pt>
                <c:pt idx="112">
                  <c:v>131.313873</c:v>
                </c:pt>
                <c:pt idx="113">
                  <c:v>132.942581</c:v>
                </c:pt>
                <c:pt idx="114">
                  <c:v>133.771759</c:v>
                </c:pt>
                <c:pt idx="115">
                  <c:v>138.075516</c:v>
                </c:pt>
                <c:pt idx="116">
                  <c:v>140.91835</c:v>
                </c:pt>
                <c:pt idx="117">
                  <c:v>144.274506</c:v>
                </c:pt>
                <c:pt idx="118">
                  <c:v>140.069443</c:v>
                </c:pt>
                <c:pt idx="119">
                  <c:v>135.479431</c:v>
                </c:pt>
                <c:pt idx="120">
                  <c:v>133.455887</c:v>
                </c:pt>
                <c:pt idx="121">
                  <c:v>133.130142</c:v>
                </c:pt>
                <c:pt idx="122">
                  <c:v>131.323746</c:v>
                </c:pt>
                <c:pt idx="123">
                  <c:v>131.076965</c:v>
                </c:pt>
                <c:pt idx="124">
                  <c:v>135.143829</c:v>
                </c:pt>
                <c:pt idx="125">
                  <c:v>132.54776</c:v>
                </c:pt>
                <c:pt idx="126">
                  <c:v>125.944046</c:v>
                </c:pt>
                <c:pt idx="127">
                  <c:v>121.383652</c:v>
                </c:pt>
                <c:pt idx="128">
                  <c:v>126.335655</c:v>
                </c:pt>
                <c:pt idx="129">
                  <c:v>124.70488</c:v>
                </c:pt>
                <c:pt idx="130">
                  <c:v>135.275101</c:v>
                </c:pt>
                <c:pt idx="131">
                  <c:v>131.208099</c:v>
                </c:pt>
                <c:pt idx="132">
                  <c:v>135.265167</c:v>
                </c:pt>
                <c:pt idx="133">
                  <c:v>136.915833</c:v>
                </c:pt>
                <c:pt idx="134">
                  <c:v>138.397446</c:v>
                </c:pt>
                <c:pt idx="135">
                  <c:v>144.125061</c:v>
                </c:pt>
                <c:pt idx="136">
                  <c:v>147.754532</c:v>
                </c:pt>
                <c:pt idx="137">
                  <c:v>146.730331</c:v>
                </c:pt>
                <c:pt idx="138">
                  <c:v>145.029953</c:v>
                </c:pt>
                <c:pt idx="139">
                  <c:v>145.358093</c:v>
                </c:pt>
                <c:pt idx="140">
                  <c:v>147.5159</c:v>
                </c:pt>
                <c:pt idx="141">
                  <c:v>152.487793</c:v>
                </c:pt>
                <c:pt idx="142">
                  <c:v>155.033386</c:v>
                </c:pt>
                <c:pt idx="143">
                  <c:v>160.462677</c:v>
                </c:pt>
                <c:pt idx="144">
                  <c:v>162.003967</c:v>
                </c:pt>
                <c:pt idx="145">
                  <c:v>157.211075</c:v>
                </c:pt>
                <c:pt idx="146">
                  <c:v>153.253448</c:v>
                </c:pt>
                <c:pt idx="147">
                  <c:v>142.633499</c:v>
                </c:pt>
                <c:pt idx="148">
                  <c:v>143.697479</c:v>
                </c:pt>
                <c:pt idx="149">
                  <c:v>145.805573</c:v>
                </c:pt>
                <c:pt idx="150">
                  <c:v>148.271622</c:v>
                </c:pt>
                <c:pt idx="151">
                  <c:v>147.505951</c:v>
                </c:pt>
                <c:pt idx="152">
                  <c:v>147.396561</c:v>
                </c:pt>
                <c:pt idx="153">
                  <c:v>144.552643</c:v>
                </c:pt>
                <c:pt idx="154">
                  <c:v>144.125061</c:v>
                </c:pt>
                <c:pt idx="155">
                  <c:v>144.045517</c:v>
                </c:pt>
                <c:pt idx="156">
                  <c:v>137.572128</c:v>
                </c:pt>
                <c:pt idx="157">
                  <c:v>141.659012</c:v>
                </c:pt>
                <c:pt idx="158">
                  <c:v>137.432907</c:v>
                </c:pt>
                <c:pt idx="159">
                  <c:v>142.434631</c:v>
                </c:pt>
                <c:pt idx="160">
                  <c:v>143.777023</c:v>
                </c:pt>
                <c:pt idx="161">
                  <c:v>143.299728</c:v>
                </c:pt>
                <c:pt idx="162">
                  <c:v>144.20462</c:v>
                </c:pt>
                <c:pt idx="163">
                  <c:v>146.392242</c:v>
                </c:pt>
                <c:pt idx="164">
                  <c:v>144.154892</c:v>
                </c:pt>
                <c:pt idx="165">
                  <c:v>144.771408</c:v>
                </c:pt>
                <c:pt idx="166">
                  <c:v>140.575134</c:v>
                </c:pt>
                <c:pt idx="167">
                  <c:v>141.649063</c:v>
                </c:pt>
                <c:pt idx="168">
                  <c:v>142.683228</c:v>
                </c:pt>
                <c:pt idx="169">
                  <c:v>147.267303</c:v>
                </c:pt>
                <c:pt idx="170">
                  <c:v>151.07576</c:v>
                </c:pt>
                <c:pt idx="171">
                  <c:v>152.219299</c:v>
                </c:pt>
                <c:pt idx="172">
                  <c:v>154.12851</c:v>
                </c:pt>
                <c:pt idx="173">
                  <c:v>152.527557</c:v>
                </c:pt>
                <c:pt idx="174">
                  <c:v>153.889847</c:v>
                </c:pt>
                <c:pt idx="175">
                  <c:v>153.740692</c:v>
                </c:pt>
                <c:pt idx="176">
                  <c:v>152.865631</c:v>
                </c:pt>
                <c:pt idx="177">
                  <c:v>148.589813</c:v>
                </c:pt>
                <c:pt idx="178">
                  <c:v>149.912338</c:v>
                </c:pt>
                <c:pt idx="179">
                  <c:v>151.155304</c:v>
                </c:pt>
                <c:pt idx="180">
                  <c:v>153.710861</c:v>
                </c:pt>
                <c:pt idx="181">
                  <c:v>148.321335</c:v>
                </c:pt>
                <c:pt idx="182">
                  <c:v>148.530151</c:v>
                </c:pt>
                <c:pt idx="183">
                  <c:v>147.694885</c:v>
                </c:pt>
                <c:pt idx="184">
                  <c:v>146.501633</c:v>
                </c:pt>
                <c:pt idx="185">
                  <c:v>149.972015</c:v>
                </c:pt>
                <c:pt idx="186">
                  <c:v>151.722107</c:v>
                </c:pt>
                <c:pt idx="187">
                  <c:v>154.237885</c:v>
                </c:pt>
                <c:pt idx="188">
                  <c:v>158.533585</c:v>
                </c:pt>
                <c:pt idx="189">
                  <c:v>159.378815</c:v>
                </c:pt>
                <c:pt idx="190">
                  <c:v>159.169998</c:v>
                </c:pt>
                <c:pt idx="191">
                  <c:v>158.979996</c:v>
                </c:pt>
                <c:pt idx="192">
                  <c:v>160.279999</c:v>
                </c:pt>
                <c:pt idx="193">
                  <c:v>158.759995</c:v>
                </c:pt>
                <c:pt idx="194">
                  <c:v>157.380005</c:v>
                </c:pt>
                <c:pt idx="195">
                  <c:v>156.850006</c:v>
                </c:pt>
                <c:pt idx="196">
                  <c:v>156.169998</c:v>
                </c:pt>
                <c:pt idx="197">
                  <c:v>157.5</c:v>
                </c:pt>
                <c:pt idx="198">
                  <c:v>159.369995</c:v>
                </c:pt>
                <c:pt idx="199">
                  <c:v>164.529999</c:v>
                </c:pt>
                <c:pt idx="200">
                  <c:v>165.309998</c:v>
                </c:pt>
                <c:pt idx="201">
                  <c:v>165.990005</c:v>
                </c:pt>
                <c:pt idx="202">
                  <c:v>168.380005</c:v>
                </c:pt>
                <c:pt idx="203">
                  <c:v>165.550003</c:v>
                </c:pt>
                <c:pt idx="204">
                  <c:v>167.970001</c:v>
                </c:pt>
                <c:pt idx="205">
                  <c:v>172.470001</c:v>
                </c:pt>
                <c:pt idx="206">
                  <c:v>166.300003</c:v>
                </c:pt>
                <c:pt idx="207">
                  <c:v>166.690002</c:v>
                </c:pt>
                <c:pt idx="208">
                  <c:v>164.270004</c:v>
                </c:pt>
                <c:pt idx="209">
                  <c:v>165.75</c:v>
                </c:pt>
                <c:pt idx="210">
                  <c:v>164.270004</c:v>
                </c:pt>
                <c:pt idx="211">
                  <c:v>166.449997</c:v>
                </c:pt>
                <c:pt idx="212">
                  <c:v>168.470001</c:v>
                </c:pt>
                <c:pt idx="213">
                  <c:v>168.300003</c:v>
                </c:pt>
                <c:pt idx="214">
                  <c:v>170</c:v>
                </c:pt>
                <c:pt idx="215">
                  <c:v>170.339996</c:v>
                </c:pt>
                <c:pt idx="216">
                  <c:v>168.699997</c:v>
                </c:pt>
                <c:pt idx="217">
                  <c:v>161.369995</c:v>
                </c:pt>
                <c:pt idx="218">
                  <c:v>162.679993</c:v>
                </c:pt>
                <c:pt idx="219">
                  <c:v>158.789993</c:v>
                </c:pt>
                <c:pt idx="220">
                  <c:v>158.759995</c:v>
                </c:pt>
                <c:pt idx="221">
                  <c:v>161.490005</c:v>
                </c:pt>
                <c:pt idx="222">
                  <c:v>164.639999</c:v>
                </c:pt>
                <c:pt idx="223">
                  <c:v>164.509995</c:v>
                </c:pt>
                <c:pt idx="224">
                  <c:v>164.610001</c:v>
                </c:pt>
                <c:pt idx="225">
                  <c:v>163.679993</c:v>
                </c:pt>
                <c:pt idx="226">
                  <c:v>165.610001</c:v>
                </c:pt>
                <c:pt idx="227">
                  <c:v>168.720001</c:v>
                </c:pt>
                <c:pt idx="228">
                  <c:v>166.889999</c:v>
                </c:pt>
                <c:pt idx="229">
                  <c:v>171.550003</c:v>
                </c:pt>
                <c:pt idx="230">
                  <c:v>173.779999</c:v>
                </c:pt>
                <c:pt idx="231">
                  <c:v>174.380005</c:v>
                </c:pt>
                <c:pt idx="232">
                  <c:v>175.360001</c:v>
                </c:pt>
                <c:pt idx="233">
                  <c:v>171.550003</c:v>
                </c:pt>
                <c:pt idx="234">
                  <c:v>173.470001</c:v>
                </c:pt>
                <c:pt idx="235">
                  <c:v>172.610001</c:v>
                </c:pt>
                <c:pt idx="236">
                  <c:v>174.860001</c:v>
                </c:pt>
                <c:pt idx="237">
                  <c:v>171.589996</c:v>
                </c:pt>
                <c:pt idx="238">
                  <c:v>173.259995</c:v>
                </c:pt>
                <c:pt idx="239">
                  <c:v>172.869995</c:v>
                </c:pt>
                <c:pt idx="240">
                  <c:v>176.850006</c:v>
                </c:pt>
                <c:pt idx="241">
                  <c:v>175.539993</c:v>
                </c:pt>
                <c:pt idx="242">
                  <c:v>170.169998</c:v>
                </c:pt>
                <c:pt idx="243">
                  <c:v>166.75</c:v>
                </c:pt>
                <c:pt idx="244">
                  <c:v>161.160004</c:v>
                </c:pt>
                <c:pt idx="245">
                  <c:v>164.600006</c:v>
                </c:pt>
                <c:pt idx="246">
                  <c:v>164.949997</c:v>
                </c:pt>
                <c:pt idx="247">
                  <c:v>173.610001</c:v>
                </c:pt>
                <c:pt idx="248">
                  <c:v>179.210007</c:v>
                </c:pt>
                <c:pt idx="249">
                  <c:v>178.910004</c:v>
                </c:pt>
                <c:pt idx="250">
                  <c:v>183.279999</c:v>
                </c:pt>
                <c:pt idx="251">
                  <c:v>184.270004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25220087"/>
        <c:axId val="1434899704"/>
      </c:lineChart>
      <c:dateAx>
        <c:axId val="82522008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4899704"/>
        <c:crosses val="autoZero"/>
        <c:auto val="1"/>
        <c:lblOffset val="100"/>
        <c:baseTimeUnit val="days"/>
      </c:dateAx>
      <c:valAx>
        <c:axId val="143489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522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Period Residual Plot of APP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Sheet5!$A$1:$A$252</c:f>
              <c:numCache>
                <c:formatCode>General</c:formatCode>
                <c:ptCount val="2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</c:numCache>
            </c:numRef>
          </c:xVal>
          <c:yVal>
            <c:numRef>
              <c:f>Sheet5!$B$1:$B$252</c:f>
              <c:numCache>
                <c:formatCode>General</c:formatCode>
                <c:ptCount val="252"/>
                <c:pt idx="0">
                  <c:v>7.90655762999585</c:v>
                </c:pt>
                <c:pt idx="1">
                  <c:v>8.16929169722665</c:v>
                </c:pt>
                <c:pt idx="2">
                  <c:v>7.86656576445744</c:v>
                </c:pt>
                <c:pt idx="3">
                  <c:v>8.23992583168824</c:v>
                </c:pt>
                <c:pt idx="4">
                  <c:v>7.54632189891902</c:v>
                </c:pt>
                <c:pt idx="5">
                  <c:v>8.06966096614982</c:v>
                </c:pt>
                <c:pt idx="6">
                  <c:v>8.15537003338061</c:v>
                </c:pt>
                <c:pt idx="7">
                  <c:v>7.7125301006114</c:v>
                </c:pt>
                <c:pt idx="8">
                  <c:v>6.70668616784219</c:v>
                </c:pt>
                <c:pt idx="9">
                  <c:v>6.172865235073</c:v>
                </c:pt>
                <c:pt idx="10">
                  <c:v>5.87261130230378</c:v>
                </c:pt>
                <c:pt idx="11">
                  <c:v>6.75733936953458</c:v>
                </c:pt>
                <c:pt idx="12">
                  <c:v>6.00227343676537</c:v>
                </c:pt>
                <c:pt idx="13">
                  <c:v>6.63131050399616</c:v>
                </c:pt>
                <c:pt idx="14">
                  <c:v>6.24254757122696</c:v>
                </c:pt>
                <c:pt idx="15">
                  <c:v>5.23916063845775</c:v>
                </c:pt>
                <c:pt idx="16">
                  <c:v>3.83752270568854</c:v>
                </c:pt>
                <c:pt idx="17">
                  <c:v>4.15678677291933</c:v>
                </c:pt>
                <c:pt idx="18">
                  <c:v>4.85712684015012</c:v>
                </c:pt>
                <c:pt idx="19">
                  <c:v>5.87459890738091</c:v>
                </c:pt>
                <c:pt idx="20">
                  <c:v>4.69913897461171</c:v>
                </c:pt>
                <c:pt idx="21">
                  <c:v>4.8389400418425</c:v>
                </c:pt>
                <c:pt idx="22">
                  <c:v>5.1582151090733</c:v>
                </c:pt>
                <c:pt idx="23">
                  <c:v>5.08413417630408</c:v>
                </c:pt>
                <c:pt idx="24">
                  <c:v>5.74761024353488</c:v>
                </c:pt>
                <c:pt idx="25">
                  <c:v>6.66182531076567</c:v>
                </c:pt>
                <c:pt idx="26">
                  <c:v>6.55332837799646</c:v>
                </c:pt>
                <c:pt idx="27">
                  <c:v>6.14489644522726</c:v>
                </c:pt>
                <c:pt idx="28">
                  <c:v>5.97001651245805</c:v>
                </c:pt>
                <c:pt idx="29">
                  <c:v>5.58372557968885</c:v>
                </c:pt>
                <c:pt idx="30">
                  <c:v>6.46106764691964</c:v>
                </c:pt>
                <c:pt idx="31">
                  <c:v>6.28373071415044</c:v>
                </c:pt>
                <c:pt idx="32">
                  <c:v>7.42659178138123</c:v>
                </c:pt>
                <c:pt idx="33">
                  <c:v>7.15583984861202</c:v>
                </c:pt>
                <c:pt idx="34">
                  <c:v>7.33498591584281</c:v>
                </c:pt>
                <c:pt idx="35">
                  <c:v>7.61492398307361</c:v>
                </c:pt>
                <c:pt idx="36">
                  <c:v>9.01839005030439</c:v>
                </c:pt>
                <c:pt idx="37">
                  <c:v>8.05678911753519</c:v>
                </c:pt>
                <c:pt idx="38">
                  <c:v>8.39574118476598</c:v>
                </c:pt>
                <c:pt idx="39">
                  <c:v>7.80539425199679</c:v>
                </c:pt>
                <c:pt idx="40">
                  <c:v>8.74173531922757</c:v>
                </c:pt>
                <c:pt idx="41">
                  <c:v>10.0812813864584</c:v>
                </c:pt>
                <c:pt idx="42">
                  <c:v>10.0096494536891</c:v>
                </c:pt>
                <c:pt idx="43">
                  <c:v>11.3958955209199</c:v>
                </c:pt>
                <c:pt idx="44">
                  <c:v>10.0999675881507</c:v>
                </c:pt>
                <c:pt idx="45">
                  <c:v>9.52681665538152</c:v>
                </c:pt>
                <c:pt idx="46">
                  <c:v>10.2419127226123</c:v>
                </c:pt>
                <c:pt idx="47">
                  <c:v>10.8562017898431</c:v>
                </c:pt>
                <c:pt idx="48">
                  <c:v>10.0814598570739</c:v>
                </c:pt>
                <c:pt idx="49">
                  <c:v>10.1155559243047</c:v>
                </c:pt>
                <c:pt idx="50">
                  <c:v>10.2479879915355</c:v>
                </c:pt>
                <c:pt idx="51">
                  <c:v>9.77809405876628</c:v>
                </c:pt>
                <c:pt idx="52">
                  <c:v>7.23325612599707</c:v>
                </c:pt>
                <c:pt idx="53">
                  <c:v>9.13824019322789</c:v>
                </c:pt>
                <c:pt idx="54">
                  <c:v>10.5294152604587</c:v>
                </c:pt>
                <c:pt idx="55">
                  <c:v>10.1701393276895</c:v>
                </c:pt>
                <c:pt idx="56">
                  <c:v>6.39608439492025</c:v>
                </c:pt>
                <c:pt idx="57">
                  <c:v>5.94339446215105</c:v>
                </c:pt>
                <c:pt idx="58">
                  <c:v>8.20486252938184</c:v>
                </c:pt>
                <c:pt idx="59">
                  <c:v>8.60035559661263</c:v>
                </c:pt>
                <c:pt idx="60">
                  <c:v>9.28101266384343</c:v>
                </c:pt>
                <c:pt idx="61">
                  <c:v>7.95054573107421</c:v>
                </c:pt>
                <c:pt idx="62">
                  <c:v>8.081405798305</c:v>
                </c:pt>
                <c:pt idx="63">
                  <c:v>7.35961886553581</c:v>
                </c:pt>
                <c:pt idx="64">
                  <c:v>8.98631293276661</c:v>
                </c:pt>
                <c:pt idx="65">
                  <c:v>8.16841199999739</c:v>
                </c:pt>
                <c:pt idx="66">
                  <c:v>7.94442106722818</c:v>
                </c:pt>
                <c:pt idx="67">
                  <c:v>6.23444513445898</c:v>
                </c:pt>
                <c:pt idx="68">
                  <c:v>7.12923620168976</c:v>
                </c:pt>
                <c:pt idx="69">
                  <c:v>6.06738526892055</c:v>
                </c:pt>
                <c:pt idx="70">
                  <c:v>4.03705133615135</c:v>
                </c:pt>
                <c:pt idx="71">
                  <c:v>0.128917403382147</c:v>
                </c:pt>
                <c:pt idx="72">
                  <c:v>-2.60374052938705</c:v>
                </c:pt>
                <c:pt idx="73">
                  <c:v>-1.72126346215627</c:v>
                </c:pt>
                <c:pt idx="74">
                  <c:v>-6.67918639492547</c:v>
                </c:pt>
                <c:pt idx="75">
                  <c:v>-6.96232832769469</c:v>
                </c:pt>
                <c:pt idx="76">
                  <c:v>-0.934396260463885</c:v>
                </c:pt>
                <c:pt idx="77">
                  <c:v>-3.5167251932331</c:v>
                </c:pt>
                <c:pt idx="78">
                  <c:v>-0.453355126002293</c:v>
                </c:pt>
                <c:pt idx="79">
                  <c:v>-3.11700505877151</c:v>
                </c:pt>
                <c:pt idx="80">
                  <c:v>-4.31933599154073</c:v>
                </c:pt>
                <c:pt idx="81">
                  <c:v>-10.1964259243099</c:v>
                </c:pt>
                <c:pt idx="82">
                  <c:v>-5.71607885707914</c:v>
                </c:pt>
                <c:pt idx="83">
                  <c:v>-8.40191478984833</c:v>
                </c:pt>
                <c:pt idx="84">
                  <c:v>-15.3485317226176</c:v>
                </c:pt>
                <c:pt idx="85">
                  <c:v>-8.26341065538675</c:v>
                </c:pt>
                <c:pt idx="86">
                  <c:v>-17.319466588156</c:v>
                </c:pt>
                <c:pt idx="87">
                  <c:v>-14.9387025209252</c:v>
                </c:pt>
                <c:pt idx="88">
                  <c:v>-16.7078134536944</c:v>
                </c:pt>
                <c:pt idx="89">
                  <c:v>-17.4172813864636</c:v>
                </c:pt>
                <c:pt idx="90">
                  <c:v>-21.4905163192328</c:v>
                </c:pt>
                <c:pt idx="91">
                  <c:v>-22.934344252002</c:v>
                </c:pt>
                <c:pt idx="92">
                  <c:v>-17.6309151847712</c:v>
                </c:pt>
                <c:pt idx="93">
                  <c:v>-18.2097721175404</c:v>
                </c:pt>
                <c:pt idx="94">
                  <c:v>-15.2696090503096</c:v>
                </c:pt>
                <c:pt idx="95">
                  <c:v>-18.1501209830788</c:v>
                </c:pt>
                <c:pt idx="96">
                  <c:v>-16.651577915848</c:v>
                </c:pt>
                <c:pt idx="97">
                  <c:v>-17.0234338486172</c:v>
                </c:pt>
                <c:pt idx="98">
                  <c:v>-20.5643797813864</c:v>
                </c:pt>
                <c:pt idx="99">
                  <c:v>-19.8174467141557</c:v>
                </c:pt>
                <c:pt idx="100">
                  <c:v>-20.9285876469249</c:v>
                </c:pt>
                <c:pt idx="101">
                  <c:v>-15.9824885796941</c:v>
                </c:pt>
                <c:pt idx="102">
                  <c:v>-16.9753505124633</c:v>
                </c:pt>
                <c:pt idx="103">
                  <c:v>-15.5827614452325</c:v>
                </c:pt>
                <c:pt idx="104">
                  <c:v>-15.3533293780017</c:v>
                </c:pt>
                <c:pt idx="105">
                  <c:v>-14.3008153107709</c:v>
                </c:pt>
                <c:pt idx="106">
                  <c:v>-11.1438022435401</c:v>
                </c:pt>
                <c:pt idx="107">
                  <c:v>-12.0331601763093</c:v>
                </c:pt>
                <c:pt idx="108">
                  <c:v>-11.7199431090785</c:v>
                </c:pt>
                <c:pt idx="109">
                  <c:v>-12.9222740418477</c:v>
                </c:pt>
                <c:pt idx="110">
                  <c:v>-14.6125279746169</c:v>
                </c:pt>
                <c:pt idx="111">
                  <c:v>-16.9656839073861</c:v>
                </c:pt>
                <c:pt idx="112">
                  <c:v>-15.3044828401554</c:v>
                </c:pt>
                <c:pt idx="113">
                  <c:v>-15.8118747729246</c:v>
                </c:pt>
                <c:pt idx="114">
                  <c:v>-14.0989377056938</c:v>
                </c:pt>
                <c:pt idx="115">
                  <c:v>-14.293364638463</c:v>
                </c:pt>
                <c:pt idx="116">
                  <c:v>-15.6681965712322</c:v>
                </c:pt>
                <c:pt idx="117">
                  <c:v>-13.6570655040014</c:v>
                </c:pt>
                <c:pt idx="118">
                  <c:v>-12.4049584367706</c:v>
                </c:pt>
                <c:pt idx="119">
                  <c:v>-13.8142833695398</c:v>
                </c:pt>
                <c:pt idx="120">
                  <c:v>-13.050092302309</c:v>
                </c:pt>
                <c:pt idx="121">
                  <c:v>-12.2095152350782</c:v>
                </c:pt>
                <c:pt idx="122">
                  <c:v>-11.6966821678474</c:v>
                </c:pt>
                <c:pt idx="123">
                  <c:v>-11.1740071006166</c:v>
                </c:pt>
                <c:pt idx="124">
                  <c:v>-9.00871603338582</c:v>
                </c:pt>
                <c:pt idx="125">
                  <c:v>-8.03673096615505</c:v>
                </c:pt>
                <c:pt idx="126">
                  <c:v>-9.17727889892426</c:v>
                </c:pt>
                <c:pt idx="127">
                  <c:v>-10.3576758316935</c:v>
                </c:pt>
                <c:pt idx="128">
                  <c:v>-10.1305557644627</c:v>
                </c:pt>
                <c:pt idx="129">
                  <c:v>-10.8301626972319</c:v>
                </c:pt>
                <c:pt idx="130">
                  <c:v>-9.26775363000108</c:v>
                </c:pt>
                <c:pt idx="131">
                  <c:v>-9.96485956277027</c:v>
                </c:pt>
                <c:pt idx="132">
                  <c:v>-8.6914284955395</c:v>
                </c:pt>
                <c:pt idx="133">
                  <c:v>-9.52805242830871</c:v>
                </c:pt>
                <c:pt idx="134">
                  <c:v>-9.2635563610779</c:v>
                </c:pt>
                <c:pt idx="135">
                  <c:v>-10.0453702938471</c:v>
                </c:pt>
                <c:pt idx="136">
                  <c:v>-9.94530222661632</c:v>
                </c:pt>
                <c:pt idx="137">
                  <c:v>-10.1541341593855</c:v>
                </c:pt>
                <c:pt idx="138">
                  <c:v>-10.4750720921547</c:v>
                </c:pt>
                <c:pt idx="139">
                  <c:v>-9.74472502492394</c:v>
                </c:pt>
                <c:pt idx="140">
                  <c:v>-9.61725195769316</c:v>
                </c:pt>
                <c:pt idx="141">
                  <c:v>-9.41752989046236</c:v>
                </c:pt>
                <c:pt idx="142">
                  <c:v>-10.3587748232316</c:v>
                </c:pt>
                <c:pt idx="143">
                  <c:v>-8.31556175600076</c:v>
                </c:pt>
                <c:pt idx="144">
                  <c:v>-8.07100868876998</c:v>
                </c:pt>
                <c:pt idx="145">
                  <c:v>-5.69148362153918</c:v>
                </c:pt>
                <c:pt idx="146">
                  <c:v>-3.73048455430838</c:v>
                </c:pt>
                <c:pt idx="147">
                  <c:v>-8.19429048707759</c:v>
                </c:pt>
                <c:pt idx="148">
                  <c:v>-7.7155534198468</c:v>
                </c:pt>
                <c:pt idx="149">
                  <c:v>-6.915458352616</c:v>
                </c:pt>
                <c:pt idx="150">
                  <c:v>-4.89466828538522</c:v>
                </c:pt>
                <c:pt idx="151">
                  <c:v>-5.26044321815444</c:v>
                </c:pt>
                <c:pt idx="152">
                  <c:v>-5.46927515092364</c:v>
                </c:pt>
                <c:pt idx="153">
                  <c:v>-6.21372808369283</c:v>
                </c:pt>
                <c:pt idx="154">
                  <c:v>-4.17799101646204</c:v>
                </c:pt>
                <c:pt idx="155">
                  <c:v>-2.51343994923126</c:v>
                </c:pt>
                <c:pt idx="156">
                  <c:v>-4.36896188200046</c:v>
                </c:pt>
                <c:pt idx="157">
                  <c:v>-3.42187881476967</c:v>
                </c:pt>
                <c:pt idx="158">
                  <c:v>-6.45822474753888</c:v>
                </c:pt>
                <c:pt idx="159">
                  <c:v>-4.67161068030808</c:v>
                </c:pt>
                <c:pt idx="160">
                  <c:v>-4.16298961307729</c:v>
                </c:pt>
                <c:pt idx="161">
                  <c:v>-4.57859254584649</c:v>
                </c:pt>
                <c:pt idx="162">
                  <c:v>-4.8223054786157</c:v>
                </c:pt>
                <c:pt idx="163">
                  <c:v>-2.63958041138491</c:v>
                </c:pt>
                <c:pt idx="164">
                  <c:v>-3.17227234415412</c:v>
                </c:pt>
                <c:pt idx="165">
                  <c:v>-1.25362427692333</c:v>
                </c:pt>
                <c:pt idx="166">
                  <c:v>-1.08877520969253</c:v>
                </c:pt>
                <c:pt idx="167">
                  <c:v>-1.16558014246174</c:v>
                </c:pt>
                <c:pt idx="168">
                  <c:v>-1.85023407523094</c:v>
                </c:pt>
                <c:pt idx="169">
                  <c:v>-0.519507008000161</c:v>
                </c:pt>
                <c:pt idx="170">
                  <c:v>-0.0980739407693534</c:v>
                </c:pt>
                <c:pt idx="171">
                  <c:v>-1.54005187353857</c:v>
                </c:pt>
                <c:pt idx="172">
                  <c:v>-1.97807780630778</c:v>
                </c:pt>
                <c:pt idx="173">
                  <c:v>-0.19893273907698</c:v>
                </c:pt>
                <c:pt idx="174">
                  <c:v>-1.79537567184619</c:v>
                </c:pt>
                <c:pt idx="175">
                  <c:v>-1.76755060461539</c:v>
                </c:pt>
                <c:pt idx="176">
                  <c:v>-6.42317453738461</c:v>
                </c:pt>
                <c:pt idx="177">
                  <c:v>-6.89608247015381</c:v>
                </c:pt>
                <c:pt idx="178">
                  <c:v>-4.952524402923</c:v>
                </c:pt>
                <c:pt idx="179">
                  <c:v>-6.74824633569222</c:v>
                </c:pt>
                <c:pt idx="180">
                  <c:v>-5.21075526846144</c:v>
                </c:pt>
                <c:pt idx="181">
                  <c:v>-4.30851020123063</c:v>
                </c:pt>
                <c:pt idx="182">
                  <c:v>5.48234586600016</c:v>
                </c:pt>
                <c:pt idx="183">
                  <c:v>7.90669993323094</c:v>
                </c:pt>
                <c:pt idx="184">
                  <c:v>8.38793300046174</c:v>
                </c:pt>
                <c:pt idx="185">
                  <c:v>8.54031506769255</c:v>
                </c:pt>
                <c:pt idx="186">
                  <c:v>12.1230861349233</c:v>
                </c:pt>
                <c:pt idx="187">
                  <c:v>9.29883020215412</c:v>
                </c:pt>
                <c:pt idx="188">
                  <c:v>10.6673382693849</c:v>
                </c:pt>
                <c:pt idx="189">
                  <c:v>7.0768923366157</c:v>
                </c:pt>
                <c:pt idx="190">
                  <c:v>10.4619254038465</c:v>
                </c:pt>
                <c:pt idx="191">
                  <c:v>12.2147634710773</c:v>
                </c:pt>
                <c:pt idx="192">
                  <c:v>11.8687325383081</c:v>
                </c:pt>
                <c:pt idx="193">
                  <c:v>11.3255276055389</c:v>
                </c:pt>
                <c:pt idx="194">
                  <c:v>12.0351766727697</c:v>
                </c:pt>
                <c:pt idx="195">
                  <c:v>11.9362087400005</c:v>
                </c:pt>
                <c:pt idx="196">
                  <c:v>14.2555758072313</c:v>
                </c:pt>
                <c:pt idx="197">
                  <c:v>20.096365874462</c:v>
                </c:pt>
                <c:pt idx="198">
                  <c:v>21.3375919416928</c:v>
                </c:pt>
                <c:pt idx="199">
                  <c:v>20.0631560089236</c:v>
                </c:pt>
                <c:pt idx="200">
                  <c:v>21.5140230761544</c:v>
                </c:pt>
                <c:pt idx="201">
                  <c:v>19.7604151433852</c:v>
                </c:pt>
                <c:pt idx="202">
                  <c:v>19.314553210616</c:v>
                </c:pt>
                <c:pt idx="203">
                  <c:v>23.2960372778468</c:v>
                </c:pt>
                <c:pt idx="204">
                  <c:v>28.1834733450776</c:v>
                </c:pt>
                <c:pt idx="205">
                  <c:v>25.1645534123084</c:v>
                </c:pt>
                <c:pt idx="206">
                  <c:v>14.4189554795392</c:v>
                </c:pt>
                <c:pt idx="207">
                  <c:v>14.25510754677</c:v>
                </c:pt>
                <c:pt idx="208">
                  <c:v>5.88541761400076</c:v>
                </c:pt>
                <c:pt idx="209">
                  <c:v>10.1339536812316</c:v>
                </c:pt>
                <c:pt idx="210">
                  <c:v>6.06683774846236</c:v>
                </c:pt>
                <c:pt idx="211">
                  <c:v>4.33569081569316</c:v>
                </c:pt>
                <c:pt idx="212">
                  <c:v>7.44618788292394</c:v>
                </c:pt>
                <c:pt idx="213">
                  <c:v>7.38216995015473</c:v>
                </c:pt>
                <c:pt idx="214">
                  <c:v>3.73432801738552</c:v>
                </c:pt>
                <c:pt idx="215">
                  <c:v>1.70369608461631</c:v>
                </c:pt>
                <c:pt idx="216">
                  <c:v>-2.03398884815289</c:v>
                </c:pt>
                <c:pt idx="217">
                  <c:v>0.956718219077914</c:v>
                </c:pt>
                <c:pt idx="218">
                  <c:v>2.44002628630869</c:v>
                </c:pt>
                <c:pt idx="219">
                  <c:v>-2.48560964646052</c:v>
                </c:pt>
                <c:pt idx="220">
                  <c:v>-1.63121657922972</c:v>
                </c:pt>
                <c:pt idx="221">
                  <c:v>2.17807948800107</c:v>
                </c:pt>
                <c:pt idx="222">
                  <c:v>4.60975155523187</c:v>
                </c:pt>
                <c:pt idx="223">
                  <c:v>3.49753062246266</c:v>
                </c:pt>
                <c:pt idx="224">
                  <c:v>4.97085868969346</c:v>
                </c:pt>
                <c:pt idx="225">
                  <c:v>5.70546375692425</c:v>
                </c:pt>
                <c:pt idx="226">
                  <c:v>1.69823882415504</c:v>
                </c:pt>
                <c:pt idx="227">
                  <c:v>4.92853289138584</c:v>
                </c:pt>
                <c:pt idx="228">
                  <c:v>1.35057595861662</c:v>
                </c:pt>
                <c:pt idx="229">
                  <c:v>3.02355702584741</c:v>
                </c:pt>
                <c:pt idx="230">
                  <c:v>2.6700270930782</c:v>
                </c:pt>
                <c:pt idx="231">
                  <c:v>4.42287316030901</c:v>
                </c:pt>
                <c:pt idx="232">
                  <c:v>11.5963662275398</c:v>
                </c:pt>
                <c:pt idx="233">
                  <c:v>8.05833429477059</c:v>
                </c:pt>
                <c:pt idx="234">
                  <c:v>7.90446436200139</c:v>
                </c:pt>
                <c:pt idx="235">
                  <c:v>7.18158042923217</c:v>
                </c:pt>
                <c:pt idx="236">
                  <c:v>5.25077149646296</c:v>
                </c:pt>
                <c:pt idx="237">
                  <c:v>1.97229956369377</c:v>
                </c:pt>
                <c:pt idx="238">
                  <c:v>3.25595263092455</c:v>
                </c:pt>
                <c:pt idx="239">
                  <c:v>2.37334669815534</c:v>
                </c:pt>
                <c:pt idx="240">
                  <c:v>1.01155376538614</c:v>
                </c:pt>
                <c:pt idx="241">
                  <c:v>0.0590698326169417</c:v>
                </c:pt>
                <c:pt idx="242">
                  <c:v>-0.17466410015227</c:v>
                </c:pt>
                <c:pt idx="243">
                  <c:v>1.12894896707853</c:v>
                </c:pt>
                <c:pt idx="244">
                  <c:v>-4.50546596569069</c:v>
                </c:pt>
                <c:pt idx="245">
                  <c:v>-0.636270898459884</c:v>
                </c:pt>
                <c:pt idx="246">
                  <c:v>-7.3288518312291</c:v>
                </c:pt>
                <c:pt idx="247">
                  <c:v>-7.66241676399832</c:v>
                </c:pt>
                <c:pt idx="248">
                  <c:v>-6.23899969676752</c:v>
                </c:pt>
                <c:pt idx="249">
                  <c:v>-1.98048462953672</c:v>
                </c:pt>
                <c:pt idx="250">
                  <c:v>1.84877743769407</c:v>
                </c:pt>
                <c:pt idx="251">
                  <c:v>1.47006950492487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522472"/>
        <c:axId val="1308524392"/>
      </c:scatterChart>
      <c:valAx>
        <c:axId val="1308522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8524392"/>
        <c:crosses val="autoZero"/>
        <c:crossBetween val="midCat"/>
      </c:valAx>
      <c:valAx>
        <c:axId val="130852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8522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Period Line Fit Plot of APP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"Predicted APP"</c:f>
              <c:strCache>
                <c:ptCount val="1"/>
                <c:pt idx="0">
                  <c:v>Predicted APP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Sheet5!$A$253:$A$504</c:f>
              <c:numCache>
                <c:formatCode>General</c:formatCode>
                <c:ptCount val="2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</c:numCache>
            </c:numRef>
          </c:xVal>
          <c:yVal>
            <c:numRef>
              <c:f>Sheet5!$B$253:$B$504</c:f>
              <c:numCache>
                <c:formatCode>General</c:formatCode>
                <c:ptCount val="252"/>
                <c:pt idx="0">
                  <c:v>56.0479863700041</c:v>
                </c:pt>
                <c:pt idx="1">
                  <c:v>56.2916993027734</c:v>
                </c:pt>
                <c:pt idx="2">
                  <c:v>56.5354122355426</c:v>
                </c:pt>
                <c:pt idx="3">
                  <c:v>56.7791251683118</c:v>
                </c:pt>
                <c:pt idx="4">
                  <c:v>57.022838101081</c:v>
                </c:pt>
                <c:pt idx="5">
                  <c:v>57.2665510338502</c:v>
                </c:pt>
                <c:pt idx="6">
                  <c:v>57.5102639666194</c:v>
                </c:pt>
                <c:pt idx="7">
                  <c:v>57.7539768993886</c:v>
                </c:pt>
                <c:pt idx="8">
                  <c:v>57.9976898321578</c:v>
                </c:pt>
                <c:pt idx="9">
                  <c:v>58.241402764927</c:v>
                </c:pt>
                <c:pt idx="10">
                  <c:v>58.4851156976962</c:v>
                </c:pt>
                <c:pt idx="11">
                  <c:v>58.7288286304654</c:v>
                </c:pt>
                <c:pt idx="12">
                  <c:v>58.9725415632346</c:v>
                </c:pt>
                <c:pt idx="13">
                  <c:v>59.2162544960038</c:v>
                </c:pt>
                <c:pt idx="14">
                  <c:v>59.459967428773</c:v>
                </c:pt>
                <c:pt idx="15">
                  <c:v>59.7036803615423</c:v>
                </c:pt>
                <c:pt idx="16">
                  <c:v>59.9473932943115</c:v>
                </c:pt>
                <c:pt idx="17">
                  <c:v>60.1911062270807</c:v>
                </c:pt>
                <c:pt idx="18">
                  <c:v>60.4348191598499</c:v>
                </c:pt>
                <c:pt idx="19">
                  <c:v>60.6785320926191</c:v>
                </c:pt>
                <c:pt idx="20">
                  <c:v>60.9222450253883</c:v>
                </c:pt>
                <c:pt idx="21">
                  <c:v>61.1659579581575</c:v>
                </c:pt>
                <c:pt idx="22">
                  <c:v>61.4096708909267</c:v>
                </c:pt>
                <c:pt idx="23">
                  <c:v>61.6533838236959</c:v>
                </c:pt>
                <c:pt idx="24">
                  <c:v>61.8970967564651</c:v>
                </c:pt>
                <c:pt idx="25">
                  <c:v>62.1408096892343</c:v>
                </c:pt>
                <c:pt idx="26">
                  <c:v>62.3845226220035</c:v>
                </c:pt>
                <c:pt idx="27">
                  <c:v>62.6282355547727</c:v>
                </c:pt>
                <c:pt idx="28">
                  <c:v>62.8719484875419</c:v>
                </c:pt>
                <c:pt idx="29">
                  <c:v>63.1156614203111</c:v>
                </c:pt>
                <c:pt idx="30">
                  <c:v>63.3593743530804</c:v>
                </c:pt>
                <c:pt idx="31">
                  <c:v>63.6030872858496</c:v>
                </c:pt>
                <c:pt idx="32">
                  <c:v>63.8468002186188</c:v>
                </c:pt>
                <c:pt idx="33">
                  <c:v>64.090513151388</c:v>
                </c:pt>
                <c:pt idx="34">
                  <c:v>64.3342260841572</c:v>
                </c:pt>
                <c:pt idx="35">
                  <c:v>64.5779390169264</c:v>
                </c:pt>
                <c:pt idx="36">
                  <c:v>64.8216519496956</c:v>
                </c:pt>
                <c:pt idx="37">
                  <c:v>65.0653648824648</c:v>
                </c:pt>
                <c:pt idx="38">
                  <c:v>65.309077815234</c:v>
                </c:pt>
                <c:pt idx="39">
                  <c:v>65.5527907480032</c:v>
                </c:pt>
                <c:pt idx="40">
                  <c:v>65.7965036807724</c:v>
                </c:pt>
                <c:pt idx="41">
                  <c:v>66.0402166135416</c:v>
                </c:pt>
                <c:pt idx="42">
                  <c:v>66.2839295463108</c:v>
                </c:pt>
                <c:pt idx="43">
                  <c:v>66.5276424790801</c:v>
                </c:pt>
                <c:pt idx="44">
                  <c:v>66.7713554118493</c:v>
                </c:pt>
                <c:pt idx="45">
                  <c:v>67.0150683446185</c:v>
                </c:pt>
                <c:pt idx="46">
                  <c:v>67.2587812773877</c:v>
                </c:pt>
                <c:pt idx="47">
                  <c:v>67.5024942101569</c:v>
                </c:pt>
                <c:pt idx="48">
                  <c:v>67.7462071429261</c:v>
                </c:pt>
                <c:pt idx="49">
                  <c:v>67.9899200756953</c:v>
                </c:pt>
                <c:pt idx="50">
                  <c:v>68.2336330084645</c:v>
                </c:pt>
                <c:pt idx="51">
                  <c:v>68.4773459412337</c:v>
                </c:pt>
                <c:pt idx="52">
                  <c:v>68.7210588740029</c:v>
                </c:pt>
                <c:pt idx="53">
                  <c:v>68.9647718067721</c:v>
                </c:pt>
                <c:pt idx="54">
                  <c:v>69.2084847395413</c:v>
                </c:pt>
                <c:pt idx="55">
                  <c:v>69.4521976723105</c:v>
                </c:pt>
                <c:pt idx="56">
                  <c:v>69.6959106050797</c:v>
                </c:pt>
                <c:pt idx="57">
                  <c:v>69.939623537849</c:v>
                </c:pt>
                <c:pt idx="58">
                  <c:v>70.1833364706182</c:v>
                </c:pt>
                <c:pt idx="59">
                  <c:v>70.4270494033874</c:v>
                </c:pt>
                <c:pt idx="60">
                  <c:v>70.6707623361566</c:v>
                </c:pt>
                <c:pt idx="61">
                  <c:v>70.9144752689258</c:v>
                </c:pt>
                <c:pt idx="62">
                  <c:v>71.158188201695</c:v>
                </c:pt>
                <c:pt idx="63">
                  <c:v>71.4019011344642</c:v>
                </c:pt>
                <c:pt idx="64">
                  <c:v>71.6456140672334</c:v>
                </c:pt>
                <c:pt idx="65">
                  <c:v>71.8893270000026</c:v>
                </c:pt>
                <c:pt idx="66">
                  <c:v>72.1330399327718</c:v>
                </c:pt>
                <c:pt idx="67">
                  <c:v>72.376752865541</c:v>
                </c:pt>
                <c:pt idx="68">
                  <c:v>72.6204657983102</c:v>
                </c:pt>
                <c:pt idx="69">
                  <c:v>72.8641787310794</c:v>
                </c:pt>
                <c:pt idx="70">
                  <c:v>73.1078916638486</c:v>
                </c:pt>
                <c:pt idx="71">
                  <c:v>73.3516045966178</c:v>
                </c:pt>
                <c:pt idx="72">
                  <c:v>73.5953175293871</c:v>
                </c:pt>
                <c:pt idx="73">
                  <c:v>73.8390304621563</c:v>
                </c:pt>
                <c:pt idx="74">
                  <c:v>74.0827433949255</c:v>
                </c:pt>
                <c:pt idx="75">
                  <c:v>74.3264563276947</c:v>
                </c:pt>
                <c:pt idx="76">
                  <c:v>74.5701692604639</c:v>
                </c:pt>
                <c:pt idx="77">
                  <c:v>74.8138821932331</c:v>
                </c:pt>
                <c:pt idx="78">
                  <c:v>75.0575951260023</c:v>
                </c:pt>
                <c:pt idx="79">
                  <c:v>75.3013080587715</c:v>
                </c:pt>
                <c:pt idx="80">
                  <c:v>75.5450209915407</c:v>
                </c:pt>
                <c:pt idx="81">
                  <c:v>75.7887339243099</c:v>
                </c:pt>
                <c:pt idx="82">
                  <c:v>76.0324468570791</c:v>
                </c:pt>
                <c:pt idx="83">
                  <c:v>76.2761597898483</c:v>
                </c:pt>
                <c:pt idx="84">
                  <c:v>76.5198727226175</c:v>
                </c:pt>
                <c:pt idx="85">
                  <c:v>76.7635856553867</c:v>
                </c:pt>
                <c:pt idx="86">
                  <c:v>77.007298588156</c:v>
                </c:pt>
                <c:pt idx="87">
                  <c:v>77.2510115209252</c:v>
                </c:pt>
                <c:pt idx="88">
                  <c:v>77.4947244536944</c:v>
                </c:pt>
                <c:pt idx="89">
                  <c:v>77.7384373864636</c:v>
                </c:pt>
                <c:pt idx="90">
                  <c:v>77.9821503192328</c:v>
                </c:pt>
                <c:pt idx="91">
                  <c:v>78.225863252002</c:v>
                </c:pt>
                <c:pt idx="92">
                  <c:v>78.4695761847712</c:v>
                </c:pt>
                <c:pt idx="93">
                  <c:v>78.7132891175404</c:v>
                </c:pt>
                <c:pt idx="94">
                  <c:v>78.9570020503096</c:v>
                </c:pt>
                <c:pt idx="95">
                  <c:v>79.2007149830788</c:v>
                </c:pt>
                <c:pt idx="96">
                  <c:v>79.444427915848</c:v>
                </c:pt>
                <c:pt idx="97">
                  <c:v>79.6881408486172</c:v>
                </c:pt>
                <c:pt idx="98">
                  <c:v>79.9318537813865</c:v>
                </c:pt>
                <c:pt idx="99">
                  <c:v>80.1755667141556</c:v>
                </c:pt>
                <c:pt idx="100">
                  <c:v>80.4192796469249</c:v>
                </c:pt>
                <c:pt idx="101">
                  <c:v>80.6629925796941</c:v>
                </c:pt>
                <c:pt idx="102">
                  <c:v>80.9067055124633</c:v>
                </c:pt>
                <c:pt idx="103">
                  <c:v>81.1504184452325</c:v>
                </c:pt>
                <c:pt idx="104">
                  <c:v>81.3941313780017</c:v>
                </c:pt>
                <c:pt idx="105">
                  <c:v>81.6378443107709</c:v>
                </c:pt>
                <c:pt idx="106">
                  <c:v>81.8815572435401</c:v>
                </c:pt>
                <c:pt idx="107">
                  <c:v>82.1252701763093</c:v>
                </c:pt>
                <c:pt idx="108">
                  <c:v>82.3689831090785</c:v>
                </c:pt>
                <c:pt idx="109">
                  <c:v>82.6126960418477</c:v>
                </c:pt>
                <c:pt idx="110">
                  <c:v>82.8564089746169</c:v>
                </c:pt>
                <c:pt idx="111">
                  <c:v>83.1001219073861</c:v>
                </c:pt>
                <c:pt idx="112">
                  <c:v>83.3438348401554</c:v>
                </c:pt>
                <c:pt idx="113">
                  <c:v>83.5875477729246</c:v>
                </c:pt>
                <c:pt idx="114">
                  <c:v>83.8312607056938</c:v>
                </c:pt>
                <c:pt idx="115">
                  <c:v>84.074973638463</c:v>
                </c:pt>
                <c:pt idx="116">
                  <c:v>84.3186865712322</c:v>
                </c:pt>
                <c:pt idx="117">
                  <c:v>84.5623995040014</c:v>
                </c:pt>
                <c:pt idx="118">
                  <c:v>84.8061124367706</c:v>
                </c:pt>
                <c:pt idx="119">
                  <c:v>85.0498253695398</c:v>
                </c:pt>
                <c:pt idx="120">
                  <c:v>85.293538302309</c:v>
                </c:pt>
                <c:pt idx="121">
                  <c:v>85.5372512350782</c:v>
                </c:pt>
                <c:pt idx="122">
                  <c:v>85.7809641678474</c:v>
                </c:pt>
                <c:pt idx="123">
                  <c:v>86.0246771006166</c:v>
                </c:pt>
                <c:pt idx="124">
                  <c:v>86.2683900333858</c:v>
                </c:pt>
                <c:pt idx="125">
                  <c:v>86.512102966155</c:v>
                </c:pt>
                <c:pt idx="126">
                  <c:v>86.7558158989243</c:v>
                </c:pt>
                <c:pt idx="127">
                  <c:v>86.9995288316935</c:v>
                </c:pt>
                <c:pt idx="128">
                  <c:v>87.2432417644627</c:v>
                </c:pt>
                <c:pt idx="129">
                  <c:v>87.4869546972319</c:v>
                </c:pt>
                <c:pt idx="130">
                  <c:v>87.7306676300011</c:v>
                </c:pt>
                <c:pt idx="131">
                  <c:v>87.9743805627703</c:v>
                </c:pt>
                <c:pt idx="132">
                  <c:v>88.2180934955395</c:v>
                </c:pt>
                <c:pt idx="133">
                  <c:v>88.4618064283087</c:v>
                </c:pt>
                <c:pt idx="134">
                  <c:v>88.7055193610779</c:v>
                </c:pt>
                <c:pt idx="135">
                  <c:v>88.9492322938471</c:v>
                </c:pt>
                <c:pt idx="136">
                  <c:v>89.1929452266163</c:v>
                </c:pt>
                <c:pt idx="137">
                  <c:v>89.4366581593855</c:v>
                </c:pt>
                <c:pt idx="138">
                  <c:v>89.6803710921547</c:v>
                </c:pt>
                <c:pt idx="139">
                  <c:v>89.9240840249239</c:v>
                </c:pt>
                <c:pt idx="140">
                  <c:v>90.1677969576932</c:v>
                </c:pt>
                <c:pt idx="141">
                  <c:v>90.4115098904624</c:v>
                </c:pt>
                <c:pt idx="142">
                  <c:v>90.6552228232316</c:v>
                </c:pt>
                <c:pt idx="143">
                  <c:v>90.8989357560008</c:v>
                </c:pt>
                <c:pt idx="144">
                  <c:v>91.14264868877</c:v>
                </c:pt>
                <c:pt idx="145">
                  <c:v>91.3863616215392</c:v>
                </c:pt>
                <c:pt idx="146">
                  <c:v>91.6300745543084</c:v>
                </c:pt>
                <c:pt idx="147">
                  <c:v>91.8737874870776</c:v>
                </c:pt>
                <c:pt idx="148">
                  <c:v>92.1175004198468</c:v>
                </c:pt>
                <c:pt idx="149">
                  <c:v>92.361213352616</c:v>
                </c:pt>
                <c:pt idx="150">
                  <c:v>92.6049262853852</c:v>
                </c:pt>
                <c:pt idx="151">
                  <c:v>92.8486392181544</c:v>
                </c:pt>
                <c:pt idx="152">
                  <c:v>93.0923521509236</c:v>
                </c:pt>
                <c:pt idx="153">
                  <c:v>93.3360650836928</c:v>
                </c:pt>
                <c:pt idx="154">
                  <c:v>93.579778016462</c:v>
                </c:pt>
                <c:pt idx="155">
                  <c:v>93.8234909492313</c:v>
                </c:pt>
                <c:pt idx="156">
                  <c:v>94.0672038820005</c:v>
                </c:pt>
                <c:pt idx="157">
                  <c:v>94.3109168147697</c:v>
                </c:pt>
                <c:pt idx="158">
                  <c:v>94.5546297475389</c:v>
                </c:pt>
                <c:pt idx="159">
                  <c:v>94.7983426803081</c:v>
                </c:pt>
                <c:pt idx="160">
                  <c:v>95.0420556130773</c:v>
                </c:pt>
                <c:pt idx="161">
                  <c:v>95.2857685458465</c:v>
                </c:pt>
                <c:pt idx="162">
                  <c:v>95.5294814786157</c:v>
                </c:pt>
                <c:pt idx="163">
                  <c:v>95.7731944113849</c:v>
                </c:pt>
                <c:pt idx="164">
                  <c:v>96.0169073441541</c:v>
                </c:pt>
                <c:pt idx="165">
                  <c:v>96.2606202769233</c:v>
                </c:pt>
                <c:pt idx="166">
                  <c:v>96.5043332096925</c:v>
                </c:pt>
                <c:pt idx="167">
                  <c:v>96.7480461424617</c:v>
                </c:pt>
                <c:pt idx="168">
                  <c:v>96.991759075231</c:v>
                </c:pt>
                <c:pt idx="169">
                  <c:v>97.2354720080002</c:v>
                </c:pt>
                <c:pt idx="170">
                  <c:v>97.4791849407694</c:v>
                </c:pt>
                <c:pt idx="171">
                  <c:v>97.7228978735386</c:v>
                </c:pt>
                <c:pt idx="172">
                  <c:v>97.9666108063078</c:v>
                </c:pt>
                <c:pt idx="173">
                  <c:v>98.210323739077</c:v>
                </c:pt>
                <c:pt idx="174">
                  <c:v>98.4540366718462</c:v>
                </c:pt>
                <c:pt idx="175">
                  <c:v>98.6977496046154</c:v>
                </c:pt>
                <c:pt idx="176">
                  <c:v>98.9414625373846</c:v>
                </c:pt>
                <c:pt idx="177">
                  <c:v>99.1851754701538</c:v>
                </c:pt>
                <c:pt idx="178">
                  <c:v>99.428888402923</c:v>
                </c:pt>
                <c:pt idx="179">
                  <c:v>99.6726013356922</c:v>
                </c:pt>
                <c:pt idx="180">
                  <c:v>99.9163142684614</c:v>
                </c:pt>
                <c:pt idx="181">
                  <c:v>100.160027201231</c:v>
                </c:pt>
                <c:pt idx="182">
                  <c:v>100.403740134</c:v>
                </c:pt>
                <c:pt idx="183">
                  <c:v>100.647453066769</c:v>
                </c:pt>
                <c:pt idx="184">
                  <c:v>100.891165999538</c:v>
                </c:pt>
                <c:pt idx="185">
                  <c:v>101.134878932307</c:v>
                </c:pt>
                <c:pt idx="186">
                  <c:v>101.378591865077</c:v>
                </c:pt>
                <c:pt idx="187">
                  <c:v>101.622304797846</c:v>
                </c:pt>
                <c:pt idx="188">
                  <c:v>101.866017730615</c:v>
                </c:pt>
                <c:pt idx="189">
                  <c:v>102.109730663384</c:v>
                </c:pt>
                <c:pt idx="190">
                  <c:v>102.353443596154</c:v>
                </c:pt>
                <c:pt idx="191">
                  <c:v>102.597156528923</c:v>
                </c:pt>
                <c:pt idx="192">
                  <c:v>102.840869461692</c:v>
                </c:pt>
                <c:pt idx="193">
                  <c:v>103.084582394461</c:v>
                </c:pt>
                <c:pt idx="194">
                  <c:v>103.32829532723</c:v>
                </c:pt>
                <c:pt idx="195">
                  <c:v>103.57200826</c:v>
                </c:pt>
                <c:pt idx="196">
                  <c:v>103.815721192769</c:v>
                </c:pt>
                <c:pt idx="197">
                  <c:v>104.059434125538</c:v>
                </c:pt>
                <c:pt idx="198">
                  <c:v>104.303147058307</c:v>
                </c:pt>
                <c:pt idx="199">
                  <c:v>104.546859991076</c:v>
                </c:pt>
                <c:pt idx="200">
                  <c:v>104.790572923846</c:v>
                </c:pt>
                <c:pt idx="201">
                  <c:v>105.034285856615</c:v>
                </c:pt>
                <c:pt idx="202">
                  <c:v>105.277998789384</c:v>
                </c:pt>
                <c:pt idx="203">
                  <c:v>105.521711722153</c:v>
                </c:pt>
                <c:pt idx="204">
                  <c:v>105.765424654922</c:v>
                </c:pt>
                <c:pt idx="205">
                  <c:v>106.009137587692</c:v>
                </c:pt>
                <c:pt idx="206">
                  <c:v>106.252850520461</c:v>
                </c:pt>
                <c:pt idx="207">
                  <c:v>106.49656345323</c:v>
                </c:pt>
                <c:pt idx="208">
                  <c:v>106.740276385999</c:v>
                </c:pt>
                <c:pt idx="209">
                  <c:v>106.983989318768</c:v>
                </c:pt>
                <c:pt idx="210">
                  <c:v>107.227702251538</c:v>
                </c:pt>
                <c:pt idx="211">
                  <c:v>107.471415184307</c:v>
                </c:pt>
                <c:pt idx="212">
                  <c:v>107.715128117076</c:v>
                </c:pt>
                <c:pt idx="213">
                  <c:v>107.958841049845</c:v>
                </c:pt>
                <c:pt idx="214">
                  <c:v>108.202553982614</c:v>
                </c:pt>
                <c:pt idx="215">
                  <c:v>108.446266915384</c:v>
                </c:pt>
                <c:pt idx="216">
                  <c:v>108.689979848153</c:v>
                </c:pt>
                <c:pt idx="217">
                  <c:v>108.933692780922</c:v>
                </c:pt>
                <c:pt idx="218">
                  <c:v>109.177405713691</c:v>
                </c:pt>
                <c:pt idx="219">
                  <c:v>109.421118646461</c:v>
                </c:pt>
                <c:pt idx="220">
                  <c:v>109.66483157923</c:v>
                </c:pt>
                <c:pt idx="221">
                  <c:v>109.908544511999</c:v>
                </c:pt>
                <c:pt idx="222">
                  <c:v>110.152257444768</c:v>
                </c:pt>
                <c:pt idx="223">
                  <c:v>110.395970377537</c:v>
                </c:pt>
                <c:pt idx="224">
                  <c:v>110.639683310307</c:v>
                </c:pt>
                <c:pt idx="225">
                  <c:v>110.883396243076</c:v>
                </c:pt>
                <c:pt idx="226">
                  <c:v>111.127109175845</c:v>
                </c:pt>
                <c:pt idx="227">
                  <c:v>111.370822108614</c:v>
                </c:pt>
                <c:pt idx="228">
                  <c:v>111.614535041383</c:v>
                </c:pt>
                <c:pt idx="229">
                  <c:v>111.858247974153</c:v>
                </c:pt>
                <c:pt idx="230">
                  <c:v>112.101960906922</c:v>
                </c:pt>
                <c:pt idx="231">
                  <c:v>112.345673839691</c:v>
                </c:pt>
                <c:pt idx="232">
                  <c:v>112.58938677246</c:v>
                </c:pt>
                <c:pt idx="233">
                  <c:v>112.833099705229</c:v>
                </c:pt>
                <c:pt idx="234">
                  <c:v>113.076812637999</c:v>
                </c:pt>
                <c:pt idx="235">
                  <c:v>113.320525570768</c:v>
                </c:pt>
                <c:pt idx="236">
                  <c:v>113.564238503537</c:v>
                </c:pt>
                <c:pt idx="237">
                  <c:v>113.807951436306</c:v>
                </c:pt>
                <c:pt idx="238">
                  <c:v>114.051664369075</c:v>
                </c:pt>
                <c:pt idx="239">
                  <c:v>114.295377301845</c:v>
                </c:pt>
                <c:pt idx="240">
                  <c:v>114.539090234614</c:v>
                </c:pt>
                <c:pt idx="241">
                  <c:v>114.782803167383</c:v>
                </c:pt>
                <c:pt idx="242">
                  <c:v>115.026516100152</c:v>
                </c:pt>
                <c:pt idx="243">
                  <c:v>115.270229032921</c:v>
                </c:pt>
                <c:pt idx="244">
                  <c:v>115.513941965691</c:v>
                </c:pt>
                <c:pt idx="245">
                  <c:v>115.75765489846</c:v>
                </c:pt>
                <c:pt idx="246">
                  <c:v>116.001367831229</c:v>
                </c:pt>
                <c:pt idx="247">
                  <c:v>116.245080763998</c:v>
                </c:pt>
                <c:pt idx="248">
                  <c:v>116.488793696768</c:v>
                </c:pt>
                <c:pt idx="249">
                  <c:v>116.732506629537</c:v>
                </c:pt>
                <c:pt idx="250">
                  <c:v>116.976219562306</c:v>
                </c:pt>
                <c:pt idx="251">
                  <c:v>117.219932495075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"APP"</c:f>
              <c:strCache>
                <c:ptCount val="1"/>
                <c:pt idx="0">
                  <c:v>APP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Sheet5!$A$253:$A$504</c:f>
              <c:numCache>
                <c:formatCode>General</c:formatCode>
                <c:ptCount val="2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</c:numCache>
            </c:numRef>
          </c:xVal>
          <c:yVal>
            <c:numRef>
              <c:f>Sheet5!$C$253:$C$504</c:f>
              <c:numCache>
                <c:formatCode>General</c:formatCode>
                <c:ptCount val="252"/>
                <c:pt idx="0">
                  <c:v>55.291519</c:v>
                </c:pt>
                <c:pt idx="1">
                  <c:v>56.491634</c:v>
                </c:pt>
                <c:pt idx="2">
                  <c:v>59.367474</c:v>
                </c:pt>
                <c:pt idx="3">
                  <c:v>59.490692</c:v>
                </c:pt>
                <c:pt idx="4">
                  <c:v>59.687832</c:v>
                </c:pt>
                <c:pt idx="5">
                  <c:v>60.321156</c:v>
                </c:pt>
                <c:pt idx="6">
                  <c:v>60.35812</c:v>
                </c:pt>
                <c:pt idx="7">
                  <c:v>60.503517</c:v>
                </c:pt>
                <c:pt idx="8">
                  <c:v>60.786911</c:v>
                </c:pt>
                <c:pt idx="9">
                  <c:v>60.838661</c:v>
                </c:pt>
                <c:pt idx="10">
                  <c:v>61.050594</c:v>
                </c:pt>
                <c:pt idx="11">
                  <c:v>61.171341</c:v>
                </c:pt>
                <c:pt idx="12">
                  <c:v>62.312309</c:v>
                </c:pt>
                <c:pt idx="13">
                  <c:v>62.664707</c:v>
                </c:pt>
                <c:pt idx="14">
                  <c:v>62.79285</c:v>
                </c:pt>
                <c:pt idx="15">
                  <c:v>63.687393</c:v>
                </c:pt>
                <c:pt idx="16">
                  <c:v>63.784916</c:v>
                </c:pt>
                <c:pt idx="17">
                  <c:v>63.931355</c:v>
                </c:pt>
                <c:pt idx="18">
                  <c:v>63.954544</c:v>
                </c:pt>
                <c:pt idx="19">
                  <c:v>64.347893</c:v>
                </c:pt>
                <c:pt idx="20">
                  <c:v>64.357727</c:v>
                </c:pt>
                <c:pt idx="21">
                  <c:v>64.401978</c:v>
                </c:pt>
                <c:pt idx="22">
                  <c:v>64.414268</c:v>
                </c:pt>
                <c:pt idx="23">
                  <c:v>64.460991</c:v>
                </c:pt>
                <c:pt idx="24">
                  <c:v>64.56916</c:v>
                </c:pt>
                <c:pt idx="25">
                  <c:v>64.680504</c:v>
                </c:pt>
                <c:pt idx="26">
                  <c:v>64.704376</c:v>
                </c:pt>
                <c:pt idx="27">
                  <c:v>64.942841</c:v>
                </c:pt>
                <c:pt idx="28">
                  <c:v>64.974815</c:v>
                </c:pt>
                <c:pt idx="29">
                  <c:v>65.019051</c:v>
                </c:pt>
                <c:pt idx="30">
                  <c:v>65.291946</c:v>
                </c:pt>
                <c:pt idx="31">
                  <c:v>65.336212</c:v>
                </c:pt>
                <c:pt idx="32">
                  <c:v>65.466507</c:v>
                </c:pt>
                <c:pt idx="33">
                  <c:v>65.486168</c:v>
                </c:pt>
                <c:pt idx="34">
                  <c:v>65.567657</c:v>
                </c:pt>
                <c:pt idx="35">
                  <c:v>65.592308</c:v>
                </c:pt>
                <c:pt idx="36">
                  <c:v>65.621384</c:v>
                </c:pt>
                <c:pt idx="37">
                  <c:v>65.665634</c:v>
                </c:pt>
                <c:pt idx="38">
                  <c:v>65.702515</c:v>
                </c:pt>
                <c:pt idx="39">
                  <c:v>65.847565</c:v>
                </c:pt>
                <c:pt idx="40">
                  <c:v>66.004898</c:v>
                </c:pt>
                <c:pt idx="41">
                  <c:v>66.040802</c:v>
                </c:pt>
                <c:pt idx="42">
                  <c:v>66.134438</c:v>
                </c:pt>
                <c:pt idx="43">
                  <c:v>66.553131</c:v>
                </c:pt>
                <c:pt idx="44">
                  <c:v>66.567886</c:v>
                </c:pt>
                <c:pt idx="45">
                  <c:v>66.737518</c:v>
                </c:pt>
                <c:pt idx="46">
                  <c:v>67.337029</c:v>
                </c:pt>
                <c:pt idx="47">
                  <c:v>67.364128</c:v>
                </c:pt>
                <c:pt idx="48">
                  <c:v>67.403557</c:v>
                </c:pt>
                <c:pt idx="49">
                  <c:v>67.644707</c:v>
                </c:pt>
                <c:pt idx="50">
                  <c:v>67.775673</c:v>
                </c:pt>
                <c:pt idx="51">
                  <c:v>67.874245</c:v>
                </c:pt>
                <c:pt idx="52">
                  <c:v>68.039352</c:v>
                </c:pt>
                <c:pt idx="53">
                  <c:v>68.243881</c:v>
                </c:pt>
                <c:pt idx="54">
                  <c:v>68.500175</c:v>
                </c:pt>
                <c:pt idx="55">
                  <c:v>68.65049</c:v>
                </c:pt>
                <c:pt idx="56">
                  <c:v>68.699387</c:v>
                </c:pt>
                <c:pt idx="57">
                  <c:v>68.773132</c:v>
                </c:pt>
                <c:pt idx="58">
                  <c:v>68.802635</c:v>
                </c:pt>
                <c:pt idx="59">
                  <c:v>68.841965</c:v>
                </c:pt>
                <c:pt idx="60">
                  <c:v>68.937851</c:v>
                </c:pt>
                <c:pt idx="61">
                  <c:v>69.690422</c:v>
                </c:pt>
                <c:pt idx="62">
                  <c:v>69.732323</c:v>
                </c:pt>
                <c:pt idx="63">
                  <c:v>69.781609</c:v>
                </c:pt>
                <c:pt idx="64">
                  <c:v>69.820442</c:v>
                </c:pt>
                <c:pt idx="65">
                  <c:v>69.886818</c:v>
                </c:pt>
                <c:pt idx="66">
                  <c:v>70.09211</c:v>
                </c:pt>
                <c:pt idx="67">
                  <c:v>70.316368</c:v>
                </c:pt>
                <c:pt idx="68">
                  <c:v>70.64904</c:v>
                </c:pt>
                <c:pt idx="69">
                  <c:v>70.737755</c:v>
                </c:pt>
                <c:pt idx="70">
                  <c:v>70.905334</c:v>
                </c:pt>
                <c:pt idx="71">
                  <c:v>70.991577</c:v>
                </c:pt>
                <c:pt idx="72">
                  <c:v>71.225685</c:v>
                </c:pt>
                <c:pt idx="73">
                  <c:v>71.235542</c:v>
                </c:pt>
                <c:pt idx="74">
                  <c:v>71.246353</c:v>
                </c:pt>
                <c:pt idx="75">
                  <c:v>71.273392</c:v>
                </c:pt>
                <c:pt idx="76">
                  <c:v>71.297157</c:v>
                </c:pt>
                <c:pt idx="77">
                  <c:v>71.669212</c:v>
                </c:pt>
                <c:pt idx="78">
                  <c:v>72.117767</c:v>
                </c:pt>
                <c:pt idx="79">
                  <c:v>72.184303</c:v>
                </c:pt>
                <c:pt idx="80">
                  <c:v>72.192863</c:v>
                </c:pt>
                <c:pt idx="81">
                  <c:v>72.243446</c:v>
                </c:pt>
                <c:pt idx="82">
                  <c:v>72.401154</c:v>
                </c:pt>
                <c:pt idx="83">
                  <c:v>73.122154</c:v>
                </c:pt>
                <c:pt idx="84">
                  <c:v>73.327736</c:v>
                </c:pt>
                <c:pt idx="85">
                  <c:v>73.358185</c:v>
                </c:pt>
                <c:pt idx="86">
                  <c:v>73.480522</c:v>
                </c:pt>
                <c:pt idx="87">
                  <c:v>73.635773</c:v>
                </c:pt>
                <c:pt idx="88">
                  <c:v>73.704819</c:v>
                </c:pt>
                <c:pt idx="89">
                  <c:v>73.840042</c:v>
                </c:pt>
                <c:pt idx="90">
                  <c:v>74.084282</c:v>
                </c:pt>
                <c:pt idx="91">
                  <c:v>74.538239</c:v>
                </c:pt>
                <c:pt idx="92">
                  <c:v>74.60424</c:v>
                </c:pt>
                <c:pt idx="93">
                  <c:v>74.85067</c:v>
                </c:pt>
                <c:pt idx="94">
                  <c:v>75.883018</c:v>
                </c:pt>
                <c:pt idx="95">
                  <c:v>75.954315</c:v>
                </c:pt>
                <c:pt idx="96">
                  <c:v>76.091995</c:v>
                </c:pt>
                <c:pt idx="97">
                  <c:v>76.121498</c:v>
                </c:pt>
                <c:pt idx="98">
                  <c:v>76.293579</c:v>
                </c:pt>
                <c:pt idx="99">
                  <c:v>76.541885</c:v>
                </c:pt>
                <c:pt idx="100">
                  <c:v>76.641853</c:v>
                </c:pt>
                <c:pt idx="101">
                  <c:v>76.656792</c:v>
                </c:pt>
                <c:pt idx="102">
                  <c:v>76.871323</c:v>
                </c:pt>
                <c:pt idx="103">
                  <c:v>77.112686</c:v>
                </c:pt>
                <c:pt idx="104">
                  <c:v>77.144943</c:v>
                </c:pt>
                <c:pt idx="105">
                  <c:v>77.259674</c:v>
                </c:pt>
                <c:pt idx="106">
                  <c:v>77.500694</c:v>
                </c:pt>
                <c:pt idx="107">
                  <c:v>77.578537</c:v>
                </c:pt>
                <c:pt idx="108">
                  <c:v>77.827667</c:v>
                </c:pt>
                <c:pt idx="109">
                  <c:v>77.923538</c:v>
                </c:pt>
                <c:pt idx="110">
                  <c:v>78.009521</c:v>
                </c:pt>
                <c:pt idx="111">
                  <c:v>78.103012</c:v>
                </c:pt>
                <c:pt idx="112">
                  <c:v>78.105476</c:v>
                </c:pt>
                <c:pt idx="113">
                  <c:v>78.25544</c:v>
                </c:pt>
                <c:pt idx="114">
                  <c:v>78.358696</c:v>
                </c:pt>
                <c:pt idx="115">
                  <c:v>78.388199</c:v>
                </c:pt>
                <c:pt idx="116">
                  <c:v>78.462914</c:v>
                </c:pt>
                <c:pt idx="117">
                  <c:v>78.475372</c:v>
                </c:pt>
                <c:pt idx="118">
                  <c:v>78.481621</c:v>
                </c:pt>
                <c:pt idx="119">
                  <c:v>78.611198</c:v>
                </c:pt>
                <c:pt idx="120">
                  <c:v>78.76152</c:v>
                </c:pt>
                <c:pt idx="121">
                  <c:v>78.865021</c:v>
                </c:pt>
                <c:pt idx="122">
                  <c:v>78.903862</c:v>
                </c:pt>
                <c:pt idx="123">
                  <c:v>78.931564</c:v>
                </c:pt>
                <c:pt idx="124">
                  <c:v>78.933754</c:v>
                </c:pt>
                <c:pt idx="125">
                  <c:v>79.027405</c:v>
                </c:pt>
                <c:pt idx="126">
                  <c:v>79.205299</c:v>
                </c:pt>
                <c:pt idx="127">
                  <c:v>79.239594</c:v>
                </c:pt>
                <c:pt idx="128">
                  <c:v>79.247643</c:v>
                </c:pt>
                <c:pt idx="129">
                  <c:v>79.282524</c:v>
                </c:pt>
                <c:pt idx="130">
                  <c:v>79.441963</c:v>
                </c:pt>
                <c:pt idx="131">
                  <c:v>79.526665</c:v>
                </c:pt>
                <c:pt idx="132">
                  <c:v>79.622337</c:v>
                </c:pt>
                <c:pt idx="133">
                  <c:v>79.7379</c:v>
                </c:pt>
                <c:pt idx="134">
                  <c:v>79.749702</c:v>
                </c:pt>
                <c:pt idx="135">
                  <c:v>79.951775</c:v>
                </c:pt>
                <c:pt idx="136">
                  <c:v>80.057739</c:v>
                </c:pt>
                <c:pt idx="137">
                  <c:v>80.077461</c:v>
                </c:pt>
                <c:pt idx="138">
                  <c:v>80.179359</c:v>
                </c:pt>
                <c:pt idx="139">
                  <c:v>80.296448</c:v>
                </c:pt>
                <c:pt idx="140">
                  <c:v>80.550545</c:v>
                </c:pt>
                <c:pt idx="141">
                  <c:v>80.631927</c:v>
                </c:pt>
                <c:pt idx="142">
                  <c:v>80.99398</c:v>
                </c:pt>
                <c:pt idx="143">
                  <c:v>82.583374</c:v>
                </c:pt>
                <c:pt idx="144">
                  <c:v>83.07164</c:v>
                </c:pt>
                <c:pt idx="145">
                  <c:v>83.679497</c:v>
                </c:pt>
                <c:pt idx="146">
                  <c:v>84.401947</c:v>
                </c:pt>
                <c:pt idx="147">
                  <c:v>85.445755</c:v>
                </c:pt>
                <c:pt idx="148">
                  <c:v>85.694878</c:v>
                </c:pt>
                <c:pt idx="149">
                  <c:v>87.122337</c:v>
                </c:pt>
                <c:pt idx="150">
                  <c:v>87.588196</c:v>
                </c:pt>
                <c:pt idx="151">
                  <c:v>87.623077</c:v>
                </c:pt>
                <c:pt idx="152">
                  <c:v>87.710258</c:v>
                </c:pt>
                <c:pt idx="153">
                  <c:v>87.89959</c:v>
                </c:pt>
                <c:pt idx="154">
                  <c:v>88.096405</c:v>
                </c:pt>
                <c:pt idx="155">
                  <c:v>89.401787</c:v>
                </c:pt>
                <c:pt idx="156">
                  <c:v>89.698242</c:v>
                </c:pt>
                <c:pt idx="157">
                  <c:v>90.126732</c:v>
                </c:pt>
                <c:pt idx="158">
                  <c:v>90.707176</c:v>
                </c:pt>
                <c:pt idx="159">
                  <c:v>90.707176</c:v>
                </c:pt>
                <c:pt idx="160">
                  <c:v>90.879066</c:v>
                </c:pt>
                <c:pt idx="161">
                  <c:v>90.889038</c:v>
                </c:pt>
                <c:pt idx="162">
                  <c:v>91.310051</c:v>
                </c:pt>
                <c:pt idx="163">
                  <c:v>92.289093</c:v>
                </c:pt>
                <c:pt idx="164">
                  <c:v>92.518288</c:v>
                </c:pt>
                <c:pt idx="165">
                  <c:v>92.844635</c:v>
                </c:pt>
                <c:pt idx="166">
                  <c:v>92.924355</c:v>
                </c:pt>
                <c:pt idx="167">
                  <c:v>93.133614</c:v>
                </c:pt>
                <c:pt idx="168">
                  <c:v>94.476364</c:v>
                </c:pt>
                <c:pt idx="169">
                  <c:v>94.705559</c:v>
                </c:pt>
                <c:pt idx="170">
                  <c:v>95.006996</c:v>
                </c:pt>
                <c:pt idx="171">
                  <c:v>95.141525</c:v>
                </c:pt>
                <c:pt idx="172">
                  <c:v>95.415558</c:v>
                </c:pt>
                <c:pt idx="173">
                  <c:v>95.582466</c:v>
                </c:pt>
                <c:pt idx="174">
                  <c:v>95.851517</c:v>
                </c:pt>
                <c:pt idx="175">
                  <c:v>95.988533</c:v>
                </c:pt>
                <c:pt idx="176">
                  <c:v>96.182846</c:v>
                </c:pt>
                <c:pt idx="177">
                  <c:v>96.658661</c:v>
                </c:pt>
                <c:pt idx="178">
                  <c:v>96.715965</c:v>
                </c:pt>
                <c:pt idx="179">
                  <c:v>96.930199</c:v>
                </c:pt>
                <c:pt idx="180">
                  <c:v>97.381111</c:v>
                </c:pt>
                <c:pt idx="181">
                  <c:v>98.011391</c:v>
                </c:pt>
                <c:pt idx="182">
                  <c:v>105.886086</c:v>
                </c:pt>
                <c:pt idx="183">
                  <c:v>106.655991</c:v>
                </c:pt>
                <c:pt idx="184">
                  <c:v>106.935509</c:v>
                </c:pt>
                <c:pt idx="185">
                  <c:v>108.033615</c:v>
                </c:pt>
                <c:pt idx="186">
                  <c:v>108.554153</c:v>
                </c:pt>
                <c:pt idx="187">
                  <c:v>108.582664</c:v>
                </c:pt>
                <c:pt idx="188">
                  <c:v>108.672516</c:v>
                </c:pt>
                <c:pt idx="189">
                  <c:v>109.186623</c:v>
                </c:pt>
                <c:pt idx="190">
                  <c:v>109.279099</c:v>
                </c:pt>
                <c:pt idx="191">
                  <c:v>109.675194</c:v>
                </c:pt>
                <c:pt idx="192">
                  <c:v>109.890411</c:v>
                </c:pt>
                <c:pt idx="193">
                  <c:v>110.149963</c:v>
                </c:pt>
                <c:pt idx="194">
                  <c:v>110.249794</c:v>
                </c:pt>
                <c:pt idx="195">
                  <c:v>110.921135</c:v>
                </c:pt>
                <c:pt idx="196">
                  <c:v>111.008476</c:v>
                </c:pt>
                <c:pt idx="197">
                  <c:v>111.617432</c:v>
                </c:pt>
                <c:pt idx="198">
                  <c:v>111.807106</c:v>
                </c:pt>
                <c:pt idx="199">
                  <c:v>111.936882</c:v>
                </c:pt>
                <c:pt idx="200">
                  <c:v>112.086624</c:v>
                </c:pt>
                <c:pt idx="201">
                  <c:v>112.533356</c:v>
                </c:pt>
                <c:pt idx="202">
                  <c:v>112.625694</c:v>
                </c:pt>
                <c:pt idx="203">
                  <c:v>112.815369</c:v>
                </c:pt>
                <c:pt idx="204">
                  <c:v>112.825348</c:v>
                </c:pt>
                <c:pt idx="205">
                  <c:v>112.965111</c:v>
                </c:pt>
                <c:pt idx="206">
                  <c:v>113.29454</c:v>
                </c:pt>
                <c:pt idx="207">
                  <c:v>113.501678</c:v>
                </c:pt>
                <c:pt idx="208">
                  <c:v>113.893501</c:v>
                </c:pt>
                <c:pt idx="209">
                  <c:v>114.41011</c:v>
                </c:pt>
                <c:pt idx="210">
                  <c:v>114.709602</c:v>
                </c:pt>
                <c:pt idx="211">
                  <c:v>114.752022</c:v>
                </c:pt>
                <c:pt idx="212">
                  <c:v>114.762009</c:v>
                </c:pt>
                <c:pt idx="213">
                  <c:v>114.771988</c:v>
                </c:pt>
                <c:pt idx="214">
                  <c:v>114.81192</c:v>
                </c:pt>
                <c:pt idx="215">
                  <c:v>114.841873</c:v>
                </c:pt>
                <c:pt idx="216">
                  <c:v>114.851852</c:v>
                </c:pt>
                <c:pt idx="217">
                  <c:v>114.881805</c:v>
                </c:pt>
                <c:pt idx="218">
                  <c:v>115.121384</c:v>
                </c:pt>
                <c:pt idx="219">
                  <c:v>115.161316</c:v>
                </c:pt>
                <c:pt idx="220">
                  <c:v>115.341011</c:v>
                </c:pt>
                <c:pt idx="221">
                  <c:v>115.363472</c:v>
                </c:pt>
                <c:pt idx="222">
                  <c:v>115.508217</c:v>
                </c:pt>
                <c:pt idx="223">
                  <c:v>115.550644</c:v>
                </c:pt>
                <c:pt idx="224">
                  <c:v>115.610542</c:v>
                </c:pt>
                <c:pt idx="225">
                  <c:v>115.780251</c:v>
                </c:pt>
                <c:pt idx="226">
                  <c:v>116.299355</c:v>
                </c:pt>
                <c:pt idx="227">
                  <c:v>116.399178</c:v>
                </c:pt>
                <c:pt idx="228">
                  <c:v>116.58886</c:v>
                </c:pt>
                <c:pt idx="229">
                  <c:v>116.668724</c:v>
                </c:pt>
                <c:pt idx="230">
                  <c:v>116.768547</c:v>
                </c:pt>
                <c:pt idx="231">
                  <c:v>117.117943</c:v>
                </c:pt>
                <c:pt idx="232">
                  <c:v>117.307617</c:v>
                </c:pt>
                <c:pt idx="233">
                  <c:v>118.071297</c:v>
                </c:pt>
                <c:pt idx="234">
                  <c:v>118.690002</c:v>
                </c:pt>
                <c:pt idx="235">
                  <c:v>118.81501</c:v>
                </c:pt>
                <c:pt idx="236">
                  <c:v>118.824997</c:v>
                </c:pt>
                <c:pt idx="237">
                  <c:v>120.502106</c:v>
                </c:pt>
                <c:pt idx="238">
                  <c:v>120.671806</c:v>
                </c:pt>
                <c:pt idx="239">
                  <c:v>120.751671</c:v>
                </c:pt>
                <c:pt idx="240">
                  <c:v>120.891434</c:v>
                </c:pt>
                <c:pt idx="241">
                  <c:v>120.981277</c:v>
                </c:pt>
                <c:pt idx="242">
                  <c:v>124.1558</c:v>
                </c:pt>
                <c:pt idx="243">
                  <c:v>124.185753</c:v>
                </c:pt>
                <c:pt idx="244">
                  <c:v>124.592552</c:v>
                </c:pt>
                <c:pt idx="245">
                  <c:v>124.610016</c:v>
                </c:pt>
                <c:pt idx="246">
                  <c:v>124.794701</c:v>
                </c:pt>
                <c:pt idx="247">
                  <c:v>125.640739</c:v>
                </c:pt>
                <c:pt idx="248">
                  <c:v>126.304596</c:v>
                </c:pt>
                <c:pt idx="249">
                  <c:v>128.817749</c:v>
                </c:pt>
                <c:pt idx="250">
                  <c:v>131.173691</c:v>
                </c:pt>
                <c:pt idx="251">
                  <c:v>133.948898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09640"/>
        <c:axId val="43806280"/>
      </c:scatterChart>
      <c:valAx>
        <c:axId val="4380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06280"/>
        <c:crosses val="autoZero"/>
        <c:crossBetween val="midCat"/>
      </c:valAx>
      <c:valAx>
        <c:axId val="4380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0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 Probability Plot of APP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'Part 3'!$N$29:$N$281</c:f>
              <c:numCache>
                <c:formatCode>General</c:formatCode>
                <c:ptCount val="253"/>
                <c:pt idx="0">
                  <c:v>0.194552529182879</c:v>
                </c:pt>
                <c:pt idx="1">
                  <c:v>0.583657587548638</c:v>
                </c:pt>
                <c:pt idx="2">
                  <c:v>0.972762645914396</c:v>
                </c:pt>
                <c:pt idx="3">
                  <c:v>1.36186770428015</c:v>
                </c:pt>
                <c:pt idx="4">
                  <c:v>1.75097276264591</c:v>
                </c:pt>
                <c:pt idx="5">
                  <c:v>2.14007782101167</c:v>
                </c:pt>
                <c:pt idx="6">
                  <c:v>2.52918287937743</c:v>
                </c:pt>
                <c:pt idx="7">
                  <c:v>2.91828793774319</c:v>
                </c:pt>
                <c:pt idx="8">
                  <c:v>3.30739299610894</c:v>
                </c:pt>
                <c:pt idx="9">
                  <c:v>3.6964980544747</c:v>
                </c:pt>
                <c:pt idx="10">
                  <c:v>4.08560311284046</c:v>
                </c:pt>
                <c:pt idx="11">
                  <c:v>4.47470817120622</c:v>
                </c:pt>
                <c:pt idx="12">
                  <c:v>4.86381322957198</c:v>
                </c:pt>
                <c:pt idx="13">
                  <c:v>5.25291828793774</c:v>
                </c:pt>
                <c:pt idx="14">
                  <c:v>5.6420233463035</c:v>
                </c:pt>
                <c:pt idx="15">
                  <c:v>6.03112840466926</c:v>
                </c:pt>
                <c:pt idx="16">
                  <c:v>6.42023346303502</c:v>
                </c:pt>
                <c:pt idx="17">
                  <c:v>6.80933852140077</c:v>
                </c:pt>
                <c:pt idx="18">
                  <c:v>7.19844357976653</c:v>
                </c:pt>
                <c:pt idx="19">
                  <c:v>7.58754863813229</c:v>
                </c:pt>
                <c:pt idx="20">
                  <c:v>7.97665369649805</c:v>
                </c:pt>
                <c:pt idx="21">
                  <c:v>8.36575875486381</c:v>
                </c:pt>
                <c:pt idx="22">
                  <c:v>8.75486381322957</c:v>
                </c:pt>
                <c:pt idx="23">
                  <c:v>9.14396887159533</c:v>
                </c:pt>
                <c:pt idx="24">
                  <c:v>9.53307392996109</c:v>
                </c:pt>
                <c:pt idx="25">
                  <c:v>9.92217898832684</c:v>
                </c:pt>
                <c:pt idx="26">
                  <c:v>10.3112840466926</c:v>
                </c:pt>
                <c:pt idx="27">
                  <c:v>10.7003891050583</c:v>
                </c:pt>
                <c:pt idx="28">
                  <c:v>11.0894941634241</c:v>
                </c:pt>
                <c:pt idx="29">
                  <c:v>11.4785992217898</c:v>
                </c:pt>
                <c:pt idx="30">
                  <c:v>11.8677042801556</c:v>
                </c:pt>
                <c:pt idx="31">
                  <c:v>12.2568093385214</c:v>
                </c:pt>
                <c:pt idx="32">
                  <c:v>12.6459143968871</c:v>
                </c:pt>
                <c:pt idx="33">
                  <c:v>13.0350194552529</c:v>
                </c:pt>
                <c:pt idx="34">
                  <c:v>13.4241245136186</c:v>
                </c:pt>
                <c:pt idx="35">
                  <c:v>13.8132295719844</c:v>
                </c:pt>
                <c:pt idx="36">
                  <c:v>14.2023346303501</c:v>
                </c:pt>
                <c:pt idx="37">
                  <c:v>14.5914396887159</c:v>
                </c:pt>
                <c:pt idx="38">
                  <c:v>14.9805447470817</c:v>
                </c:pt>
                <c:pt idx="39">
                  <c:v>15.3696498054474</c:v>
                </c:pt>
                <c:pt idx="40">
                  <c:v>15.7587548638132</c:v>
                </c:pt>
                <c:pt idx="41">
                  <c:v>16.1478599221789</c:v>
                </c:pt>
                <c:pt idx="42">
                  <c:v>16.5369649805447</c:v>
                </c:pt>
                <c:pt idx="43">
                  <c:v>16.9260700389105</c:v>
                </c:pt>
                <c:pt idx="44">
                  <c:v>17.3151750972762</c:v>
                </c:pt>
                <c:pt idx="45">
                  <c:v>17.704280155642</c:v>
                </c:pt>
                <c:pt idx="46">
                  <c:v>18.0933852140077</c:v>
                </c:pt>
                <c:pt idx="47">
                  <c:v>18.4824902723735</c:v>
                </c:pt>
                <c:pt idx="48">
                  <c:v>18.8715953307393</c:v>
                </c:pt>
                <c:pt idx="49">
                  <c:v>19.260700389105</c:v>
                </c:pt>
                <c:pt idx="50">
                  <c:v>19.6498054474708</c:v>
                </c:pt>
                <c:pt idx="51">
                  <c:v>20.0389105058365</c:v>
                </c:pt>
                <c:pt idx="52">
                  <c:v>20.4280155642023</c:v>
                </c:pt>
                <c:pt idx="53">
                  <c:v>20.817120622568</c:v>
                </c:pt>
                <c:pt idx="54">
                  <c:v>21.2062256809338</c:v>
                </c:pt>
                <c:pt idx="55">
                  <c:v>21.5953307392996</c:v>
                </c:pt>
                <c:pt idx="56">
                  <c:v>21.9844357976653</c:v>
                </c:pt>
                <c:pt idx="57">
                  <c:v>22.3735408560311</c:v>
                </c:pt>
                <c:pt idx="58">
                  <c:v>22.7626459143968</c:v>
                </c:pt>
                <c:pt idx="59">
                  <c:v>23.1517509727626</c:v>
                </c:pt>
                <c:pt idx="60">
                  <c:v>23.5408560311284</c:v>
                </c:pt>
                <c:pt idx="61">
                  <c:v>23.9299610894941</c:v>
                </c:pt>
                <c:pt idx="62">
                  <c:v>24.3190661478599</c:v>
                </c:pt>
                <c:pt idx="63">
                  <c:v>24.7081712062256</c:v>
                </c:pt>
                <c:pt idx="64">
                  <c:v>25.0972762645914</c:v>
                </c:pt>
                <c:pt idx="65">
                  <c:v>25.4863813229571</c:v>
                </c:pt>
                <c:pt idx="66">
                  <c:v>25.8754863813229</c:v>
                </c:pt>
                <c:pt idx="67">
                  <c:v>26.2645914396887</c:v>
                </c:pt>
                <c:pt idx="68">
                  <c:v>26.6536964980544</c:v>
                </c:pt>
                <c:pt idx="69">
                  <c:v>27.0428015564202</c:v>
                </c:pt>
                <c:pt idx="70">
                  <c:v>27.4319066147859</c:v>
                </c:pt>
                <c:pt idx="71">
                  <c:v>27.8210116731517</c:v>
                </c:pt>
                <c:pt idx="72">
                  <c:v>28.2101167315175</c:v>
                </c:pt>
                <c:pt idx="73">
                  <c:v>28.5992217898832</c:v>
                </c:pt>
                <c:pt idx="74">
                  <c:v>28.988326848249</c:v>
                </c:pt>
                <c:pt idx="75">
                  <c:v>29.3774319066147</c:v>
                </c:pt>
                <c:pt idx="76">
                  <c:v>29.7665369649805</c:v>
                </c:pt>
                <c:pt idx="77">
                  <c:v>30.1556420233463</c:v>
                </c:pt>
                <c:pt idx="78">
                  <c:v>30.544747081712</c:v>
                </c:pt>
                <c:pt idx="79">
                  <c:v>30.9338521400778</c:v>
                </c:pt>
                <c:pt idx="80">
                  <c:v>31.3229571984435</c:v>
                </c:pt>
                <c:pt idx="81">
                  <c:v>31.7120622568093</c:v>
                </c:pt>
                <c:pt idx="82">
                  <c:v>32.1011673151751</c:v>
                </c:pt>
                <c:pt idx="83">
                  <c:v>32.4902723735408</c:v>
                </c:pt>
                <c:pt idx="84">
                  <c:v>32.8793774319066</c:v>
                </c:pt>
                <c:pt idx="85">
                  <c:v>33.2684824902723</c:v>
                </c:pt>
                <c:pt idx="86">
                  <c:v>33.6575875486381</c:v>
                </c:pt>
                <c:pt idx="87">
                  <c:v>34.0466926070038</c:v>
                </c:pt>
                <c:pt idx="88">
                  <c:v>34.4357976653696</c:v>
                </c:pt>
                <c:pt idx="89">
                  <c:v>34.8249027237354</c:v>
                </c:pt>
                <c:pt idx="90">
                  <c:v>35.2140077821011</c:v>
                </c:pt>
                <c:pt idx="91">
                  <c:v>35.6031128404669</c:v>
                </c:pt>
                <c:pt idx="92">
                  <c:v>35.9922178988326</c:v>
                </c:pt>
                <c:pt idx="93">
                  <c:v>36.3813229571984</c:v>
                </c:pt>
                <c:pt idx="94">
                  <c:v>36.7704280155642</c:v>
                </c:pt>
                <c:pt idx="95">
                  <c:v>37.1595330739299</c:v>
                </c:pt>
                <c:pt idx="96">
                  <c:v>37.5486381322957</c:v>
                </c:pt>
                <c:pt idx="97">
                  <c:v>37.9377431906614</c:v>
                </c:pt>
                <c:pt idx="98">
                  <c:v>38.3268482490272</c:v>
                </c:pt>
                <c:pt idx="99">
                  <c:v>38.7159533073929</c:v>
                </c:pt>
                <c:pt idx="100">
                  <c:v>39.1050583657587</c:v>
                </c:pt>
                <c:pt idx="101">
                  <c:v>39.4941634241245</c:v>
                </c:pt>
                <c:pt idx="102">
                  <c:v>39.8832684824902</c:v>
                </c:pt>
                <c:pt idx="103">
                  <c:v>40.272373540856</c:v>
                </c:pt>
                <c:pt idx="104">
                  <c:v>40.6614785992217</c:v>
                </c:pt>
                <c:pt idx="105">
                  <c:v>41.0505836575875</c:v>
                </c:pt>
                <c:pt idx="106">
                  <c:v>41.4396887159533</c:v>
                </c:pt>
                <c:pt idx="107">
                  <c:v>41.828793774319</c:v>
                </c:pt>
                <c:pt idx="108">
                  <c:v>42.2178988326848</c:v>
                </c:pt>
                <c:pt idx="109">
                  <c:v>42.6070038910505</c:v>
                </c:pt>
                <c:pt idx="110">
                  <c:v>42.9961089494163</c:v>
                </c:pt>
                <c:pt idx="111">
                  <c:v>43.3852140077821</c:v>
                </c:pt>
                <c:pt idx="112">
                  <c:v>43.7743190661478</c:v>
                </c:pt>
                <c:pt idx="113">
                  <c:v>44.1634241245136</c:v>
                </c:pt>
                <c:pt idx="114">
                  <c:v>44.5525291828793</c:v>
                </c:pt>
                <c:pt idx="115">
                  <c:v>44.9416342412451</c:v>
                </c:pt>
                <c:pt idx="116">
                  <c:v>45.3307392996109</c:v>
                </c:pt>
                <c:pt idx="117">
                  <c:v>45.7198443579766</c:v>
                </c:pt>
                <c:pt idx="118">
                  <c:v>46.1089494163424</c:v>
                </c:pt>
                <c:pt idx="119">
                  <c:v>46.4980544747081</c:v>
                </c:pt>
                <c:pt idx="120">
                  <c:v>46.8871595330739</c:v>
                </c:pt>
                <c:pt idx="121">
                  <c:v>47.2762645914396</c:v>
                </c:pt>
                <c:pt idx="122">
                  <c:v>47.6653696498054</c:v>
                </c:pt>
                <c:pt idx="123">
                  <c:v>48.0544747081712</c:v>
                </c:pt>
                <c:pt idx="124">
                  <c:v>48.4435797665369</c:v>
                </c:pt>
                <c:pt idx="125">
                  <c:v>48.8326848249027</c:v>
                </c:pt>
                <c:pt idx="126">
                  <c:v>49.2217898832684</c:v>
                </c:pt>
                <c:pt idx="127">
                  <c:v>49.6108949416342</c:v>
                </c:pt>
                <c:pt idx="128">
                  <c:v>50</c:v>
                </c:pt>
                <c:pt idx="129">
                  <c:v>50.3891050583657</c:v>
                </c:pt>
                <c:pt idx="130">
                  <c:v>50.7782101167315</c:v>
                </c:pt>
                <c:pt idx="131">
                  <c:v>51.1673151750972</c:v>
                </c:pt>
                <c:pt idx="132">
                  <c:v>51.556420233463</c:v>
                </c:pt>
                <c:pt idx="133">
                  <c:v>51.9455252918287</c:v>
                </c:pt>
                <c:pt idx="134">
                  <c:v>52.3346303501945</c:v>
                </c:pt>
                <c:pt idx="135">
                  <c:v>52.7237354085603</c:v>
                </c:pt>
                <c:pt idx="136">
                  <c:v>53.112840466926</c:v>
                </c:pt>
                <c:pt idx="137">
                  <c:v>53.5019455252918</c:v>
                </c:pt>
                <c:pt idx="138">
                  <c:v>53.8910505836575</c:v>
                </c:pt>
                <c:pt idx="139">
                  <c:v>54.2801556420233</c:v>
                </c:pt>
                <c:pt idx="140">
                  <c:v>54.6692607003891</c:v>
                </c:pt>
                <c:pt idx="141">
                  <c:v>55.0583657587548</c:v>
                </c:pt>
                <c:pt idx="142">
                  <c:v>55.4474708171206</c:v>
                </c:pt>
                <c:pt idx="143">
                  <c:v>55.8365758754863</c:v>
                </c:pt>
                <c:pt idx="144">
                  <c:v>56.2256809338521</c:v>
                </c:pt>
                <c:pt idx="145">
                  <c:v>56.6147859922179</c:v>
                </c:pt>
                <c:pt idx="146">
                  <c:v>57.0038910505836</c:v>
                </c:pt>
                <c:pt idx="147">
                  <c:v>57.3929961089494</c:v>
                </c:pt>
                <c:pt idx="148">
                  <c:v>57.7821011673151</c:v>
                </c:pt>
                <c:pt idx="149">
                  <c:v>58.1712062256809</c:v>
                </c:pt>
                <c:pt idx="150">
                  <c:v>58.5603112840466</c:v>
                </c:pt>
                <c:pt idx="151">
                  <c:v>58.9494163424124</c:v>
                </c:pt>
                <c:pt idx="152">
                  <c:v>59.3385214007782</c:v>
                </c:pt>
                <c:pt idx="153">
                  <c:v>59.7276264591439</c:v>
                </c:pt>
                <c:pt idx="154">
                  <c:v>60.1167315175097</c:v>
                </c:pt>
                <c:pt idx="155">
                  <c:v>60.5058365758754</c:v>
                </c:pt>
                <c:pt idx="156">
                  <c:v>60.8949416342412</c:v>
                </c:pt>
                <c:pt idx="157">
                  <c:v>61.284046692607</c:v>
                </c:pt>
                <c:pt idx="158">
                  <c:v>61.6731517509727</c:v>
                </c:pt>
                <c:pt idx="159">
                  <c:v>62.0622568093385</c:v>
                </c:pt>
                <c:pt idx="160">
                  <c:v>62.4513618677042</c:v>
                </c:pt>
                <c:pt idx="161">
                  <c:v>62.84046692607</c:v>
                </c:pt>
                <c:pt idx="162">
                  <c:v>63.2295719844358</c:v>
                </c:pt>
                <c:pt idx="163">
                  <c:v>63.6186770428015</c:v>
                </c:pt>
                <c:pt idx="164">
                  <c:v>64.0077821011673</c:v>
                </c:pt>
                <c:pt idx="165">
                  <c:v>64.396887159533</c:v>
                </c:pt>
                <c:pt idx="166">
                  <c:v>64.7859922178988</c:v>
                </c:pt>
                <c:pt idx="167">
                  <c:v>65.1750972762646</c:v>
                </c:pt>
                <c:pt idx="168">
                  <c:v>65.5642023346303</c:v>
                </c:pt>
                <c:pt idx="169">
                  <c:v>65.9533073929961</c:v>
                </c:pt>
                <c:pt idx="170">
                  <c:v>66.3424124513618</c:v>
                </c:pt>
                <c:pt idx="171">
                  <c:v>66.7315175097276</c:v>
                </c:pt>
                <c:pt idx="172">
                  <c:v>67.1206225680934</c:v>
                </c:pt>
                <c:pt idx="173">
                  <c:v>67.5097276264591</c:v>
                </c:pt>
                <c:pt idx="174">
                  <c:v>67.8988326848249</c:v>
                </c:pt>
                <c:pt idx="175">
                  <c:v>68.2879377431906</c:v>
                </c:pt>
                <c:pt idx="176">
                  <c:v>68.6770428015564</c:v>
                </c:pt>
                <c:pt idx="177">
                  <c:v>69.0661478599221</c:v>
                </c:pt>
                <c:pt idx="178">
                  <c:v>69.4552529182879</c:v>
                </c:pt>
                <c:pt idx="179">
                  <c:v>69.8443579766537</c:v>
                </c:pt>
                <c:pt idx="180">
                  <c:v>70.2334630350194</c:v>
                </c:pt>
                <c:pt idx="181">
                  <c:v>70.6225680933852</c:v>
                </c:pt>
                <c:pt idx="182">
                  <c:v>71.0116731517509</c:v>
                </c:pt>
                <c:pt idx="183">
                  <c:v>71.4007782101167</c:v>
                </c:pt>
                <c:pt idx="184">
                  <c:v>71.7898832684825</c:v>
                </c:pt>
                <c:pt idx="185">
                  <c:v>72.1789883268482</c:v>
                </c:pt>
                <c:pt idx="186">
                  <c:v>72.568093385214</c:v>
                </c:pt>
                <c:pt idx="187">
                  <c:v>72.9571984435797</c:v>
                </c:pt>
                <c:pt idx="188">
                  <c:v>73.3463035019455</c:v>
                </c:pt>
                <c:pt idx="189">
                  <c:v>73.7354085603112</c:v>
                </c:pt>
                <c:pt idx="190">
                  <c:v>74.124513618677</c:v>
                </c:pt>
                <c:pt idx="191">
                  <c:v>74.5136186770428</c:v>
                </c:pt>
                <c:pt idx="192">
                  <c:v>74.9027237354085</c:v>
                </c:pt>
                <c:pt idx="193">
                  <c:v>75.2918287937743</c:v>
                </c:pt>
                <c:pt idx="194">
                  <c:v>75.68093385214</c:v>
                </c:pt>
                <c:pt idx="195">
                  <c:v>76.0700389105058</c:v>
                </c:pt>
                <c:pt idx="196">
                  <c:v>76.4591439688716</c:v>
                </c:pt>
                <c:pt idx="197">
                  <c:v>76.8482490272373</c:v>
                </c:pt>
                <c:pt idx="198">
                  <c:v>77.2373540856031</c:v>
                </c:pt>
                <c:pt idx="199">
                  <c:v>77.6264591439688</c:v>
                </c:pt>
                <c:pt idx="200">
                  <c:v>78.0155642023346</c:v>
                </c:pt>
                <c:pt idx="201">
                  <c:v>78.4046692607004</c:v>
                </c:pt>
                <c:pt idx="202">
                  <c:v>78.7937743190661</c:v>
                </c:pt>
                <c:pt idx="203">
                  <c:v>79.1828793774319</c:v>
                </c:pt>
                <c:pt idx="204">
                  <c:v>79.5719844357976</c:v>
                </c:pt>
                <c:pt idx="205">
                  <c:v>79.9610894941634</c:v>
                </c:pt>
                <c:pt idx="206">
                  <c:v>80.3501945525291</c:v>
                </c:pt>
                <c:pt idx="207">
                  <c:v>80.7392996108949</c:v>
                </c:pt>
                <c:pt idx="208">
                  <c:v>81.1284046692607</c:v>
                </c:pt>
                <c:pt idx="209">
                  <c:v>81.5175097276264</c:v>
                </c:pt>
                <c:pt idx="210">
                  <c:v>81.9066147859922</c:v>
                </c:pt>
                <c:pt idx="211">
                  <c:v>82.2957198443579</c:v>
                </c:pt>
                <c:pt idx="212">
                  <c:v>82.6848249027237</c:v>
                </c:pt>
                <c:pt idx="213">
                  <c:v>83.0739299610895</c:v>
                </c:pt>
                <c:pt idx="214">
                  <c:v>83.4630350194552</c:v>
                </c:pt>
                <c:pt idx="215">
                  <c:v>83.852140077821</c:v>
                </c:pt>
                <c:pt idx="216">
                  <c:v>84.2412451361867</c:v>
                </c:pt>
                <c:pt idx="217">
                  <c:v>84.6303501945525</c:v>
                </c:pt>
                <c:pt idx="218">
                  <c:v>85.0194552529182</c:v>
                </c:pt>
                <c:pt idx="219">
                  <c:v>85.408560311284</c:v>
                </c:pt>
                <c:pt idx="220">
                  <c:v>85.7976653696498</c:v>
                </c:pt>
                <c:pt idx="221">
                  <c:v>86.1867704280155</c:v>
                </c:pt>
                <c:pt idx="222">
                  <c:v>86.5758754863813</c:v>
                </c:pt>
                <c:pt idx="223">
                  <c:v>86.964980544747</c:v>
                </c:pt>
                <c:pt idx="224">
                  <c:v>87.3540856031128</c:v>
                </c:pt>
                <c:pt idx="225">
                  <c:v>87.7431906614786</c:v>
                </c:pt>
                <c:pt idx="226">
                  <c:v>88.1322957198443</c:v>
                </c:pt>
                <c:pt idx="227">
                  <c:v>88.5214007782101</c:v>
                </c:pt>
                <c:pt idx="228">
                  <c:v>88.9105058365758</c:v>
                </c:pt>
                <c:pt idx="229">
                  <c:v>89.2996108949416</c:v>
                </c:pt>
                <c:pt idx="230">
                  <c:v>89.6887159533074</c:v>
                </c:pt>
                <c:pt idx="231">
                  <c:v>90.0778210116731</c:v>
                </c:pt>
                <c:pt idx="232">
                  <c:v>90.4669260700389</c:v>
                </c:pt>
                <c:pt idx="233">
                  <c:v>90.8560311284046</c:v>
                </c:pt>
                <c:pt idx="234">
                  <c:v>91.2451361867704</c:v>
                </c:pt>
                <c:pt idx="235">
                  <c:v>91.6342412451362</c:v>
                </c:pt>
                <c:pt idx="236">
                  <c:v>92.0233463035019</c:v>
                </c:pt>
                <c:pt idx="237">
                  <c:v>92.4124513618677</c:v>
                </c:pt>
                <c:pt idx="238">
                  <c:v>92.8015564202334</c:v>
                </c:pt>
                <c:pt idx="239">
                  <c:v>93.1906614785992</c:v>
                </c:pt>
                <c:pt idx="240">
                  <c:v>93.5797665369649</c:v>
                </c:pt>
                <c:pt idx="241">
                  <c:v>93.9688715953307</c:v>
                </c:pt>
                <c:pt idx="242">
                  <c:v>94.3579766536965</c:v>
                </c:pt>
                <c:pt idx="243">
                  <c:v>94.7470817120622</c:v>
                </c:pt>
                <c:pt idx="244">
                  <c:v>95.136186770428</c:v>
                </c:pt>
                <c:pt idx="245">
                  <c:v>95.5252918287937</c:v>
                </c:pt>
                <c:pt idx="246">
                  <c:v>95.9143968871595</c:v>
                </c:pt>
                <c:pt idx="247">
                  <c:v>96.3035019455253</c:v>
                </c:pt>
                <c:pt idx="248">
                  <c:v>96.692607003891</c:v>
                </c:pt>
                <c:pt idx="249">
                  <c:v>97.0817120622568</c:v>
                </c:pt>
                <c:pt idx="250">
                  <c:v>97.4708171206225</c:v>
                </c:pt>
                <c:pt idx="251">
                  <c:v>97.8599221789883</c:v>
                </c:pt>
                <c:pt idx="252">
                  <c:v>98.2490272373541</c:v>
                </c:pt>
              </c:numCache>
            </c:numRef>
          </c:xVal>
          <c:yVal>
            <c:numRef>
              <c:f>'Part 3'!$O$29:$O$281</c:f>
              <c:numCache>
                <c:formatCode>0.00</c:formatCode>
                <c:ptCount val="253"/>
                <c:pt idx="0">
                  <c:v>55.291519</c:v>
                </c:pt>
                <c:pt idx="1">
                  <c:v>56.491634</c:v>
                </c:pt>
                <c:pt idx="2">
                  <c:v>59.367474</c:v>
                </c:pt>
                <c:pt idx="3">
                  <c:v>59.490692</c:v>
                </c:pt>
                <c:pt idx="4">
                  <c:v>59.687832</c:v>
                </c:pt>
                <c:pt idx="5">
                  <c:v>60.321156</c:v>
                </c:pt>
                <c:pt idx="6">
                  <c:v>60.35812</c:v>
                </c:pt>
                <c:pt idx="7">
                  <c:v>60.503517</c:v>
                </c:pt>
                <c:pt idx="8">
                  <c:v>60.786911</c:v>
                </c:pt>
                <c:pt idx="9">
                  <c:v>60.838661</c:v>
                </c:pt>
                <c:pt idx="10">
                  <c:v>61.050594</c:v>
                </c:pt>
                <c:pt idx="11">
                  <c:v>61.171341</c:v>
                </c:pt>
                <c:pt idx="12">
                  <c:v>62.312309</c:v>
                </c:pt>
                <c:pt idx="13">
                  <c:v>62.664707</c:v>
                </c:pt>
                <c:pt idx="14">
                  <c:v>62.79285</c:v>
                </c:pt>
                <c:pt idx="15">
                  <c:v>63.687393</c:v>
                </c:pt>
                <c:pt idx="16">
                  <c:v>63.784916</c:v>
                </c:pt>
                <c:pt idx="17">
                  <c:v>63.931355</c:v>
                </c:pt>
                <c:pt idx="18">
                  <c:v>63.954544</c:v>
                </c:pt>
                <c:pt idx="19">
                  <c:v>64.347893</c:v>
                </c:pt>
                <c:pt idx="20">
                  <c:v>64.357727</c:v>
                </c:pt>
                <c:pt idx="21">
                  <c:v>64.401978</c:v>
                </c:pt>
                <c:pt idx="22">
                  <c:v>64.414268</c:v>
                </c:pt>
                <c:pt idx="23">
                  <c:v>64.460991</c:v>
                </c:pt>
                <c:pt idx="24">
                  <c:v>64.56916</c:v>
                </c:pt>
                <c:pt idx="25">
                  <c:v>64.680504</c:v>
                </c:pt>
                <c:pt idx="26">
                  <c:v>64.704376</c:v>
                </c:pt>
                <c:pt idx="27">
                  <c:v>64.942841</c:v>
                </c:pt>
                <c:pt idx="28">
                  <c:v>64.974815</c:v>
                </c:pt>
                <c:pt idx="29">
                  <c:v>65.019051</c:v>
                </c:pt>
                <c:pt idx="30">
                  <c:v>65.291946</c:v>
                </c:pt>
                <c:pt idx="31">
                  <c:v>65.336212</c:v>
                </c:pt>
                <c:pt idx="32">
                  <c:v>65.466507</c:v>
                </c:pt>
                <c:pt idx="33">
                  <c:v>65.486168</c:v>
                </c:pt>
                <c:pt idx="34">
                  <c:v>65.567657</c:v>
                </c:pt>
                <c:pt idx="35">
                  <c:v>65.592308</c:v>
                </c:pt>
                <c:pt idx="36">
                  <c:v>65.621384</c:v>
                </c:pt>
                <c:pt idx="37">
                  <c:v>65.665634</c:v>
                </c:pt>
                <c:pt idx="38">
                  <c:v>65.702515</c:v>
                </c:pt>
                <c:pt idx="39">
                  <c:v>65.847565</c:v>
                </c:pt>
                <c:pt idx="40">
                  <c:v>66.004898</c:v>
                </c:pt>
                <c:pt idx="41">
                  <c:v>66.040802</c:v>
                </c:pt>
                <c:pt idx="42">
                  <c:v>66.134438</c:v>
                </c:pt>
                <c:pt idx="43">
                  <c:v>66.553131</c:v>
                </c:pt>
                <c:pt idx="44">
                  <c:v>66.567886</c:v>
                </c:pt>
                <c:pt idx="45">
                  <c:v>66.737518</c:v>
                </c:pt>
                <c:pt idx="46">
                  <c:v>67.337029</c:v>
                </c:pt>
                <c:pt idx="47">
                  <c:v>67.364128</c:v>
                </c:pt>
                <c:pt idx="48">
                  <c:v>67.403557</c:v>
                </c:pt>
                <c:pt idx="49">
                  <c:v>67.644707</c:v>
                </c:pt>
                <c:pt idx="50">
                  <c:v>67.775673</c:v>
                </c:pt>
                <c:pt idx="51">
                  <c:v>67.874245</c:v>
                </c:pt>
                <c:pt idx="52">
                  <c:v>68.039352</c:v>
                </c:pt>
                <c:pt idx="53">
                  <c:v>68.243881</c:v>
                </c:pt>
                <c:pt idx="54">
                  <c:v>68.500175</c:v>
                </c:pt>
                <c:pt idx="55">
                  <c:v>68.65049</c:v>
                </c:pt>
                <c:pt idx="56">
                  <c:v>68.699387</c:v>
                </c:pt>
                <c:pt idx="57">
                  <c:v>68.773132</c:v>
                </c:pt>
                <c:pt idx="58">
                  <c:v>68.802635</c:v>
                </c:pt>
                <c:pt idx="59">
                  <c:v>68.841965</c:v>
                </c:pt>
                <c:pt idx="60">
                  <c:v>68.937851</c:v>
                </c:pt>
                <c:pt idx="61">
                  <c:v>69.690422</c:v>
                </c:pt>
                <c:pt idx="62">
                  <c:v>69.732323</c:v>
                </c:pt>
                <c:pt idx="63">
                  <c:v>69.781609</c:v>
                </c:pt>
                <c:pt idx="64">
                  <c:v>69.820442</c:v>
                </c:pt>
                <c:pt idx="65">
                  <c:v>69.886818</c:v>
                </c:pt>
                <c:pt idx="66">
                  <c:v>70.09211</c:v>
                </c:pt>
                <c:pt idx="67">
                  <c:v>70.316368</c:v>
                </c:pt>
                <c:pt idx="68">
                  <c:v>70.64904</c:v>
                </c:pt>
                <c:pt idx="69">
                  <c:v>70.737755</c:v>
                </c:pt>
                <c:pt idx="70">
                  <c:v>70.905334</c:v>
                </c:pt>
                <c:pt idx="71">
                  <c:v>70.991577</c:v>
                </c:pt>
                <c:pt idx="72">
                  <c:v>71.225685</c:v>
                </c:pt>
                <c:pt idx="73">
                  <c:v>71.235542</c:v>
                </c:pt>
                <c:pt idx="74">
                  <c:v>71.246353</c:v>
                </c:pt>
                <c:pt idx="75">
                  <c:v>71.273392</c:v>
                </c:pt>
                <c:pt idx="76">
                  <c:v>71.297157</c:v>
                </c:pt>
                <c:pt idx="77">
                  <c:v>71.669212</c:v>
                </c:pt>
                <c:pt idx="78">
                  <c:v>72.117767</c:v>
                </c:pt>
                <c:pt idx="79">
                  <c:v>72.184303</c:v>
                </c:pt>
                <c:pt idx="80">
                  <c:v>72.192863</c:v>
                </c:pt>
                <c:pt idx="81">
                  <c:v>72.243446</c:v>
                </c:pt>
                <c:pt idx="82">
                  <c:v>72.401154</c:v>
                </c:pt>
                <c:pt idx="83">
                  <c:v>73.122154</c:v>
                </c:pt>
                <c:pt idx="84">
                  <c:v>73.327736</c:v>
                </c:pt>
                <c:pt idx="85">
                  <c:v>73.358185</c:v>
                </c:pt>
                <c:pt idx="86">
                  <c:v>73.480522</c:v>
                </c:pt>
                <c:pt idx="87">
                  <c:v>73.635773</c:v>
                </c:pt>
                <c:pt idx="88">
                  <c:v>73.704819</c:v>
                </c:pt>
                <c:pt idx="89">
                  <c:v>73.840042</c:v>
                </c:pt>
                <c:pt idx="90">
                  <c:v>74.084282</c:v>
                </c:pt>
                <c:pt idx="91">
                  <c:v>74.538239</c:v>
                </c:pt>
                <c:pt idx="92">
                  <c:v>74.60424</c:v>
                </c:pt>
                <c:pt idx="93">
                  <c:v>74.85067</c:v>
                </c:pt>
                <c:pt idx="94">
                  <c:v>75.883018</c:v>
                </c:pt>
                <c:pt idx="95">
                  <c:v>75.954315</c:v>
                </c:pt>
                <c:pt idx="96">
                  <c:v>76.091995</c:v>
                </c:pt>
                <c:pt idx="97">
                  <c:v>76.121498</c:v>
                </c:pt>
                <c:pt idx="98">
                  <c:v>76.293579</c:v>
                </c:pt>
                <c:pt idx="99">
                  <c:v>76.541885</c:v>
                </c:pt>
                <c:pt idx="100">
                  <c:v>76.641853</c:v>
                </c:pt>
                <c:pt idx="101">
                  <c:v>76.656792</c:v>
                </c:pt>
                <c:pt idx="102">
                  <c:v>76.871323</c:v>
                </c:pt>
                <c:pt idx="103">
                  <c:v>77.112686</c:v>
                </c:pt>
                <c:pt idx="104">
                  <c:v>77.144943</c:v>
                </c:pt>
                <c:pt idx="105">
                  <c:v>77.259674</c:v>
                </c:pt>
                <c:pt idx="106">
                  <c:v>77.500694</c:v>
                </c:pt>
                <c:pt idx="107">
                  <c:v>77.578537</c:v>
                </c:pt>
                <c:pt idx="108">
                  <c:v>77.827667</c:v>
                </c:pt>
                <c:pt idx="109">
                  <c:v>77.923538</c:v>
                </c:pt>
                <c:pt idx="110">
                  <c:v>78.009521</c:v>
                </c:pt>
                <c:pt idx="111">
                  <c:v>78.103012</c:v>
                </c:pt>
                <c:pt idx="112">
                  <c:v>78.105476</c:v>
                </c:pt>
                <c:pt idx="113">
                  <c:v>78.25544</c:v>
                </c:pt>
                <c:pt idx="114">
                  <c:v>78.358696</c:v>
                </c:pt>
                <c:pt idx="115">
                  <c:v>78.388199</c:v>
                </c:pt>
                <c:pt idx="116">
                  <c:v>78.462914</c:v>
                </c:pt>
                <c:pt idx="117">
                  <c:v>78.475372</c:v>
                </c:pt>
                <c:pt idx="118">
                  <c:v>78.481621</c:v>
                </c:pt>
                <c:pt idx="119">
                  <c:v>78.611198</c:v>
                </c:pt>
                <c:pt idx="120">
                  <c:v>78.76152</c:v>
                </c:pt>
                <c:pt idx="121">
                  <c:v>78.865021</c:v>
                </c:pt>
                <c:pt idx="122">
                  <c:v>78.903862</c:v>
                </c:pt>
                <c:pt idx="123">
                  <c:v>78.931564</c:v>
                </c:pt>
                <c:pt idx="124">
                  <c:v>78.933754</c:v>
                </c:pt>
                <c:pt idx="125">
                  <c:v>79.027405</c:v>
                </c:pt>
                <c:pt idx="126">
                  <c:v>79.205299</c:v>
                </c:pt>
                <c:pt idx="127">
                  <c:v>79.239594</c:v>
                </c:pt>
                <c:pt idx="128">
                  <c:v>79.247643</c:v>
                </c:pt>
                <c:pt idx="129">
                  <c:v>79.282524</c:v>
                </c:pt>
                <c:pt idx="130">
                  <c:v>79.441963</c:v>
                </c:pt>
                <c:pt idx="131">
                  <c:v>79.526665</c:v>
                </c:pt>
                <c:pt idx="132">
                  <c:v>79.622337</c:v>
                </c:pt>
                <c:pt idx="133">
                  <c:v>79.7379</c:v>
                </c:pt>
                <c:pt idx="134">
                  <c:v>79.749702</c:v>
                </c:pt>
                <c:pt idx="135">
                  <c:v>79.951775</c:v>
                </c:pt>
                <c:pt idx="136">
                  <c:v>80.057739</c:v>
                </c:pt>
                <c:pt idx="137">
                  <c:v>80.077461</c:v>
                </c:pt>
                <c:pt idx="138">
                  <c:v>80.179359</c:v>
                </c:pt>
                <c:pt idx="139">
                  <c:v>80.296448</c:v>
                </c:pt>
                <c:pt idx="140">
                  <c:v>80.550545</c:v>
                </c:pt>
                <c:pt idx="141">
                  <c:v>80.631927</c:v>
                </c:pt>
                <c:pt idx="142">
                  <c:v>80.99398</c:v>
                </c:pt>
                <c:pt idx="143">
                  <c:v>82.583374</c:v>
                </c:pt>
                <c:pt idx="144">
                  <c:v>83.07164</c:v>
                </c:pt>
                <c:pt idx="145">
                  <c:v>83.679497</c:v>
                </c:pt>
                <c:pt idx="146">
                  <c:v>84.401947</c:v>
                </c:pt>
                <c:pt idx="147">
                  <c:v>85.445755</c:v>
                </c:pt>
                <c:pt idx="148">
                  <c:v>85.694878</c:v>
                </c:pt>
                <c:pt idx="149">
                  <c:v>87.122337</c:v>
                </c:pt>
                <c:pt idx="150">
                  <c:v>87.588196</c:v>
                </c:pt>
                <c:pt idx="151">
                  <c:v>87.623077</c:v>
                </c:pt>
                <c:pt idx="152">
                  <c:v>87.710258</c:v>
                </c:pt>
                <c:pt idx="153">
                  <c:v>87.89959</c:v>
                </c:pt>
                <c:pt idx="154">
                  <c:v>88.096405</c:v>
                </c:pt>
                <c:pt idx="155">
                  <c:v>89.401787</c:v>
                </c:pt>
                <c:pt idx="156">
                  <c:v>89.698242</c:v>
                </c:pt>
                <c:pt idx="157">
                  <c:v>90.126732</c:v>
                </c:pt>
                <c:pt idx="158">
                  <c:v>90.707176</c:v>
                </c:pt>
                <c:pt idx="159">
                  <c:v>90.707176</c:v>
                </c:pt>
                <c:pt idx="160">
                  <c:v>90.879066</c:v>
                </c:pt>
                <c:pt idx="161">
                  <c:v>90.889038</c:v>
                </c:pt>
                <c:pt idx="162">
                  <c:v>91.310051</c:v>
                </c:pt>
                <c:pt idx="163">
                  <c:v>92.289093</c:v>
                </c:pt>
                <c:pt idx="164">
                  <c:v>92.518288</c:v>
                </c:pt>
                <c:pt idx="165">
                  <c:v>92.844635</c:v>
                </c:pt>
                <c:pt idx="166">
                  <c:v>92.924355</c:v>
                </c:pt>
                <c:pt idx="167">
                  <c:v>93.133614</c:v>
                </c:pt>
                <c:pt idx="168">
                  <c:v>94.476364</c:v>
                </c:pt>
                <c:pt idx="169">
                  <c:v>94.705559</c:v>
                </c:pt>
                <c:pt idx="170">
                  <c:v>95.006996</c:v>
                </c:pt>
                <c:pt idx="171">
                  <c:v>95.141525</c:v>
                </c:pt>
                <c:pt idx="172">
                  <c:v>95.415558</c:v>
                </c:pt>
                <c:pt idx="173">
                  <c:v>95.582466</c:v>
                </c:pt>
                <c:pt idx="174">
                  <c:v>95.851517</c:v>
                </c:pt>
                <c:pt idx="175">
                  <c:v>95.988533</c:v>
                </c:pt>
                <c:pt idx="176">
                  <c:v>96.182846</c:v>
                </c:pt>
                <c:pt idx="177">
                  <c:v>96.658661</c:v>
                </c:pt>
                <c:pt idx="178">
                  <c:v>96.715965</c:v>
                </c:pt>
                <c:pt idx="179">
                  <c:v>96.930199</c:v>
                </c:pt>
                <c:pt idx="180">
                  <c:v>97.381111</c:v>
                </c:pt>
                <c:pt idx="181">
                  <c:v>98.011391</c:v>
                </c:pt>
                <c:pt idx="182">
                  <c:v>105.886086</c:v>
                </c:pt>
                <c:pt idx="183">
                  <c:v>106.655991</c:v>
                </c:pt>
                <c:pt idx="184">
                  <c:v>106.935509</c:v>
                </c:pt>
                <c:pt idx="185">
                  <c:v>108.033615</c:v>
                </c:pt>
                <c:pt idx="186">
                  <c:v>108.554153</c:v>
                </c:pt>
                <c:pt idx="187">
                  <c:v>108.582664</c:v>
                </c:pt>
                <c:pt idx="188">
                  <c:v>108.672516</c:v>
                </c:pt>
                <c:pt idx="189">
                  <c:v>109.186623</c:v>
                </c:pt>
                <c:pt idx="190">
                  <c:v>109.279099</c:v>
                </c:pt>
                <c:pt idx="191">
                  <c:v>109.675194</c:v>
                </c:pt>
                <c:pt idx="192">
                  <c:v>109.890411</c:v>
                </c:pt>
                <c:pt idx="193">
                  <c:v>110.149963</c:v>
                </c:pt>
                <c:pt idx="194">
                  <c:v>110.249794</c:v>
                </c:pt>
                <c:pt idx="195">
                  <c:v>110.921135</c:v>
                </c:pt>
                <c:pt idx="196">
                  <c:v>111.008476</c:v>
                </c:pt>
                <c:pt idx="197">
                  <c:v>111.617432</c:v>
                </c:pt>
                <c:pt idx="198">
                  <c:v>111.807106</c:v>
                </c:pt>
                <c:pt idx="199">
                  <c:v>111.936882</c:v>
                </c:pt>
                <c:pt idx="200">
                  <c:v>112.086624</c:v>
                </c:pt>
                <c:pt idx="201">
                  <c:v>112.533356</c:v>
                </c:pt>
                <c:pt idx="202">
                  <c:v>112.625694</c:v>
                </c:pt>
                <c:pt idx="203">
                  <c:v>112.815369</c:v>
                </c:pt>
                <c:pt idx="204">
                  <c:v>112.825348</c:v>
                </c:pt>
                <c:pt idx="205">
                  <c:v>112.965111</c:v>
                </c:pt>
                <c:pt idx="206">
                  <c:v>113.29454</c:v>
                </c:pt>
                <c:pt idx="207">
                  <c:v>113.501678</c:v>
                </c:pt>
                <c:pt idx="208">
                  <c:v>113.893501</c:v>
                </c:pt>
                <c:pt idx="209">
                  <c:v>114.41011</c:v>
                </c:pt>
                <c:pt idx="210">
                  <c:v>114.709602</c:v>
                </c:pt>
                <c:pt idx="211">
                  <c:v>114.752022</c:v>
                </c:pt>
                <c:pt idx="212">
                  <c:v>114.762009</c:v>
                </c:pt>
                <c:pt idx="213">
                  <c:v>114.771988</c:v>
                </c:pt>
                <c:pt idx="214">
                  <c:v>114.81192</c:v>
                </c:pt>
                <c:pt idx="215">
                  <c:v>114.841873</c:v>
                </c:pt>
                <c:pt idx="216">
                  <c:v>114.851852</c:v>
                </c:pt>
                <c:pt idx="217">
                  <c:v>114.881805</c:v>
                </c:pt>
                <c:pt idx="218">
                  <c:v>115.121384</c:v>
                </c:pt>
                <c:pt idx="219">
                  <c:v>115.161316</c:v>
                </c:pt>
                <c:pt idx="220">
                  <c:v>115.341011</c:v>
                </c:pt>
                <c:pt idx="221">
                  <c:v>115.363472</c:v>
                </c:pt>
                <c:pt idx="222">
                  <c:v>115.508217</c:v>
                </c:pt>
                <c:pt idx="223">
                  <c:v>115.550644</c:v>
                </c:pt>
                <c:pt idx="224">
                  <c:v>115.610542</c:v>
                </c:pt>
                <c:pt idx="225">
                  <c:v>115.780251</c:v>
                </c:pt>
                <c:pt idx="226" c:formatCode="General">
                  <c:v>115.97</c:v>
                </c:pt>
                <c:pt idx="227" c:formatCode="General">
                  <c:v>116.299355</c:v>
                </c:pt>
                <c:pt idx="228" c:formatCode="General">
                  <c:v>116.32</c:v>
                </c:pt>
                <c:pt idx="229" c:formatCode="General">
                  <c:v>116.399178</c:v>
                </c:pt>
                <c:pt idx="230" c:formatCode="General">
                  <c:v>116.58886</c:v>
                </c:pt>
                <c:pt idx="231" c:formatCode="General">
                  <c:v>116.668724</c:v>
                </c:pt>
                <c:pt idx="232" c:formatCode="General">
                  <c:v>116.768547</c:v>
                </c:pt>
                <c:pt idx="233" c:formatCode="General">
                  <c:v>117.117943</c:v>
                </c:pt>
                <c:pt idx="234" c:formatCode="General">
                  <c:v>117.307617</c:v>
                </c:pt>
                <c:pt idx="235" c:formatCode="General">
                  <c:v>118.071297</c:v>
                </c:pt>
                <c:pt idx="236" c:formatCode="General">
                  <c:v>118.690002</c:v>
                </c:pt>
                <c:pt idx="237" c:formatCode="General">
                  <c:v>118.81501</c:v>
                </c:pt>
                <c:pt idx="238" c:formatCode="General">
                  <c:v>118.824997</c:v>
                </c:pt>
                <c:pt idx="239" c:formatCode="General">
                  <c:v>119.21</c:v>
                </c:pt>
                <c:pt idx="240" c:formatCode="General">
                  <c:v>119.26</c:v>
                </c:pt>
                <c:pt idx="241" c:formatCode="General">
                  <c:v>119.49</c:v>
                </c:pt>
                <c:pt idx="242" c:formatCode="General">
                  <c:v>120.502106</c:v>
                </c:pt>
                <c:pt idx="243" c:formatCode="General">
                  <c:v>120.671806</c:v>
                </c:pt>
                <c:pt idx="244" c:formatCode="General">
                  <c:v>120.751671</c:v>
                </c:pt>
                <c:pt idx="245" c:formatCode="General">
                  <c:v>120.891434</c:v>
                </c:pt>
                <c:pt idx="246" c:formatCode="General">
                  <c:v>120.981277</c:v>
                </c:pt>
                <c:pt idx="247" c:formatCode="General">
                  <c:v>124.1558</c:v>
                </c:pt>
                <c:pt idx="248" c:formatCode="General">
                  <c:v>124.185753</c:v>
                </c:pt>
                <c:pt idx="249" c:formatCode="General">
                  <c:v>124.592552</c:v>
                </c:pt>
                <c:pt idx="250" c:formatCode="General">
                  <c:v>124.610016</c:v>
                </c:pt>
                <c:pt idx="251" c:formatCode="General">
                  <c:v>124.794701</c:v>
                </c:pt>
                <c:pt idx="252" c:formatCode="General">
                  <c:v>125.640739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628072"/>
        <c:axId val="738628552"/>
      </c:scatterChart>
      <c:valAx>
        <c:axId val="738628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Percentile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8628552"/>
        <c:crosses val="autoZero"/>
        <c:crossBetween val="midCat"/>
      </c:valAx>
      <c:valAx>
        <c:axId val="73862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8628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Period Residual Plot of HON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Sheet6!$A$1:$A$252</c:f>
              <c:numCache>
                <c:formatCode>General</c:formatCode>
                <c:ptCount val="2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</c:numCache>
            </c:numRef>
          </c:xVal>
          <c:yVal>
            <c:numRef>
              <c:f>Sheet6!$B$1:$B$252</c:f>
              <c:numCache>
                <c:formatCode>General</c:formatCode>
                <c:ptCount val="252"/>
                <c:pt idx="0">
                  <c:v>15.4110687531843</c:v>
                </c:pt>
                <c:pt idx="1">
                  <c:v>15.0712270104788</c:v>
                </c:pt>
                <c:pt idx="2">
                  <c:v>16.2553872677734</c:v>
                </c:pt>
                <c:pt idx="3">
                  <c:v>16.2281825250679</c:v>
                </c:pt>
                <c:pt idx="4">
                  <c:v>14.8850607823625</c:v>
                </c:pt>
                <c:pt idx="5">
                  <c:v>16.978202039657</c:v>
                </c:pt>
                <c:pt idx="6">
                  <c:v>15.0951012969516</c:v>
                </c:pt>
                <c:pt idx="7">
                  <c:v>15.4406695542461</c:v>
                </c:pt>
                <c:pt idx="8">
                  <c:v>12.6248908115407</c:v>
                </c:pt>
                <c:pt idx="9">
                  <c:v>11.9788350688353</c:v>
                </c:pt>
                <c:pt idx="10">
                  <c:v>12.2654893261298</c:v>
                </c:pt>
                <c:pt idx="11">
                  <c:v>12.0219755834243</c:v>
                </c:pt>
                <c:pt idx="12">
                  <c:v>14.0267538407189</c:v>
                </c:pt>
                <c:pt idx="13">
                  <c:v>14.9417490980135</c:v>
                </c:pt>
                <c:pt idx="14">
                  <c:v>14.118997355308</c:v>
                </c:pt>
                <c:pt idx="15">
                  <c:v>9.99744761260257</c:v>
                </c:pt>
                <c:pt idx="16">
                  <c:v>8.29105886989714</c:v>
                </c:pt>
                <c:pt idx="17">
                  <c:v>8.9704281271917</c:v>
                </c:pt>
                <c:pt idx="18">
                  <c:v>9.78723238448623</c:v>
                </c:pt>
                <c:pt idx="19">
                  <c:v>11.2422366417808</c:v>
                </c:pt>
                <c:pt idx="20">
                  <c:v>10.3212788990754</c:v>
                </c:pt>
                <c:pt idx="21">
                  <c:v>9.91085015636989</c:v>
                </c:pt>
                <c:pt idx="22">
                  <c:v>11.8763514136645</c:v>
                </c:pt>
                <c:pt idx="23">
                  <c:v>13.262629670959</c:v>
                </c:pt>
                <c:pt idx="24">
                  <c:v>12.8914769282536</c:v>
                </c:pt>
                <c:pt idx="25">
                  <c:v>12.3534231855481</c:v>
                </c:pt>
                <c:pt idx="26">
                  <c:v>12.6793534428427</c:v>
                </c:pt>
                <c:pt idx="27">
                  <c:v>10.6882667001372</c:v>
                </c:pt>
                <c:pt idx="28">
                  <c:v>12.5457819574318</c:v>
                </c:pt>
                <c:pt idx="29">
                  <c:v>12.4888072147263</c:v>
                </c:pt>
                <c:pt idx="30">
                  <c:v>12.5398344720209</c:v>
                </c:pt>
                <c:pt idx="31">
                  <c:v>12.4534107293154</c:v>
                </c:pt>
                <c:pt idx="32">
                  <c:v>13.04441598661</c:v>
                </c:pt>
                <c:pt idx="33">
                  <c:v>12.6831052439046</c:v>
                </c:pt>
                <c:pt idx="34">
                  <c:v>12.6555495011991</c:v>
                </c:pt>
                <c:pt idx="35">
                  <c:v>13.2563817584937</c:v>
                </c:pt>
                <c:pt idx="36">
                  <c:v>17.0087490157882</c:v>
                </c:pt>
                <c:pt idx="37">
                  <c:v>15.1453012730828</c:v>
                </c:pt>
                <c:pt idx="38">
                  <c:v>13.8512815303773</c:v>
                </c:pt>
                <c:pt idx="39">
                  <c:v>13.9808457876719</c:v>
                </c:pt>
                <c:pt idx="40">
                  <c:v>14.1594980449665</c:v>
                </c:pt>
                <c:pt idx="41">
                  <c:v>15.477035302261</c:v>
                </c:pt>
                <c:pt idx="42">
                  <c:v>15.1255055595556</c:v>
                </c:pt>
                <c:pt idx="43">
                  <c:v>17.6997258168501</c:v>
                </c:pt>
                <c:pt idx="44">
                  <c:v>16.9260460741447</c:v>
                </c:pt>
                <c:pt idx="45">
                  <c:v>17.2323383314392</c:v>
                </c:pt>
                <c:pt idx="46">
                  <c:v>18.7658635887338</c:v>
                </c:pt>
                <c:pt idx="47">
                  <c:v>19.7495838460283</c:v>
                </c:pt>
                <c:pt idx="48">
                  <c:v>17.5228711033229</c:v>
                </c:pt>
                <c:pt idx="49">
                  <c:v>16.6902923606174</c:v>
                </c:pt>
                <c:pt idx="50">
                  <c:v>16.260255617912</c:v>
                </c:pt>
                <c:pt idx="51">
                  <c:v>13.8862648752066</c:v>
                </c:pt>
                <c:pt idx="52">
                  <c:v>10.3930261325011</c:v>
                </c:pt>
                <c:pt idx="53">
                  <c:v>12.3094713897957</c:v>
                </c:pt>
                <c:pt idx="54">
                  <c:v>12.5470216470902</c:v>
                </c:pt>
                <c:pt idx="55">
                  <c:v>15.1997649043848</c:v>
                </c:pt>
                <c:pt idx="56">
                  <c:v>10.2044201616793</c:v>
                </c:pt>
                <c:pt idx="57">
                  <c:v>8.37043741897389</c:v>
                </c:pt>
                <c:pt idx="58">
                  <c:v>12.2209646762684</c:v>
                </c:pt>
                <c:pt idx="59">
                  <c:v>13.911548933563</c:v>
                </c:pt>
                <c:pt idx="60">
                  <c:v>13.4029751908575</c:v>
                </c:pt>
                <c:pt idx="61">
                  <c:v>12.3838274481521</c:v>
                </c:pt>
                <c:pt idx="62">
                  <c:v>14.0548197054466</c:v>
                </c:pt>
                <c:pt idx="63">
                  <c:v>16.2461359627412</c:v>
                </c:pt>
                <c:pt idx="64">
                  <c:v>18.2705372200358</c:v>
                </c:pt>
                <c:pt idx="65">
                  <c:v>17.2612464773303</c:v>
                </c:pt>
                <c:pt idx="66">
                  <c:v>17.9700797346249</c:v>
                </c:pt>
                <c:pt idx="67">
                  <c:v>16.6367689919194</c:v>
                </c:pt>
                <c:pt idx="68">
                  <c:v>18.081930249214</c:v>
                </c:pt>
                <c:pt idx="69">
                  <c:v>17.9562455065085</c:v>
                </c:pt>
                <c:pt idx="70">
                  <c:v>17.1825657638031</c:v>
                </c:pt>
                <c:pt idx="71">
                  <c:v>12.6879240210977</c:v>
                </c:pt>
                <c:pt idx="72">
                  <c:v>5.38537427839219</c:v>
                </c:pt>
                <c:pt idx="73">
                  <c:v>4.80802953568676</c:v>
                </c:pt>
                <c:pt idx="74">
                  <c:v>-1.80373920701868</c:v>
                </c:pt>
                <c:pt idx="75">
                  <c:v>0.813847050275854</c:v>
                </c:pt>
                <c:pt idx="76">
                  <c:v>2.88855630757041</c:v>
                </c:pt>
                <c:pt idx="77">
                  <c:v>0.600243564864996</c:v>
                </c:pt>
                <c:pt idx="78">
                  <c:v>9.81167082215956</c:v>
                </c:pt>
                <c:pt idx="79">
                  <c:v>3.65392707945409</c:v>
                </c:pt>
                <c:pt idx="80">
                  <c:v>2.80680733674865</c:v>
                </c:pt>
                <c:pt idx="81">
                  <c:v>-8.1877124059568</c:v>
                </c:pt>
                <c:pt idx="82">
                  <c:v>0.559770851337731</c:v>
                </c:pt>
                <c:pt idx="83">
                  <c:v>-7.60177189136769</c:v>
                </c:pt>
                <c:pt idx="84">
                  <c:v>-25.8712096340731</c:v>
                </c:pt>
                <c:pt idx="85">
                  <c:v>-11.4676433767786</c:v>
                </c:pt>
                <c:pt idx="86">
                  <c:v>-25.393849119484</c:v>
                </c:pt>
                <c:pt idx="87">
                  <c:v>-28.7876918621895</c:v>
                </c:pt>
                <c:pt idx="88">
                  <c:v>-40.7890486048949</c:v>
                </c:pt>
                <c:pt idx="89">
                  <c:v>-41.3992753476004</c:v>
                </c:pt>
                <c:pt idx="90">
                  <c:v>-47.7445500903058</c:v>
                </c:pt>
                <c:pt idx="91">
                  <c:v>-56.2417098330112</c:v>
                </c:pt>
                <c:pt idx="92">
                  <c:v>-40.7622075757167</c:v>
                </c:pt>
                <c:pt idx="93">
                  <c:v>-30.7216253184221</c:v>
                </c:pt>
                <c:pt idx="94">
                  <c:v>-23.0402270611276</c:v>
                </c:pt>
                <c:pt idx="95">
                  <c:v>-29.059725803833</c:v>
                </c:pt>
                <c:pt idx="96">
                  <c:v>-28.5545505465385</c:v>
                </c:pt>
                <c:pt idx="97">
                  <c:v>-26.5094742892439</c:v>
                </c:pt>
                <c:pt idx="98">
                  <c:v>-30.5054440319494</c:v>
                </c:pt>
                <c:pt idx="99">
                  <c:v>-27.4140577746548</c:v>
                </c:pt>
                <c:pt idx="100">
                  <c:v>-32.6735165173603</c:v>
                </c:pt>
                <c:pt idx="101">
                  <c:v>-26.1766272600657</c:v>
                </c:pt>
                <c:pt idx="102">
                  <c:v>-24.9212390027712</c:v>
                </c:pt>
                <c:pt idx="103">
                  <c:v>-20.9315667454766</c:v>
                </c:pt>
                <c:pt idx="104">
                  <c:v>-16.774109488182</c:v>
                </c:pt>
                <c:pt idx="105">
                  <c:v>-22.1618942308875</c:v>
                </c:pt>
                <c:pt idx="106">
                  <c:v>-19.5147059735929</c:v>
                </c:pt>
                <c:pt idx="107">
                  <c:v>-25.1591287162984</c:v>
                </c:pt>
                <c:pt idx="108">
                  <c:v>-27.6053544590038</c:v>
                </c:pt>
                <c:pt idx="109">
                  <c:v>-21.6612302017093</c:v>
                </c:pt>
                <c:pt idx="110">
                  <c:v>-24.2160539444147</c:v>
                </c:pt>
                <c:pt idx="111">
                  <c:v>-27.8369316871201</c:v>
                </c:pt>
                <c:pt idx="112">
                  <c:v>-26.7888344298256</c:v>
                </c:pt>
                <c:pt idx="113">
                  <c:v>-25.1287371725311</c:v>
                </c:pt>
                <c:pt idx="114">
                  <c:v>-24.2681699152365</c:v>
                </c:pt>
                <c:pt idx="115">
                  <c:v>-19.9330236579419</c:v>
                </c:pt>
                <c:pt idx="116">
                  <c:v>-17.0588004006474</c:v>
                </c:pt>
                <c:pt idx="117">
                  <c:v>-13.6712551433528</c:v>
                </c:pt>
                <c:pt idx="118">
                  <c:v>-17.8449288860583</c:v>
                </c:pt>
                <c:pt idx="119">
                  <c:v>-22.4035516287637</c:v>
                </c:pt>
                <c:pt idx="120">
                  <c:v>-24.3957063714692</c:v>
                </c:pt>
                <c:pt idx="121">
                  <c:v>-24.6900621141746</c:v>
                </c:pt>
                <c:pt idx="122">
                  <c:v>-26.4650688568801</c:v>
                </c:pt>
                <c:pt idx="123">
                  <c:v>-26.6804605995855</c:v>
                </c:pt>
                <c:pt idx="124">
                  <c:v>-22.5822073422909</c:v>
                </c:pt>
                <c:pt idx="125">
                  <c:v>-25.1468870849964</c:v>
                </c:pt>
                <c:pt idx="126">
                  <c:v>-31.7192118277018</c:v>
                </c:pt>
                <c:pt idx="127">
                  <c:v>-36.2482165704073</c:v>
                </c:pt>
                <c:pt idx="128">
                  <c:v>-31.2648243131127</c:v>
                </c:pt>
                <c:pt idx="129">
                  <c:v>-32.8642100558182</c:v>
                </c:pt>
                <c:pt idx="130">
                  <c:v>-22.2625997985236</c:v>
                </c:pt>
                <c:pt idx="131">
                  <c:v>-26.298212541229</c:v>
                </c:pt>
                <c:pt idx="132">
                  <c:v>-22.2097552839345</c:v>
                </c:pt>
                <c:pt idx="133">
                  <c:v>-20.52770002664</c:v>
                </c:pt>
                <c:pt idx="134">
                  <c:v>-19.0146977693454</c:v>
                </c:pt>
                <c:pt idx="135">
                  <c:v>-13.2556935120508</c:v>
                </c:pt>
                <c:pt idx="136">
                  <c:v>-9.59483325475628</c:v>
                </c:pt>
                <c:pt idx="137">
                  <c:v>-10.5876449974617</c:v>
                </c:pt>
                <c:pt idx="138">
                  <c:v>-12.2566337401672</c:v>
                </c:pt>
                <c:pt idx="139">
                  <c:v>-11.8971044828726</c:v>
                </c:pt>
                <c:pt idx="140">
                  <c:v>-9.70790822557808</c:v>
                </c:pt>
                <c:pt idx="141">
                  <c:v>-4.70462596828349</c:v>
                </c:pt>
                <c:pt idx="142">
                  <c:v>-2.12764371098893</c:v>
                </c:pt>
                <c:pt idx="143">
                  <c:v>3.33303654630561</c:v>
                </c:pt>
                <c:pt idx="144">
                  <c:v>4.90571580360015</c:v>
                </c:pt>
                <c:pt idx="145">
                  <c:v>0.144213060894714</c:v>
                </c:pt>
                <c:pt idx="146">
                  <c:v>-3.78202468181075</c:v>
                </c:pt>
                <c:pt idx="147">
                  <c:v>-14.3705844245162</c:v>
                </c:pt>
                <c:pt idx="148">
                  <c:v>-13.2752151672216</c:v>
                </c:pt>
                <c:pt idx="149">
                  <c:v>-11.1357319099271</c:v>
                </c:pt>
                <c:pt idx="150">
                  <c:v>-8.63829365263251</c:v>
                </c:pt>
                <c:pt idx="151">
                  <c:v>-9.37257539533795</c:v>
                </c:pt>
                <c:pt idx="152">
                  <c:v>-9.4505761380434</c:v>
                </c:pt>
                <c:pt idx="153">
                  <c:v>-12.2631048807489</c:v>
                </c:pt>
                <c:pt idx="154">
                  <c:v>-12.6592976234543</c:v>
                </c:pt>
                <c:pt idx="155">
                  <c:v>-12.7074523661597</c:v>
                </c:pt>
                <c:pt idx="156">
                  <c:v>-19.1494521088652</c:v>
                </c:pt>
                <c:pt idx="157">
                  <c:v>-15.0311788515706</c:v>
                </c:pt>
                <c:pt idx="158">
                  <c:v>-19.2258945942761</c:v>
                </c:pt>
                <c:pt idx="159">
                  <c:v>-14.1927813369815</c:v>
                </c:pt>
                <c:pt idx="160">
                  <c:v>-12.819000079687</c:v>
                </c:pt>
                <c:pt idx="161">
                  <c:v>-13.2649058223924</c:v>
                </c:pt>
                <c:pt idx="162">
                  <c:v>-12.3286245650978</c:v>
                </c:pt>
                <c:pt idx="163">
                  <c:v>-10.1096133078033</c:v>
                </c:pt>
                <c:pt idx="164">
                  <c:v>-12.3155740505088</c:v>
                </c:pt>
                <c:pt idx="165">
                  <c:v>-11.6676687932142</c:v>
                </c:pt>
                <c:pt idx="166">
                  <c:v>-15.8325535359197</c:v>
                </c:pt>
                <c:pt idx="167">
                  <c:v>-14.7272352786251</c:v>
                </c:pt>
                <c:pt idx="168">
                  <c:v>-13.6616810213305</c:v>
                </c:pt>
                <c:pt idx="169">
                  <c:v>-9.04621676403596</c:v>
                </c:pt>
                <c:pt idx="170">
                  <c:v>-5.20637050674142</c:v>
                </c:pt>
                <c:pt idx="171">
                  <c:v>-4.03144224944685</c:v>
                </c:pt>
                <c:pt idx="172">
                  <c:v>-2.09084199215229</c:v>
                </c:pt>
                <c:pt idx="173">
                  <c:v>-3.66040573485776</c:v>
                </c:pt>
                <c:pt idx="174">
                  <c:v>-2.2667264775632</c:v>
                </c:pt>
                <c:pt idx="175">
                  <c:v>-2.38449222026864</c:v>
                </c:pt>
                <c:pt idx="176">
                  <c:v>-3.22816396297409</c:v>
                </c:pt>
                <c:pt idx="177">
                  <c:v>-7.47259270567955</c:v>
                </c:pt>
                <c:pt idx="178">
                  <c:v>-6.11867844838497</c:v>
                </c:pt>
                <c:pt idx="179">
                  <c:v>-4.84432319109041</c:v>
                </c:pt>
                <c:pt idx="180">
                  <c:v>-2.25737693379588</c:v>
                </c:pt>
                <c:pt idx="181">
                  <c:v>-7.61551367650131</c:v>
                </c:pt>
                <c:pt idx="182">
                  <c:v>-7.37530841920676</c:v>
                </c:pt>
                <c:pt idx="183">
                  <c:v>-8.17918516191222</c:v>
                </c:pt>
                <c:pt idx="184">
                  <c:v>-9.34104790461765</c:v>
                </c:pt>
                <c:pt idx="185">
                  <c:v>-5.83927664732309</c:v>
                </c:pt>
                <c:pt idx="186">
                  <c:v>-4.05779539002856</c:v>
                </c:pt>
                <c:pt idx="187">
                  <c:v>-1.51062813273398</c:v>
                </c:pt>
                <c:pt idx="188">
                  <c:v>2.81646112456056</c:v>
                </c:pt>
                <c:pt idx="189">
                  <c:v>3.69308038185514</c:v>
                </c:pt>
                <c:pt idx="190">
                  <c:v>3.51565263914966</c:v>
                </c:pt>
                <c:pt idx="191">
                  <c:v>3.35703989644423</c:v>
                </c:pt>
                <c:pt idx="192">
                  <c:v>4.6884321537388</c:v>
                </c:pt>
                <c:pt idx="193">
                  <c:v>3.19981741103334</c:v>
                </c:pt>
                <c:pt idx="194">
                  <c:v>1.85121666832791</c:v>
                </c:pt>
                <c:pt idx="195">
                  <c:v>1.35260692562247</c:v>
                </c:pt>
                <c:pt idx="196">
                  <c:v>0.703988182917016</c:v>
                </c:pt>
                <c:pt idx="197">
                  <c:v>2.06537944021156</c:v>
                </c:pt>
                <c:pt idx="198">
                  <c:v>3.96676369750611</c:v>
                </c:pt>
                <c:pt idx="199">
                  <c:v>9.15815695480069</c:v>
                </c:pt>
                <c:pt idx="200">
                  <c:v>9.96954521209523</c:v>
                </c:pt>
                <c:pt idx="201">
                  <c:v>10.6809414693898</c:v>
                </c:pt>
                <c:pt idx="202">
                  <c:v>13.1023307266844</c:v>
                </c:pt>
                <c:pt idx="203">
                  <c:v>10.3037179839789</c:v>
                </c:pt>
                <c:pt idx="204">
                  <c:v>12.7551052412734</c:v>
                </c:pt>
                <c:pt idx="205">
                  <c:v>17.286494498568</c:v>
                </c:pt>
                <c:pt idx="206">
                  <c:v>11.1478857558626</c:v>
                </c:pt>
                <c:pt idx="207">
                  <c:v>11.5692740131571</c:v>
                </c:pt>
                <c:pt idx="208">
                  <c:v>9.18066527045167</c:v>
                </c:pt>
                <c:pt idx="209">
                  <c:v>10.6920505277462</c:v>
                </c:pt>
                <c:pt idx="210">
                  <c:v>9.24344378504077</c:v>
                </c:pt>
                <c:pt idx="211">
                  <c:v>11.4548260423353</c:v>
                </c:pt>
                <c:pt idx="212">
                  <c:v>13.5062192996299</c:v>
                </c:pt>
                <c:pt idx="213">
                  <c:v>13.3676105569244</c:v>
                </c:pt>
                <c:pt idx="214">
                  <c:v>15.098996814219</c:v>
                </c:pt>
                <c:pt idx="215">
                  <c:v>15.4703820715136</c:v>
                </c:pt>
                <c:pt idx="216">
                  <c:v>13.8617723288081</c:v>
                </c:pt>
                <c:pt idx="217">
                  <c:v>6.56315958610264</c:v>
                </c:pt>
                <c:pt idx="218">
                  <c:v>7.90454684339721</c:v>
                </c:pt>
                <c:pt idx="219">
                  <c:v>4.04593610069179</c:v>
                </c:pt>
                <c:pt idx="220">
                  <c:v>4.04732735798632</c:v>
                </c:pt>
                <c:pt idx="221">
                  <c:v>6.80872661528088</c:v>
                </c:pt>
                <c:pt idx="222">
                  <c:v>9.99010987257543</c:v>
                </c:pt>
                <c:pt idx="223">
                  <c:v>9.89149512987001</c:v>
                </c:pt>
                <c:pt idx="224">
                  <c:v>10.0228903871646</c:v>
                </c:pt>
                <c:pt idx="225">
                  <c:v>9.1242716444591</c:v>
                </c:pt>
                <c:pt idx="226">
                  <c:v>11.0856689017537</c:v>
                </c:pt>
                <c:pt idx="227">
                  <c:v>14.2270581590482</c:v>
                </c:pt>
                <c:pt idx="228">
                  <c:v>12.4284454163428</c:v>
                </c:pt>
                <c:pt idx="229">
                  <c:v>17.1198386736373</c:v>
                </c:pt>
                <c:pt idx="230">
                  <c:v>19.3812239309319</c:v>
                </c:pt>
                <c:pt idx="231">
                  <c:v>20.0126191882264</c:v>
                </c:pt>
                <c:pt idx="232">
                  <c:v>21.024004445521</c:v>
                </c:pt>
                <c:pt idx="233">
                  <c:v>17.2453957028156</c:v>
                </c:pt>
                <c:pt idx="234">
                  <c:v>19.1967829601101</c:v>
                </c:pt>
                <c:pt idx="235">
                  <c:v>18.3681722174047</c:v>
                </c:pt>
                <c:pt idx="236">
                  <c:v>20.6495614746992</c:v>
                </c:pt>
                <c:pt idx="237">
                  <c:v>17.4109457319938</c:v>
                </c:pt>
                <c:pt idx="238">
                  <c:v>19.1123339892883</c:v>
                </c:pt>
                <c:pt idx="239">
                  <c:v>18.7537232465829</c:v>
                </c:pt>
                <c:pt idx="240">
                  <c:v>22.7651235038774</c:v>
                </c:pt>
                <c:pt idx="241">
                  <c:v>21.486499761172</c:v>
                </c:pt>
                <c:pt idx="242">
                  <c:v>16.1478940184665</c:v>
                </c:pt>
                <c:pt idx="243">
                  <c:v>12.7592852757611</c:v>
                </c:pt>
                <c:pt idx="244">
                  <c:v>7.20067853305562</c:v>
                </c:pt>
                <c:pt idx="245">
                  <c:v>10.6720697903502</c:v>
                </c:pt>
                <c:pt idx="246">
                  <c:v>11.0534500476448</c:v>
                </c:pt>
                <c:pt idx="247">
                  <c:v>19.7448433049393</c:v>
                </c:pt>
                <c:pt idx="248">
                  <c:v>25.3762385622339</c:v>
                </c:pt>
                <c:pt idx="249">
                  <c:v>25.1076248195284</c:v>
                </c:pt>
                <c:pt idx="250">
                  <c:v>29.509009076823</c:v>
                </c:pt>
                <c:pt idx="251">
                  <c:v>30.5304033341175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41416"/>
        <c:axId val="55636136"/>
      </c:scatterChart>
      <c:valAx>
        <c:axId val="55641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36136"/>
        <c:crosses val="autoZero"/>
        <c:crossBetween val="midCat"/>
      </c:valAx>
      <c:valAx>
        <c:axId val="5563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41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Period Line Fit Plot of HON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"Predicted HON"</c:f>
              <c:strCache>
                <c:ptCount val="1"/>
                <c:pt idx="0">
                  <c:v>Predicted HON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Sheet6!$A$253:$A$504</c:f>
              <c:numCache>
                <c:formatCode>General</c:formatCode>
                <c:ptCount val="2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</c:numCache>
            </c:numRef>
          </c:xVal>
          <c:yVal>
            <c:numRef>
              <c:f>Sheet6!$B$253:$B$504</c:f>
              <c:numCache>
                <c:formatCode>General</c:formatCode>
                <c:ptCount val="252"/>
                <c:pt idx="0">
                  <c:v>161.618304246816</c:v>
                </c:pt>
                <c:pt idx="1">
                  <c:v>161.586914989521</c:v>
                </c:pt>
                <c:pt idx="2">
                  <c:v>161.555525732227</c:v>
                </c:pt>
                <c:pt idx="3">
                  <c:v>161.524136474932</c:v>
                </c:pt>
                <c:pt idx="4">
                  <c:v>161.492747217638</c:v>
                </c:pt>
                <c:pt idx="5">
                  <c:v>161.461357960343</c:v>
                </c:pt>
                <c:pt idx="6">
                  <c:v>161.429968703048</c:v>
                </c:pt>
                <c:pt idx="7">
                  <c:v>161.398579445754</c:v>
                </c:pt>
                <c:pt idx="8">
                  <c:v>161.367190188459</c:v>
                </c:pt>
                <c:pt idx="9">
                  <c:v>161.335800931165</c:v>
                </c:pt>
                <c:pt idx="10">
                  <c:v>161.30441167387</c:v>
                </c:pt>
                <c:pt idx="11">
                  <c:v>161.273022416576</c:v>
                </c:pt>
                <c:pt idx="12">
                  <c:v>161.241633159281</c:v>
                </c:pt>
                <c:pt idx="13">
                  <c:v>161.210243901987</c:v>
                </c:pt>
                <c:pt idx="14">
                  <c:v>161.178854644692</c:v>
                </c:pt>
                <c:pt idx="15">
                  <c:v>161.147465387397</c:v>
                </c:pt>
                <c:pt idx="16">
                  <c:v>161.116076130103</c:v>
                </c:pt>
                <c:pt idx="17">
                  <c:v>161.084686872808</c:v>
                </c:pt>
                <c:pt idx="18">
                  <c:v>161.053297615514</c:v>
                </c:pt>
                <c:pt idx="19">
                  <c:v>161.021908358219</c:v>
                </c:pt>
                <c:pt idx="20">
                  <c:v>160.990519100925</c:v>
                </c:pt>
                <c:pt idx="21">
                  <c:v>160.95912984363</c:v>
                </c:pt>
                <c:pt idx="22">
                  <c:v>160.927740586336</c:v>
                </c:pt>
                <c:pt idx="23">
                  <c:v>160.896351329041</c:v>
                </c:pt>
                <c:pt idx="24">
                  <c:v>160.864962071746</c:v>
                </c:pt>
                <c:pt idx="25">
                  <c:v>160.833572814452</c:v>
                </c:pt>
                <c:pt idx="26">
                  <c:v>160.802183557157</c:v>
                </c:pt>
                <c:pt idx="27">
                  <c:v>160.770794299863</c:v>
                </c:pt>
                <c:pt idx="28">
                  <c:v>160.739405042568</c:v>
                </c:pt>
                <c:pt idx="29">
                  <c:v>160.708015785274</c:v>
                </c:pt>
                <c:pt idx="30">
                  <c:v>160.676626527979</c:v>
                </c:pt>
                <c:pt idx="31">
                  <c:v>160.645237270685</c:v>
                </c:pt>
                <c:pt idx="32">
                  <c:v>160.61384801339</c:v>
                </c:pt>
                <c:pt idx="33">
                  <c:v>160.582458756095</c:v>
                </c:pt>
                <c:pt idx="34">
                  <c:v>160.551069498801</c:v>
                </c:pt>
                <c:pt idx="35">
                  <c:v>160.519680241506</c:v>
                </c:pt>
                <c:pt idx="36">
                  <c:v>160.488290984212</c:v>
                </c:pt>
                <c:pt idx="37">
                  <c:v>160.456901726917</c:v>
                </c:pt>
                <c:pt idx="38">
                  <c:v>160.425512469623</c:v>
                </c:pt>
                <c:pt idx="39">
                  <c:v>160.394123212328</c:v>
                </c:pt>
                <c:pt idx="40">
                  <c:v>160.362733955034</c:v>
                </c:pt>
                <c:pt idx="41">
                  <c:v>160.331344697739</c:v>
                </c:pt>
                <c:pt idx="42">
                  <c:v>160.299955440444</c:v>
                </c:pt>
                <c:pt idx="43">
                  <c:v>160.26856618315</c:v>
                </c:pt>
                <c:pt idx="44">
                  <c:v>160.237176925855</c:v>
                </c:pt>
                <c:pt idx="45">
                  <c:v>160.205787668561</c:v>
                </c:pt>
                <c:pt idx="46">
                  <c:v>160.174398411266</c:v>
                </c:pt>
                <c:pt idx="47">
                  <c:v>160.143009153972</c:v>
                </c:pt>
                <c:pt idx="48">
                  <c:v>160.111619896677</c:v>
                </c:pt>
                <c:pt idx="49">
                  <c:v>160.080230639383</c:v>
                </c:pt>
                <c:pt idx="50">
                  <c:v>160.048841382088</c:v>
                </c:pt>
                <c:pt idx="51">
                  <c:v>160.017452124793</c:v>
                </c:pt>
                <c:pt idx="52">
                  <c:v>159.986062867499</c:v>
                </c:pt>
                <c:pt idx="53">
                  <c:v>159.954673610204</c:v>
                </c:pt>
                <c:pt idx="54">
                  <c:v>159.92328435291</c:v>
                </c:pt>
                <c:pt idx="55">
                  <c:v>159.891895095615</c:v>
                </c:pt>
                <c:pt idx="56">
                  <c:v>159.860505838321</c:v>
                </c:pt>
                <c:pt idx="57">
                  <c:v>159.829116581026</c:v>
                </c:pt>
                <c:pt idx="58">
                  <c:v>159.797727323732</c:v>
                </c:pt>
                <c:pt idx="59">
                  <c:v>159.766338066437</c:v>
                </c:pt>
                <c:pt idx="60">
                  <c:v>159.734948809142</c:v>
                </c:pt>
                <c:pt idx="61">
                  <c:v>159.703559551848</c:v>
                </c:pt>
                <c:pt idx="62">
                  <c:v>159.672170294553</c:v>
                </c:pt>
                <c:pt idx="63">
                  <c:v>159.640781037259</c:v>
                </c:pt>
                <c:pt idx="64">
                  <c:v>159.609391779964</c:v>
                </c:pt>
                <c:pt idx="65">
                  <c:v>159.57800252267</c:v>
                </c:pt>
                <c:pt idx="66">
                  <c:v>159.546613265375</c:v>
                </c:pt>
                <c:pt idx="67">
                  <c:v>159.515224008081</c:v>
                </c:pt>
                <c:pt idx="68">
                  <c:v>159.483834750786</c:v>
                </c:pt>
                <c:pt idx="69">
                  <c:v>159.452445493491</c:v>
                </c:pt>
                <c:pt idx="70">
                  <c:v>159.421056236197</c:v>
                </c:pt>
                <c:pt idx="71">
                  <c:v>159.389666978902</c:v>
                </c:pt>
                <c:pt idx="72">
                  <c:v>159.358277721608</c:v>
                </c:pt>
                <c:pt idx="73">
                  <c:v>159.326888464313</c:v>
                </c:pt>
                <c:pt idx="74">
                  <c:v>159.295499207019</c:v>
                </c:pt>
                <c:pt idx="75">
                  <c:v>159.264109949724</c:v>
                </c:pt>
                <c:pt idx="76">
                  <c:v>159.23272069243</c:v>
                </c:pt>
                <c:pt idx="77">
                  <c:v>159.201331435135</c:v>
                </c:pt>
                <c:pt idx="78">
                  <c:v>159.16994217784</c:v>
                </c:pt>
                <c:pt idx="79">
                  <c:v>159.138552920546</c:v>
                </c:pt>
                <c:pt idx="80">
                  <c:v>159.107163663251</c:v>
                </c:pt>
                <c:pt idx="81">
                  <c:v>159.075774405957</c:v>
                </c:pt>
                <c:pt idx="82">
                  <c:v>159.044385148662</c:v>
                </c:pt>
                <c:pt idx="83">
                  <c:v>159.012995891368</c:v>
                </c:pt>
                <c:pt idx="84">
                  <c:v>158.981606634073</c:v>
                </c:pt>
                <c:pt idx="85">
                  <c:v>158.950217376779</c:v>
                </c:pt>
                <c:pt idx="86">
                  <c:v>158.918828119484</c:v>
                </c:pt>
                <c:pt idx="87">
                  <c:v>158.887438862189</c:v>
                </c:pt>
                <c:pt idx="88">
                  <c:v>158.856049604895</c:v>
                </c:pt>
                <c:pt idx="89">
                  <c:v>158.8246603476</c:v>
                </c:pt>
                <c:pt idx="90">
                  <c:v>158.793271090306</c:v>
                </c:pt>
                <c:pt idx="91">
                  <c:v>158.761881833011</c:v>
                </c:pt>
                <c:pt idx="92">
                  <c:v>158.730492575717</c:v>
                </c:pt>
                <c:pt idx="93">
                  <c:v>158.699103318422</c:v>
                </c:pt>
                <c:pt idx="94">
                  <c:v>158.667714061128</c:v>
                </c:pt>
                <c:pt idx="95">
                  <c:v>158.636324803833</c:v>
                </c:pt>
                <c:pt idx="96">
                  <c:v>158.604935546538</c:v>
                </c:pt>
                <c:pt idx="97">
                  <c:v>158.573546289244</c:v>
                </c:pt>
                <c:pt idx="98">
                  <c:v>158.542157031949</c:v>
                </c:pt>
                <c:pt idx="99">
                  <c:v>158.510767774655</c:v>
                </c:pt>
                <c:pt idx="100">
                  <c:v>158.47937851736</c:v>
                </c:pt>
                <c:pt idx="101">
                  <c:v>158.447989260066</c:v>
                </c:pt>
                <c:pt idx="102">
                  <c:v>158.416600002771</c:v>
                </c:pt>
                <c:pt idx="103">
                  <c:v>158.385210745477</c:v>
                </c:pt>
                <c:pt idx="104">
                  <c:v>158.353821488182</c:v>
                </c:pt>
                <c:pt idx="105">
                  <c:v>158.322432230887</c:v>
                </c:pt>
                <c:pt idx="106">
                  <c:v>158.291042973593</c:v>
                </c:pt>
                <c:pt idx="107">
                  <c:v>158.259653716298</c:v>
                </c:pt>
                <c:pt idx="108">
                  <c:v>158.228264459004</c:v>
                </c:pt>
                <c:pt idx="109">
                  <c:v>158.196875201709</c:v>
                </c:pt>
                <c:pt idx="110">
                  <c:v>158.165485944415</c:v>
                </c:pt>
                <c:pt idx="111">
                  <c:v>158.13409668712</c:v>
                </c:pt>
                <c:pt idx="112">
                  <c:v>158.102707429826</c:v>
                </c:pt>
                <c:pt idx="113">
                  <c:v>158.071318172531</c:v>
                </c:pt>
                <c:pt idx="114">
                  <c:v>158.039928915236</c:v>
                </c:pt>
                <c:pt idx="115">
                  <c:v>158.008539657942</c:v>
                </c:pt>
                <c:pt idx="116">
                  <c:v>157.977150400647</c:v>
                </c:pt>
                <c:pt idx="117">
                  <c:v>157.945761143353</c:v>
                </c:pt>
                <c:pt idx="118">
                  <c:v>157.914371886058</c:v>
                </c:pt>
                <c:pt idx="119">
                  <c:v>157.882982628764</c:v>
                </c:pt>
                <c:pt idx="120">
                  <c:v>157.851593371469</c:v>
                </c:pt>
                <c:pt idx="121">
                  <c:v>157.820204114175</c:v>
                </c:pt>
                <c:pt idx="122">
                  <c:v>157.78881485688</c:v>
                </c:pt>
                <c:pt idx="123">
                  <c:v>157.757425599586</c:v>
                </c:pt>
                <c:pt idx="124">
                  <c:v>157.726036342291</c:v>
                </c:pt>
                <c:pt idx="125">
                  <c:v>157.694647084996</c:v>
                </c:pt>
                <c:pt idx="126">
                  <c:v>157.663257827702</c:v>
                </c:pt>
                <c:pt idx="127">
                  <c:v>157.631868570407</c:v>
                </c:pt>
                <c:pt idx="128">
                  <c:v>157.600479313113</c:v>
                </c:pt>
                <c:pt idx="129">
                  <c:v>157.569090055818</c:v>
                </c:pt>
                <c:pt idx="130">
                  <c:v>157.537700798524</c:v>
                </c:pt>
                <c:pt idx="131">
                  <c:v>157.506311541229</c:v>
                </c:pt>
                <c:pt idx="132">
                  <c:v>157.474922283935</c:v>
                </c:pt>
                <c:pt idx="133">
                  <c:v>157.44353302664</c:v>
                </c:pt>
                <c:pt idx="134">
                  <c:v>157.412143769345</c:v>
                </c:pt>
                <c:pt idx="135">
                  <c:v>157.380754512051</c:v>
                </c:pt>
                <c:pt idx="136">
                  <c:v>157.349365254756</c:v>
                </c:pt>
                <c:pt idx="137">
                  <c:v>157.317975997462</c:v>
                </c:pt>
                <c:pt idx="138">
                  <c:v>157.286586740167</c:v>
                </c:pt>
                <c:pt idx="139">
                  <c:v>157.255197482873</c:v>
                </c:pt>
                <c:pt idx="140">
                  <c:v>157.223808225578</c:v>
                </c:pt>
                <c:pt idx="141">
                  <c:v>157.192418968284</c:v>
                </c:pt>
                <c:pt idx="142">
                  <c:v>157.161029710989</c:v>
                </c:pt>
                <c:pt idx="143">
                  <c:v>157.129640453694</c:v>
                </c:pt>
                <c:pt idx="144">
                  <c:v>157.0982511964</c:v>
                </c:pt>
                <c:pt idx="145">
                  <c:v>157.066861939105</c:v>
                </c:pt>
                <c:pt idx="146">
                  <c:v>157.035472681811</c:v>
                </c:pt>
                <c:pt idx="147">
                  <c:v>157.004083424516</c:v>
                </c:pt>
                <c:pt idx="148">
                  <c:v>156.972694167222</c:v>
                </c:pt>
                <c:pt idx="149">
                  <c:v>156.941304909927</c:v>
                </c:pt>
                <c:pt idx="150">
                  <c:v>156.909915652633</c:v>
                </c:pt>
                <c:pt idx="151">
                  <c:v>156.878526395338</c:v>
                </c:pt>
                <c:pt idx="152">
                  <c:v>156.847137138043</c:v>
                </c:pt>
                <c:pt idx="153">
                  <c:v>156.815747880749</c:v>
                </c:pt>
                <c:pt idx="154">
                  <c:v>156.784358623454</c:v>
                </c:pt>
                <c:pt idx="155">
                  <c:v>156.75296936616</c:v>
                </c:pt>
                <c:pt idx="156">
                  <c:v>156.721580108865</c:v>
                </c:pt>
                <c:pt idx="157">
                  <c:v>156.690190851571</c:v>
                </c:pt>
                <c:pt idx="158">
                  <c:v>156.658801594276</c:v>
                </c:pt>
                <c:pt idx="159">
                  <c:v>156.627412336982</c:v>
                </c:pt>
                <c:pt idx="160">
                  <c:v>156.596023079687</c:v>
                </c:pt>
                <c:pt idx="161">
                  <c:v>156.564633822392</c:v>
                </c:pt>
                <c:pt idx="162">
                  <c:v>156.533244565098</c:v>
                </c:pt>
                <c:pt idx="163">
                  <c:v>156.501855307803</c:v>
                </c:pt>
                <c:pt idx="164">
                  <c:v>156.470466050509</c:v>
                </c:pt>
                <c:pt idx="165">
                  <c:v>156.439076793214</c:v>
                </c:pt>
                <c:pt idx="166">
                  <c:v>156.40768753592</c:v>
                </c:pt>
                <c:pt idx="167">
                  <c:v>156.376298278625</c:v>
                </c:pt>
                <c:pt idx="168">
                  <c:v>156.344909021331</c:v>
                </c:pt>
                <c:pt idx="169">
                  <c:v>156.313519764036</c:v>
                </c:pt>
                <c:pt idx="170">
                  <c:v>156.282130506741</c:v>
                </c:pt>
                <c:pt idx="171">
                  <c:v>156.250741249447</c:v>
                </c:pt>
                <c:pt idx="172">
                  <c:v>156.219351992152</c:v>
                </c:pt>
                <c:pt idx="173">
                  <c:v>156.187962734858</c:v>
                </c:pt>
                <c:pt idx="174">
                  <c:v>156.156573477563</c:v>
                </c:pt>
                <c:pt idx="175">
                  <c:v>156.125184220269</c:v>
                </c:pt>
                <c:pt idx="176">
                  <c:v>156.093794962974</c:v>
                </c:pt>
                <c:pt idx="177">
                  <c:v>156.06240570568</c:v>
                </c:pt>
                <c:pt idx="178">
                  <c:v>156.031016448385</c:v>
                </c:pt>
                <c:pt idx="179">
                  <c:v>155.99962719109</c:v>
                </c:pt>
                <c:pt idx="180">
                  <c:v>155.968237933796</c:v>
                </c:pt>
                <c:pt idx="181">
                  <c:v>155.936848676501</c:v>
                </c:pt>
                <c:pt idx="182">
                  <c:v>155.905459419207</c:v>
                </c:pt>
                <c:pt idx="183">
                  <c:v>155.874070161912</c:v>
                </c:pt>
                <c:pt idx="184">
                  <c:v>155.842680904618</c:v>
                </c:pt>
                <c:pt idx="185">
                  <c:v>155.811291647323</c:v>
                </c:pt>
                <c:pt idx="186">
                  <c:v>155.779902390029</c:v>
                </c:pt>
                <c:pt idx="187">
                  <c:v>155.748513132734</c:v>
                </c:pt>
                <c:pt idx="188">
                  <c:v>155.717123875439</c:v>
                </c:pt>
                <c:pt idx="189">
                  <c:v>155.685734618145</c:v>
                </c:pt>
                <c:pt idx="190">
                  <c:v>155.65434536085</c:v>
                </c:pt>
                <c:pt idx="191">
                  <c:v>155.622956103556</c:v>
                </c:pt>
                <c:pt idx="192">
                  <c:v>155.591566846261</c:v>
                </c:pt>
                <c:pt idx="193">
                  <c:v>155.560177588967</c:v>
                </c:pt>
                <c:pt idx="194">
                  <c:v>155.528788331672</c:v>
                </c:pt>
                <c:pt idx="195">
                  <c:v>155.497399074378</c:v>
                </c:pt>
                <c:pt idx="196">
                  <c:v>155.466009817083</c:v>
                </c:pt>
                <c:pt idx="197">
                  <c:v>155.434620559788</c:v>
                </c:pt>
                <c:pt idx="198">
                  <c:v>155.403231302494</c:v>
                </c:pt>
                <c:pt idx="199">
                  <c:v>155.371842045199</c:v>
                </c:pt>
                <c:pt idx="200">
                  <c:v>155.340452787905</c:v>
                </c:pt>
                <c:pt idx="201">
                  <c:v>155.30906353061</c:v>
                </c:pt>
                <c:pt idx="202">
                  <c:v>155.277674273316</c:v>
                </c:pt>
                <c:pt idx="203">
                  <c:v>155.246285016021</c:v>
                </c:pt>
                <c:pt idx="204">
                  <c:v>155.214895758727</c:v>
                </c:pt>
                <c:pt idx="205">
                  <c:v>155.183506501432</c:v>
                </c:pt>
                <c:pt idx="206">
                  <c:v>155.152117244137</c:v>
                </c:pt>
                <c:pt idx="207">
                  <c:v>155.120727986843</c:v>
                </c:pt>
                <c:pt idx="208">
                  <c:v>155.089338729548</c:v>
                </c:pt>
                <c:pt idx="209">
                  <c:v>155.057949472254</c:v>
                </c:pt>
                <c:pt idx="210">
                  <c:v>155.026560214959</c:v>
                </c:pt>
                <c:pt idx="211">
                  <c:v>154.995170957665</c:v>
                </c:pt>
                <c:pt idx="212">
                  <c:v>154.96378170037</c:v>
                </c:pt>
                <c:pt idx="213">
                  <c:v>154.932392443076</c:v>
                </c:pt>
                <c:pt idx="214">
                  <c:v>154.901003185781</c:v>
                </c:pt>
                <c:pt idx="215">
                  <c:v>154.869613928486</c:v>
                </c:pt>
                <c:pt idx="216">
                  <c:v>154.838224671192</c:v>
                </c:pt>
                <c:pt idx="217">
                  <c:v>154.806835413897</c:v>
                </c:pt>
                <c:pt idx="218">
                  <c:v>154.775446156603</c:v>
                </c:pt>
                <c:pt idx="219">
                  <c:v>154.744056899308</c:v>
                </c:pt>
                <c:pt idx="220">
                  <c:v>154.712667642014</c:v>
                </c:pt>
                <c:pt idx="221">
                  <c:v>154.681278384719</c:v>
                </c:pt>
                <c:pt idx="222">
                  <c:v>154.649889127425</c:v>
                </c:pt>
                <c:pt idx="223">
                  <c:v>154.61849987013</c:v>
                </c:pt>
                <c:pt idx="224">
                  <c:v>154.587110612835</c:v>
                </c:pt>
                <c:pt idx="225">
                  <c:v>154.555721355541</c:v>
                </c:pt>
                <c:pt idx="226">
                  <c:v>154.524332098246</c:v>
                </c:pt>
                <c:pt idx="227">
                  <c:v>154.492942840952</c:v>
                </c:pt>
                <c:pt idx="228">
                  <c:v>154.461553583657</c:v>
                </c:pt>
                <c:pt idx="229">
                  <c:v>154.430164326363</c:v>
                </c:pt>
                <c:pt idx="230">
                  <c:v>154.398775069068</c:v>
                </c:pt>
                <c:pt idx="231">
                  <c:v>154.367385811774</c:v>
                </c:pt>
                <c:pt idx="232">
                  <c:v>154.335996554479</c:v>
                </c:pt>
                <c:pt idx="233">
                  <c:v>154.304607297184</c:v>
                </c:pt>
                <c:pt idx="234">
                  <c:v>154.27321803989</c:v>
                </c:pt>
                <c:pt idx="235">
                  <c:v>154.241828782595</c:v>
                </c:pt>
                <c:pt idx="236">
                  <c:v>154.210439525301</c:v>
                </c:pt>
                <c:pt idx="237">
                  <c:v>154.179050268006</c:v>
                </c:pt>
                <c:pt idx="238">
                  <c:v>154.147661010712</c:v>
                </c:pt>
                <c:pt idx="239">
                  <c:v>154.116271753417</c:v>
                </c:pt>
                <c:pt idx="240">
                  <c:v>154.084882496123</c:v>
                </c:pt>
                <c:pt idx="241">
                  <c:v>154.053493238828</c:v>
                </c:pt>
                <c:pt idx="242">
                  <c:v>154.022103981533</c:v>
                </c:pt>
                <c:pt idx="243">
                  <c:v>153.990714724239</c:v>
                </c:pt>
                <c:pt idx="244">
                  <c:v>153.959325466944</c:v>
                </c:pt>
                <c:pt idx="245">
                  <c:v>153.92793620965</c:v>
                </c:pt>
                <c:pt idx="246">
                  <c:v>153.896546952355</c:v>
                </c:pt>
                <c:pt idx="247">
                  <c:v>153.865157695061</c:v>
                </c:pt>
                <c:pt idx="248">
                  <c:v>153.833768437766</c:v>
                </c:pt>
                <c:pt idx="249">
                  <c:v>153.802379180472</c:v>
                </c:pt>
                <c:pt idx="250">
                  <c:v>153.770989923177</c:v>
                </c:pt>
                <c:pt idx="251">
                  <c:v>153.739600665882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"HON"</c:f>
              <c:strCache>
                <c:ptCount val="1"/>
                <c:pt idx="0">
                  <c:v>HON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Sheet6!$A$253:$A$504</c:f>
              <c:numCache>
                <c:formatCode>General</c:formatCode>
                <c:ptCount val="2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</c:numCache>
            </c:numRef>
          </c:xVal>
          <c:yVal>
            <c:numRef>
              <c:f>Sheet6!$C$253:$C$504</c:f>
              <c:numCache>
                <c:formatCode>General</c:formatCode>
                <c:ptCount val="252"/>
                <c:pt idx="0">
                  <c:v>102.520172</c:v>
                </c:pt>
                <c:pt idx="1">
                  <c:v>111.048721</c:v>
                </c:pt>
                <c:pt idx="2">
                  <c:v>117.425385</c:v>
                </c:pt>
                <c:pt idx="3">
                  <c:v>117.968285</c:v>
                </c:pt>
                <c:pt idx="4">
                  <c:v>118.067001</c:v>
                </c:pt>
                <c:pt idx="5">
                  <c:v>121.383652</c:v>
                </c:pt>
                <c:pt idx="6">
                  <c:v>124.70488</c:v>
                </c:pt>
                <c:pt idx="7">
                  <c:v>125.805862</c:v>
                </c:pt>
                <c:pt idx="8">
                  <c:v>125.944046</c:v>
                </c:pt>
                <c:pt idx="9">
                  <c:v>126.335655</c:v>
                </c:pt>
                <c:pt idx="10">
                  <c:v>127.977478</c:v>
                </c:pt>
                <c:pt idx="11">
                  <c:v>128.036713</c:v>
                </c:pt>
                <c:pt idx="12">
                  <c:v>129.576599</c:v>
                </c:pt>
                <c:pt idx="13">
                  <c:v>130.050385</c:v>
                </c:pt>
                <c:pt idx="14">
                  <c:v>130.099747</c:v>
                </c:pt>
                <c:pt idx="15">
                  <c:v>130.297165</c:v>
                </c:pt>
                <c:pt idx="16">
                  <c:v>130.62291</c:v>
                </c:pt>
                <c:pt idx="17">
                  <c:v>131.076965</c:v>
                </c:pt>
                <c:pt idx="18">
                  <c:v>131.09671</c:v>
                </c:pt>
                <c:pt idx="19">
                  <c:v>131.208099</c:v>
                </c:pt>
                <c:pt idx="20">
                  <c:v>131.313873</c:v>
                </c:pt>
                <c:pt idx="21">
                  <c:v>131.323746</c:v>
                </c:pt>
                <c:pt idx="22">
                  <c:v>132.064072</c:v>
                </c:pt>
                <c:pt idx="23">
                  <c:v>132.271362</c:v>
                </c:pt>
                <c:pt idx="24">
                  <c:v>132.54776</c:v>
                </c:pt>
                <c:pt idx="25">
                  <c:v>132.942581</c:v>
                </c:pt>
                <c:pt idx="26">
                  <c:v>133.100525</c:v>
                </c:pt>
                <c:pt idx="27">
                  <c:v>133.110397</c:v>
                </c:pt>
                <c:pt idx="28">
                  <c:v>133.130142</c:v>
                </c:pt>
                <c:pt idx="29">
                  <c:v>133.455887</c:v>
                </c:pt>
                <c:pt idx="30">
                  <c:v>133.495361</c:v>
                </c:pt>
                <c:pt idx="31">
                  <c:v>133.524979</c:v>
                </c:pt>
                <c:pt idx="32">
                  <c:v>133.771759</c:v>
                </c:pt>
                <c:pt idx="33">
                  <c:v>133.949432</c:v>
                </c:pt>
                <c:pt idx="34">
                  <c:v>135.143829</c:v>
                </c:pt>
                <c:pt idx="35">
                  <c:v>135.265167</c:v>
                </c:pt>
                <c:pt idx="36">
                  <c:v>135.275101</c:v>
                </c:pt>
                <c:pt idx="37">
                  <c:v>135.479431</c:v>
                </c:pt>
                <c:pt idx="38">
                  <c:v>135.627487</c:v>
                </c:pt>
                <c:pt idx="39">
                  <c:v>136.160538</c:v>
                </c:pt>
                <c:pt idx="40">
                  <c:v>136.535645</c:v>
                </c:pt>
                <c:pt idx="41">
                  <c:v>136.915833</c:v>
                </c:pt>
                <c:pt idx="42">
                  <c:v>137.432907</c:v>
                </c:pt>
                <c:pt idx="43">
                  <c:v>137.453644</c:v>
                </c:pt>
                <c:pt idx="44">
                  <c:v>137.572128</c:v>
                </c:pt>
                <c:pt idx="45">
                  <c:v>138.075516</c:v>
                </c:pt>
                <c:pt idx="46">
                  <c:v>138.397446</c:v>
                </c:pt>
                <c:pt idx="47">
                  <c:v>138.776337</c:v>
                </c:pt>
                <c:pt idx="48">
                  <c:v>140.069443</c:v>
                </c:pt>
                <c:pt idx="49">
                  <c:v>140.575134</c:v>
                </c:pt>
                <c:pt idx="50">
                  <c:v>140.91835</c:v>
                </c:pt>
                <c:pt idx="51">
                  <c:v>141.579712</c:v>
                </c:pt>
                <c:pt idx="52">
                  <c:v>141.649063</c:v>
                </c:pt>
                <c:pt idx="53">
                  <c:v>141.659012</c:v>
                </c:pt>
                <c:pt idx="54">
                  <c:v>142.434631</c:v>
                </c:pt>
                <c:pt idx="55">
                  <c:v>142.633499</c:v>
                </c:pt>
                <c:pt idx="56">
                  <c:v>142.683228</c:v>
                </c:pt>
                <c:pt idx="57">
                  <c:v>143.299728</c:v>
                </c:pt>
                <c:pt idx="58">
                  <c:v>143.697479</c:v>
                </c:pt>
                <c:pt idx="59">
                  <c:v>143.777023</c:v>
                </c:pt>
                <c:pt idx="60">
                  <c:v>144.045517</c:v>
                </c:pt>
                <c:pt idx="61">
                  <c:v>144.125061</c:v>
                </c:pt>
                <c:pt idx="62">
                  <c:v>144.125061</c:v>
                </c:pt>
                <c:pt idx="63">
                  <c:v>144.154892</c:v>
                </c:pt>
                <c:pt idx="64">
                  <c:v>144.20462</c:v>
                </c:pt>
                <c:pt idx="65">
                  <c:v>144.274506</c:v>
                </c:pt>
                <c:pt idx="66">
                  <c:v>144.552643</c:v>
                </c:pt>
                <c:pt idx="67">
                  <c:v>144.771408</c:v>
                </c:pt>
                <c:pt idx="68">
                  <c:v>145.029953</c:v>
                </c:pt>
                <c:pt idx="69">
                  <c:v>145.358093</c:v>
                </c:pt>
                <c:pt idx="70">
                  <c:v>145.805573</c:v>
                </c:pt>
                <c:pt idx="71">
                  <c:v>146.392242</c:v>
                </c:pt>
                <c:pt idx="72">
                  <c:v>146.501633</c:v>
                </c:pt>
                <c:pt idx="73">
                  <c:v>146.730331</c:v>
                </c:pt>
                <c:pt idx="74">
                  <c:v>147.267303</c:v>
                </c:pt>
                <c:pt idx="75">
                  <c:v>147.396561</c:v>
                </c:pt>
                <c:pt idx="76">
                  <c:v>147.482574</c:v>
                </c:pt>
                <c:pt idx="77">
                  <c:v>147.505951</c:v>
                </c:pt>
                <c:pt idx="78">
                  <c:v>147.5159</c:v>
                </c:pt>
                <c:pt idx="79">
                  <c:v>147.694885</c:v>
                </c:pt>
                <c:pt idx="80">
                  <c:v>147.754532</c:v>
                </c:pt>
                <c:pt idx="81">
                  <c:v>148.271622</c:v>
                </c:pt>
                <c:pt idx="82">
                  <c:v>148.321335</c:v>
                </c:pt>
                <c:pt idx="83">
                  <c:v>148.530151</c:v>
                </c:pt>
                <c:pt idx="84">
                  <c:v>148.589813</c:v>
                </c:pt>
                <c:pt idx="85">
                  <c:v>149.912338</c:v>
                </c:pt>
                <c:pt idx="86">
                  <c:v>149.972015</c:v>
                </c:pt>
                <c:pt idx="87">
                  <c:v>150.888062</c:v>
                </c:pt>
                <c:pt idx="88">
                  <c:v>151.07576</c:v>
                </c:pt>
                <c:pt idx="89">
                  <c:v>151.155304</c:v>
                </c:pt>
                <c:pt idx="90">
                  <c:v>151.411224</c:v>
                </c:pt>
                <c:pt idx="91">
                  <c:v>151.722107</c:v>
                </c:pt>
                <c:pt idx="92">
                  <c:v>152.219299</c:v>
                </c:pt>
                <c:pt idx="93">
                  <c:v>152.487793</c:v>
                </c:pt>
                <c:pt idx="94">
                  <c:v>152.527557</c:v>
                </c:pt>
                <c:pt idx="95">
                  <c:v>152.865631</c:v>
                </c:pt>
                <c:pt idx="96">
                  <c:v>153.253448</c:v>
                </c:pt>
                <c:pt idx="97">
                  <c:v>153.710861</c:v>
                </c:pt>
                <c:pt idx="98">
                  <c:v>153.740692</c:v>
                </c:pt>
                <c:pt idx="99">
                  <c:v>153.889847</c:v>
                </c:pt>
                <c:pt idx="100">
                  <c:v>154.12851</c:v>
                </c:pt>
                <c:pt idx="101">
                  <c:v>154.237885</c:v>
                </c:pt>
                <c:pt idx="102">
                  <c:v>155.033386</c:v>
                </c:pt>
                <c:pt idx="103">
                  <c:v>156.169998</c:v>
                </c:pt>
                <c:pt idx="104">
                  <c:v>156.850006</c:v>
                </c:pt>
                <c:pt idx="105">
                  <c:v>157.211075</c:v>
                </c:pt>
                <c:pt idx="106">
                  <c:v>157.380005</c:v>
                </c:pt>
                <c:pt idx="107">
                  <c:v>157.49176</c:v>
                </c:pt>
                <c:pt idx="108">
                  <c:v>157.5</c:v>
                </c:pt>
                <c:pt idx="109">
                  <c:v>158.533585</c:v>
                </c:pt>
                <c:pt idx="110">
                  <c:v>158.759995</c:v>
                </c:pt>
                <c:pt idx="111">
                  <c:v>158.759995</c:v>
                </c:pt>
                <c:pt idx="112">
                  <c:v>158.789993</c:v>
                </c:pt>
                <c:pt idx="113">
                  <c:v>158.979996</c:v>
                </c:pt>
                <c:pt idx="114">
                  <c:v>159.169998</c:v>
                </c:pt>
                <c:pt idx="115">
                  <c:v>159.369995</c:v>
                </c:pt>
                <c:pt idx="116">
                  <c:v>159.378815</c:v>
                </c:pt>
                <c:pt idx="117">
                  <c:v>159.604156</c:v>
                </c:pt>
                <c:pt idx="118">
                  <c:v>159.801575</c:v>
                </c:pt>
                <c:pt idx="119">
                  <c:v>160.077957</c:v>
                </c:pt>
                <c:pt idx="120">
                  <c:v>160.279999</c:v>
                </c:pt>
                <c:pt idx="121">
                  <c:v>160.462677</c:v>
                </c:pt>
                <c:pt idx="122">
                  <c:v>161.160004</c:v>
                </c:pt>
                <c:pt idx="123">
                  <c:v>161.369995</c:v>
                </c:pt>
                <c:pt idx="124">
                  <c:v>161.490005</c:v>
                </c:pt>
                <c:pt idx="125">
                  <c:v>161.913971</c:v>
                </c:pt>
                <c:pt idx="126">
                  <c:v>162.003967</c:v>
                </c:pt>
                <c:pt idx="127">
                  <c:v>162.121277</c:v>
                </c:pt>
                <c:pt idx="128">
                  <c:v>162.679993</c:v>
                </c:pt>
                <c:pt idx="129">
                  <c:v>162.79248</c:v>
                </c:pt>
                <c:pt idx="130">
                  <c:v>163.679993</c:v>
                </c:pt>
                <c:pt idx="131">
                  <c:v>164.134918</c:v>
                </c:pt>
                <c:pt idx="132">
                  <c:v>164.270004</c:v>
                </c:pt>
                <c:pt idx="133">
                  <c:v>164.270004</c:v>
                </c:pt>
                <c:pt idx="134">
                  <c:v>164.509995</c:v>
                </c:pt>
                <c:pt idx="135">
                  <c:v>164.529999</c:v>
                </c:pt>
                <c:pt idx="136">
                  <c:v>164.600006</c:v>
                </c:pt>
                <c:pt idx="137">
                  <c:v>164.610001</c:v>
                </c:pt>
                <c:pt idx="138">
                  <c:v>164.639999</c:v>
                </c:pt>
                <c:pt idx="139">
                  <c:v>164.743652</c:v>
                </c:pt>
                <c:pt idx="140">
                  <c:v>164.949997</c:v>
                </c:pt>
                <c:pt idx="141">
                  <c:v>165.309998</c:v>
                </c:pt>
                <c:pt idx="142">
                  <c:v>165.550003</c:v>
                </c:pt>
                <c:pt idx="143">
                  <c:v>165.610001</c:v>
                </c:pt>
                <c:pt idx="144">
                  <c:v>165.75</c:v>
                </c:pt>
                <c:pt idx="145">
                  <c:v>165.990005</c:v>
                </c:pt>
                <c:pt idx="146">
                  <c:v>166.300003</c:v>
                </c:pt>
                <c:pt idx="147">
                  <c:v>166.449997</c:v>
                </c:pt>
                <c:pt idx="148">
                  <c:v>166.690002</c:v>
                </c:pt>
                <c:pt idx="149">
                  <c:v>166.75</c:v>
                </c:pt>
                <c:pt idx="150">
                  <c:v>166.889999</c:v>
                </c:pt>
                <c:pt idx="151">
                  <c:v>167.970001</c:v>
                </c:pt>
                <c:pt idx="152">
                  <c:v>168.199554</c:v>
                </c:pt>
                <c:pt idx="153">
                  <c:v>168.300003</c:v>
                </c:pt>
                <c:pt idx="154">
                  <c:v>168.380005</c:v>
                </c:pt>
                <c:pt idx="155">
                  <c:v>168.470001</c:v>
                </c:pt>
                <c:pt idx="156">
                  <c:v>168.699997</c:v>
                </c:pt>
                <c:pt idx="157">
                  <c:v>168.720001</c:v>
                </c:pt>
                <c:pt idx="158">
                  <c:v>168.981613</c:v>
                </c:pt>
                <c:pt idx="159">
                  <c:v>169.407135</c:v>
                </c:pt>
                <c:pt idx="160">
                  <c:v>170</c:v>
                </c:pt>
                <c:pt idx="161">
                  <c:v>170.055115</c:v>
                </c:pt>
                <c:pt idx="162">
                  <c:v>170.064926</c:v>
                </c:pt>
                <c:pt idx="163">
                  <c:v>170.169998</c:v>
                </c:pt>
                <c:pt idx="164">
                  <c:v>170.339996</c:v>
                </c:pt>
                <c:pt idx="165">
                  <c:v>170.379089</c:v>
                </c:pt>
                <c:pt idx="166">
                  <c:v>170.84053</c:v>
                </c:pt>
                <c:pt idx="167">
                  <c:v>170.86998</c:v>
                </c:pt>
                <c:pt idx="168">
                  <c:v>171.144913</c:v>
                </c:pt>
                <c:pt idx="169">
                  <c:v>171.311798</c:v>
                </c:pt>
                <c:pt idx="170">
                  <c:v>171.459061</c:v>
                </c:pt>
                <c:pt idx="171">
                  <c:v>171.550003</c:v>
                </c:pt>
                <c:pt idx="172">
                  <c:v>171.550003</c:v>
                </c:pt>
                <c:pt idx="173">
                  <c:v>171.589996</c:v>
                </c:pt>
                <c:pt idx="174">
                  <c:v>172.018692</c:v>
                </c:pt>
                <c:pt idx="175">
                  <c:v>172.077591</c:v>
                </c:pt>
                <c:pt idx="176">
                  <c:v>172.087387</c:v>
                </c:pt>
                <c:pt idx="177">
                  <c:v>172.264145</c:v>
                </c:pt>
                <c:pt idx="178">
                  <c:v>172.264145</c:v>
                </c:pt>
                <c:pt idx="179">
                  <c:v>172.470001</c:v>
                </c:pt>
                <c:pt idx="180">
                  <c:v>172.470306</c:v>
                </c:pt>
                <c:pt idx="181">
                  <c:v>172.610001</c:v>
                </c:pt>
                <c:pt idx="182">
                  <c:v>172.804092</c:v>
                </c:pt>
                <c:pt idx="183">
                  <c:v>172.869995</c:v>
                </c:pt>
                <c:pt idx="184">
                  <c:v>173.098648</c:v>
                </c:pt>
                <c:pt idx="185">
                  <c:v>173.137924</c:v>
                </c:pt>
                <c:pt idx="186">
                  <c:v>173.186996</c:v>
                </c:pt>
                <c:pt idx="187">
                  <c:v>173.196823</c:v>
                </c:pt>
                <c:pt idx="188">
                  <c:v>173.206619</c:v>
                </c:pt>
                <c:pt idx="189">
                  <c:v>173.216461</c:v>
                </c:pt>
                <c:pt idx="190">
                  <c:v>173.259995</c:v>
                </c:pt>
                <c:pt idx="191">
                  <c:v>173.265564</c:v>
                </c:pt>
                <c:pt idx="192">
                  <c:v>173.285187</c:v>
                </c:pt>
                <c:pt idx="193">
                  <c:v>173.294998</c:v>
                </c:pt>
                <c:pt idx="194">
                  <c:v>173.314636</c:v>
                </c:pt>
                <c:pt idx="195">
                  <c:v>173.470001</c:v>
                </c:pt>
                <c:pt idx="196">
                  <c:v>173.481537</c:v>
                </c:pt>
                <c:pt idx="197">
                  <c:v>173.569901</c:v>
                </c:pt>
                <c:pt idx="198">
                  <c:v>173.610001</c:v>
                </c:pt>
                <c:pt idx="199">
                  <c:v>173.658264</c:v>
                </c:pt>
                <c:pt idx="200">
                  <c:v>173.677887</c:v>
                </c:pt>
                <c:pt idx="201">
                  <c:v>173.72699</c:v>
                </c:pt>
                <c:pt idx="202">
                  <c:v>173.756439</c:v>
                </c:pt>
                <c:pt idx="203">
                  <c:v>173.776062</c:v>
                </c:pt>
                <c:pt idx="204">
                  <c:v>173.779999</c:v>
                </c:pt>
                <c:pt idx="205">
                  <c:v>173.903717</c:v>
                </c:pt>
                <c:pt idx="206">
                  <c:v>173.992081</c:v>
                </c:pt>
                <c:pt idx="207">
                  <c:v>174.158981</c:v>
                </c:pt>
                <c:pt idx="208">
                  <c:v>174.276794</c:v>
                </c:pt>
                <c:pt idx="209">
                  <c:v>174.374969</c:v>
                </c:pt>
                <c:pt idx="210">
                  <c:v>174.380005</c:v>
                </c:pt>
                <c:pt idx="211">
                  <c:v>174.522232</c:v>
                </c:pt>
                <c:pt idx="212">
                  <c:v>174.860001</c:v>
                </c:pt>
                <c:pt idx="213">
                  <c:v>175.09166</c:v>
                </c:pt>
                <c:pt idx="214">
                  <c:v>175.268387</c:v>
                </c:pt>
                <c:pt idx="215">
                  <c:v>175.297852</c:v>
                </c:pt>
                <c:pt idx="216">
                  <c:v>175.360001</c:v>
                </c:pt>
                <c:pt idx="217">
                  <c:v>175.425461</c:v>
                </c:pt>
                <c:pt idx="218">
                  <c:v>175.539993</c:v>
                </c:pt>
                <c:pt idx="219">
                  <c:v>175.602203</c:v>
                </c:pt>
                <c:pt idx="220">
                  <c:v>175.80838</c:v>
                </c:pt>
                <c:pt idx="221">
                  <c:v>175.886917</c:v>
                </c:pt>
                <c:pt idx="222">
                  <c:v>176.151993</c:v>
                </c:pt>
                <c:pt idx="223">
                  <c:v>176.151993</c:v>
                </c:pt>
                <c:pt idx="224">
                  <c:v>176.309097</c:v>
                </c:pt>
                <c:pt idx="225">
                  <c:v>176.377808</c:v>
                </c:pt>
                <c:pt idx="226">
                  <c:v>176.52507</c:v>
                </c:pt>
                <c:pt idx="227">
                  <c:v>176.603622</c:v>
                </c:pt>
                <c:pt idx="228">
                  <c:v>176.658142</c:v>
                </c:pt>
                <c:pt idx="229">
                  <c:v>176.770523</c:v>
                </c:pt>
                <c:pt idx="230">
                  <c:v>176.839249</c:v>
                </c:pt>
                <c:pt idx="231">
                  <c:v>176.839249</c:v>
                </c:pt>
                <c:pt idx="232">
                  <c:v>176.850006</c:v>
                </c:pt>
                <c:pt idx="233">
                  <c:v>177.029373</c:v>
                </c:pt>
                <c:pt idx="234">
                  <c:v>177.163223</c:v>
                </c:pt>
                <c:pt idx="235">
                  <c:v>177.408691</c:v>
                </c:pt>
                <c:pt idx="236">
                  <c:v>177.438126</c:v>
                </c:pt>
                <c:pt idx="237">
                  <c:v>177.49704</c:v>
                </c:pt>
                <c:pt idx="238">
                  <c:v>177.516693</c:v>
                </c:pt>
                <c:pt idx="239">
                  <c:v>177.565765</c:v>
                </c:pt>
                <c:pt idx="240">
                  <c:v>177.634491</c:v>
                </c:pt>
                <c:pt idx="241">
                  <c:v>177.752319</c:v>
                </c:pt>
                <c:pt idx="242">
                  <c:v>177.810913</c:v>
                </c:pt>
                <c:pt idx="243">
                  <c:v>177.879929</c:v>
                </c:pt>
                <c:pt idx="244">
                  <c:v>177.968292</c:v>
                </c:pt>
                <c:pt idx="245">
                  <c:v>178.43956</c:v>
                </c:pt>
                <c:pt idx="246">
                  <c:v>178.910004</c:v>
                </c:pt>
                <c:pt idx="247">
                  <c:v>178.940262</c:v>
                </c:pt>
                <c:pt idx="248">
                  <c:v>179.210007</c:v>
                </c:pt>
                <c:pt idx="249">
                  <c:v>179.892593</c:v>
                </c:pt>
                <c:pt idx="250">
                  <c:v>183.279999</c:v>
                </c:pt>
                <c:pt idx="251">
                  <c:v>184.270004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832376"/>
        <c:axId val="1571833336"/>
      </c:scatterChart>
      <c:valAx>
        <c:axId val="1571832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1833336"/>
        <c:crosses val="autoZero"/>
        <c:crossBetween val="midCat"/>
      </c:valAx>
      <c:valAx>
        <c:axId val="157183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HON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1832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 Probability Plot of HON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'Part 3'!$AE$29:$AE$281</c:f>
              <c:numCache>
                <c:formatCode>General</c:formatCode>
                <c:ptCount val="253"/>
                <c:pt idx="0">
                  <c:v>0.194552529182879</c:v>
                </c:pt>
                <c:pt idx="1">
                  <c:v>0.583657587548638</c:v>
                </c:pt>
                <c:pt idx="2">
                  <c:v>0.972762645914396</c:v>
                </c:pt>
                <c:pt idx="3">
                  <c:v>1.36186770428015</c:v>
                </c:pt>
                <c:pt idx="4">
                  <c:v>1.75097276264591</c:v>
                </c:pt>
                <c:pt idx="5">
                  <c:v>2.14007782101167</c:v>
                </c:pt>
                <c:pt idx="6">
                  <c:v>2.52918287937743</c:v>
                </c:pt>
                <c:pt idx="7">
                  <c:v>2.91828793774319</c:v>
                </c:pt>
                <c:pt idx="8">
                  <c:v>3.30739299610894</c:v>
                </c:pt>
                <c:pt idx="9">
                  <c:v>3.6964980544747</c:v>
                </c:pt>
                <c:pt idx="10">
                  <c:v>4.08560311284046</c:v>
                </c:pt>
                <c:pt idx="11">
                  <c:v>4.47470817120622</c:v>
                </c:pt>
                <c:pt idx="12">
                  <c:v>4.86381322957198</c:v>
                </c:pt>
                <c:pt idx="13">
                  <c:v>5.25291828793774</c:v>
                </c:pt>
                <c:pt idx="14">
                  <c:v>5.6420233463035</c:v>
                </c:pt>
                <c:pt idx="15">
                  <c:v>6.03112840466926</c:v>
                </c:pt>
                <c:pt idx="16">
                  <c:v>6.42023346303502</c:v>
                </c:pt>
                <c:pt idx="17">
                  <c:v>6.80933852140077</c:v>
                </c:pt>
                <c:pt idx="18">
                  <c:v>7.19844357976653</c:v>
                </c:pt>
                <c:pt idx="19">
                  <c:v>7.58754863813229</c:v>
                </c:pt>
                <c:pt idx="20">
                  <c:v>7.97665369649805</c:v>
                </c:pt>
                <c:pt idx="21">
                  <c:v>8.36575875486381</c:v>
                </c:pt>
                <c:pt idx="22">
                  <c:v>8.75486381322957</c:v>
                </c:pt>
                <c:pt idx="23">
                  <c:v>9.14396887159533</c:v>
                </c:pt>
                <c:pt idx="24">
                  <c:v>9.53307392996109</c:v>
                </c:pt>
                <c:pt idx="25">
                  <c:v>9.92217898832684</c:v>
                </c:pt>
                <c:pt idx="26">
                  <c:v>10.3112840466926</c:v>
                </c:pt>
                <c:pt idx="27">
                  <c:v>10.7003891050583</c:v>
                </c:pt>
                <c:pt idx="28">
                  <c:v>11.0894941634241</c:v>
                </c:pt>
                <c:pt idx="29">
                  <c:v>11.4785992217898</c:v>
                </c:pt>
                <c:pt idx="30">
                  <c:v>11.8677042801556</c:v>
                </c:pt>
                <c:pt idx="31">
                  <c:v>12.2568093385214</c:v>
                </c:pt>
                <c:pt idx="32">
                  <c:v>12.6459143968871</c:v>
                </c:pt>
                <c:pt idx="33">
                  <c:v>13.0350194552529</c:v>
                </c:pt>
                <c:pt idx="34">
                  <c:v>13.4241245136186</c:v>
                </c:pt>
                <c:pt idx="35">
                  <c:v>13.8132295719844</c:v>
                </c:pt>
                <c:pt idx="36">
                  <c:v>14.2023346303501</c:v>
                </c:pt>
                <c:pt idx="37">
                  <c:v>14.5914396887159</c:v>
                </c:pt>
                <c:pt idx="38">
                  <c:v>14.9805447470817</c:v>
                </c:pt>
                <c:pt idx="39">
                  <c:v>15.3696498054474</c:v>
                </c:pt>
                <c:pt idx="40">
                  <c:v>15.7587548638132</c:v>
                </c:pt>
                <c:pt idx="41">
                  <c:v>16.1478599221789</c:v>
                </c:pt>
                <c:pt idx="42">
                  <c:v>16.5369649805447</c:v>
                </c:pt>
                <c:pt idx="43">
                  <c:v>16.9260700389105</c:v>
                </c:pt>
                <c:pt idx="44">
                  <c:v>17.3151750972762</c:v>
                </c:pt>
                <c:pt idx="45">
                  <c:v>17.704280155642</c:v>
                </c:pt>
                <c:pt idx="46">
                  <c:v>18.0933852140077</c:v>
                </c:pt>
                <c:pt idx="47">
                  <c:v>18.4824902723735</c:v>
                </c:pt>
                <c:pt idx="48">
                  <c:v>18.8715953307393</c:v>
                </c:pt>
                <c:pt idx="49">
                  <c:v>19.260700389105</c:v>
                </c:pt>
                <c:pt idx="50">
                  <c:v>19.6498054474708</c:v>
                </c:pt>
                <c:pt idx="51">
                  <c:v>20.0389105058365</c:v>
                </c:pt>
                <c:pt idx="52">
                  <c:v>20.4280155642023</c:v>
                </c:pt>
                <c:pt idx="53">
                  <c:v>20.817120622568</c:v>
                </c:pt>
                <c:pt idx="54">
                  <c:v>21.2062256809338</c:v>
                </c:pt>
                <c:pt idx="55">
                  <c:v>21.5953307392996</c:v>
                </c:pt>
                <c:pt idx="56">
                  <c:v>21.9844357976653</c:v>
                </c:pt>
                <c:pt idx="57">
                  <c:v>22.3735408560311</c:v>
                </c:pt>
                <c:pt idx="58">
                  <c:v>22.7626459143968</c:v>
                </c:pt>
                <c:pt idx="59">
                  <c:v>23.1517509727626</c:v>
                </c:pt>
                <c:pt idx="60">
                  <c:v>23.5408560311284</c:v>
                </c:pt>
                <c:pt idx="61">
                  <c:v>23.9299610894941</c:v>
                </c:pt>
                <c:pt idx="62">
                  <c:v>24.3190661478599</c:v>
                </c:pt>
                <c:pt idx="63">
                  <c:v>24.7081712062256</c:v>
                </c:pt>
                <c:pt idx="64">
                  <c:v>25.0972762645914</c:v>
                </c:pt>
                <c:pt idx="65">
                  <c:v>25.4863813229571</c:v>
                </c:pt>
                <c:pt idx="66">
                  <c:v>25.8754863813229</c:v>
                </c:pt>
                <c:pt idx="67">
                  <c:v>26.2645914396887</c:v>
                </c:pt>
                <c:pt idx="68">
                  <c:v>26.6536964980544</c:v>
                </c:pt>
                <c:pt idx="69">
                  <c:v>27.0428015564202</c:v>
                </c:pt>
                <c:pt idx="70">
                  <c:v>27.4319066147859</c:v>
                </c:pt>
                <c:pt idx="71">
                  <c:v>27.8210116731517</c:v>
                </c:pt>
                <c:pt idx="72">
                  <c:v>28.2101167315175</c:v>
                </c:pt>
                <c:pt idx="73">
                  <c:v>28.5992217898832</c:v>
                </c:pt>
                <c:pt idx="74">
                  <c:v>28.988326848249</c:v>
                </c:pt>
                <c:pt idx="75">
                  <c:v>29.3774319066147</c:v>
                </c:pt>
                <c:pt idx="76">
                  <c:v>29.7665369649805</c:v>
                </c:pt>
                <c:pt idx="77">
                  <c:v>30.1556420233463</c:v>
                </c:pt>
                <c:pt idx="78">
                  <c:v>30.544747081712</c:v>
                </c:pt>
                <c:pt idx="79">
                  <c:v>30.9338521400778</c:v>
                </c:pt>
                <c:pt idx="80">
                  <c:v>31.3229571984435</c:v>
                </c:pt>
                <c:pt idx="81">
                  <c:v>31.7120622568093</c:v>
                </c:pt>
                <c:pt idx="82">
                  <c:v>32.1011673151751</c:v>
                </c:pt>
                <c:pt idx="83">
                  <c:v>32.4902723735408</c:v>
                </c:pt>
                <c:pt idx="84">
                  <c:v>32.8793774319066</c:v>
                </c:pt>
                <c:pt idx="85">
                  <c:v>33.2684824902723</c:v>
                </c:pt>
                <c:pt idx="86">
                  <c:v>33.6575875486381</c:v>
                </c:pt>
                <c:pt idx="87">
                  <c:v>34.0466926070038</c:v>
                </c:pt>
                <c:pt idx="88">
                  <c:v>34.4357976653696</c:v>
                </c:pt>
                <c:pt idx="89">
                  <c:v>34.8249027237354</c:v>
                </c:pt>
                <c:pt idx="90">
                  <c:v>35.2140077821011</c:v>
                </c:pt>
                <c:pt idx="91">
                  <c:v>35.6031128404669</c:v>
                </c:pt>
                <c:pt idx="92">
                  <c:v>35.9922178988326</c:v>
                </c:pt>
                <c:pt idx="93">
                  <c:v>36.3813229571984</c:v>
                </c:pt>
                <c:pt idx="94">
                  <c:v>36.7704280155642</c:v>
                </c:pt>
                <c:pt idx="95">
                  <c:v>37.1595330739299</c:v>
                </c:pt>
                <c:pt idx="96">
                  <c:v>37.5486381322957</c:v>
                </c:pt>
                <c:pt idx="97">
                  <c:v>37.9377431906614</c:v>
                </c:pt>
                <c:pt idx="98">
                  <c:v>38.3268482490272</c:v>
                </c:pt>
                <c:pt idx="99">
                  <c:v>38.7159533073929</c:v>
                </c:pt>
                <c:pt idx="100">
                  <c:v>39.1050583657587</c:v>
                </c:pt>
                <c:pt idx="101">
                  <c:v>39.4941634241245</c:v>
                </c:pt>
                <c:pt idx="102">
                  <c:v>39.8832684824902</c:v>
                </c:pt>
                <c:pt idx="103">
                  <c:v>40.272373540856</c:v>
                </c:pt>
                <c:pt idx="104">
                  <c:v>40.6614785992217</c:v>
                </c:pt>
                <c:pt idx="105">
                  <c:v>41.0505836575875</c:v>
                </c:pt>
                <c:pt idx="106">
                  <c:v>41.4396887159533</c:v>
                </c:pt>
                <c:pt idx="107">
                  <c:v>41.828793774319</c:v>
                </c:pt>
                <c:pt idx="108">
                  <c:v>42.2178988326848</c:v>
                </c:pt>
                <c:pt idx="109">
                  <c:v>42.6070038910505</c:v>
                </c:pt>
                <c:pt idx="110">
                  <c:v>42.9961089494163</c:v>
                </c:pt>
                <c:pt idx="111">
                  <c:v>43.3852140077821</c:v>
                </c:pt>
                <c:pt idx="112">
                  <c:v>43.7743190661478</c:v>
                </c:pt>
                <c:pt idx="113">
                  <c:v>44.1634241245136</c:v>
                </c:pt>
                <c:pt idx="114">
                  <c:v>44.5525291828793</c:v>
                </c:pt>
                <c:pt idx="115">
                  <c:v>44.9416342412451</c:v>
                </c:pt>
                <c:pt idx="116">
                  <c:v>45.3307392996109</c:v>
                </c:pt>
                <c:pt idx="117">
                  <c:v>45.7198443579766</c:v>
                </c:pt>
                <c:pt idx="118">
                  <c:v>46.1089494163424</c:v>
                </c:pt>
                <c:pt idx="119">
                  <c:v>46.4980544747081</c:v>
                </c:pt>
                <c:pt idx="120">
                  <c:v>46.8871595330739</c:v>
                </c:pt>
                <c:pt idx="121">
                  <c:v>47.2762645914396</c:v>
                </c:pt>
                <c:pt idx="122">
                  <c:v>47.6653696498054</c:v>
                </c:pt>
                <c:pt idx="123">
                  <c:v>48.0544747081712</c:v>
                </c:pt>
                <c:pt idx="124">
                  <c:v>48.4435797665369</c:v>
                </c:pt>
                <c:pt idx="125">
                  <c:v>48.8326848249027</c:v>
                </c:pt>
                <c:pt idx="126">
                  <c:v>49.2217898832684</c:v>
                </c:pt>
                <c:pt idx="127">
                  <c:v>49.6108949416342</c:v>
                </c:pt>
                <c:pt idx="128">
                  <c:v>50</c:v>
                </c:pt>
                <c:pt idx="129">
                  <c:v>50.3891050583657</c:v>
                </c:pt>
                <c:pt idx="130">
                  <c:v>50.7782101167315</c:v>
                </c:pt>
                <c:pt idx="131">
                  <c:v>51.1673151750972</c:v>
                </c:pt>
                <c:pt idx="132">
                  <c:v>51.556420233463</c:v>
                </c:pt>
                <c:pt idx="133">
                  <c:v>51.9455252918287</c:v>
                </c:pt>
                <c:pt idx="134">
                  <c:v>52.3346303501945</c:v>
                </c:pt>
                <c:pt idx="135">
                  <c:v>52.7237354085603</c:v>
                </c:pt>
                <c:pt idx="136">
                  <c:v>53.112840466926</c:v>
                </c:pt>
                <c:pt idx="137">
                  <c:v>53.5019455252918</c:v>
                </c:pt>
                <c:pt idx="138">
                  <c:v>53.8910505836575</c:v>
                </c:pt>
                <c:pt idx="139">
                  <c:v>54.2801556420233</c:v>
                </c:pt>
                <c:pt idx="140">
                  <c:v>54.6692607003891</c:v>
                </c:pt>
                <c:pt idx="141">
                  <c:v>55.0583657587548</c:v>
                </c:pt>
                <c:pt idx="142">
                  <c:v>55.4474708171206</c:v>
                </c:pt>
                <c:pt idx="143">
                  <c:v>55.8365758754863</c:v>
                </c:pt>
                <c:pt idx="144">
                  <c:v>56.2256809338521</c:v>
                </c:pt>
                <c:pt idx="145">
                  <c:v>56.6147859922179</c:v>
                </c:pt>
                <c:pt idx="146">
                  <c:v>57.0038910505836</c:v>
                </c:pt>
                <c:pt idx="147">
                  <c:v>57.3929961089494</c:v>
                </c:pt>
                <c:pt idx="148">
                  <c:v>57.7821011673151</c:v>
                </c:pt>
                <c:pt idx="149">
                  <c:v>58.1712062256809</c:v>
                </c:pt>
                <c:pt idx="150">
                  <c:v>58.5603112840466</c:v>
                </c:pt>
                <c:pt idx="151">
                  <c:v>58.9494163424124</c:v>
                </c:pt>
                <c:pt idx="152">
                  <c:v>59.3385214007782</c:v>
                </c:pt>
                <c:pt idx="153">
                  <c:v>59.7276264591439</c:v>
                </c:pt>
                <c:pt idx="154">
                  <c:v>60.1167315175097</c:v>
                </c:pt>
                <c:pt idx="155">
                  <c:v>60.5058365758754</c:v>
                </c:pt>
                <c:pt idx="156">
                  <c:v>60.8949416342412</c:v>
                </c:pt>
                <c:pt idx="157">
                  <c:v>61.284046692607</c:v>
                </c:pt>
                <c:pt idx="158">
                  <c:v>61.6731517509727</c:v>
                </c:pt>
                <c:pt idx="159">
                  <c:v>62.0622568093385</c:v>
                </c:pt>
                <c:pt idx="160">
                  <c:v>62.4513618677042</c:v>
                </c:pt>
                <c:pt idx="161">
                  <c:v>62.84046692607</c:v>
                </c:pt>
                <c:pt idx="162">
                  <c:v>63.2295719844358</c:v>
                </c:pt>
                <c:pt idx="163">
                  <c:v>63.6186770428015</c:v>
                </c:pt>
                <c:pt idx="164">
                  <c:v>64.0077821011673</c:v>
                </c:pt>
                <c:pt idx="165">
                  <c:v>64.396887159533</c:v>
                </c:pt>
                <c:pt idx="166">
                  <c:v>64.7859922178988</c:v>
                </c:pt>
                <c:pt idx="167">
                  <c:v>65.1750972762646</c:v>
                </c:pt>
                <c:pt idx="168">
                  <c:v>65.5642023346303</c:v>
                </c:pt>
                <c:pt idx="169">
                  <c:v>65.9533073929961</c:v>
                </c:pt>
                <c:pt idx="170">
                  <c:v>66.3424124513618</c:v>
                </c:pt>
                <c:pt idx="171">
                  <c:v>66.7315175097276</c:v>
                </c:pt>
                <c:pt idx="172">
                  <c:v>67.1206225680934</c:v>
                </c:pt>
                <c:pt idx="173">
                  <c:v>67.5097276264591</c:v>
                </c:pt>
                <c:pt idx="174">
                  <c:v>67.8988326848249</c:v>
                </c:pt>
                <c:pt idx="175">
                  <c:v>68.2879377431906</c:v>
                </c:pt>
                <c:pt idx="176">
                  <c:v>68.6770428015564</c:v>
                </c:pt>
                <c:pt idx="177">
                  <c:v>69.0661478599221</c:v>
                </c:pt>
                <c:pt idx="178">
                  <c:v>69.4552529182879</c:v>
                </c:pt>
                <c:pt idx="179">
                  <c:v>69.8443579766537</c:v>
                </c:pt>
                <c:pt idx="180">
                  <c:v>70.2334630350194</c:v>
                </c:pt>
                <c:pt idx="181">
                  <c:v>70.6225680933852</c:v>
                </c:pt>
                <c:pt idx="182">
                  <c:v>71.0116731517509</c:v>
                </c:pt>
                <c:pt idx="183">
                  <c:v>71.4007782101167</c:v>
                </c:pt>
                <c:pt idx="184">
                  <c:v>71.7898832684825</c:v>
                </c:pt>
                <c:pt idx="185">
                  <c:v>72.1789883268482</c:v>
                </c:pt>
                <c:pt idx="186">
                  <c:v>72.568093385214</c:v>
                </c:pt>
                <c:pt idx="187">
                  <c:v>72.9571984435797</c:v>
                </c:pt>
                <c:pt idx="188">
                  <c:v>73.3463035019455</c:v>
                </c:pt>
                <c:pt idx="189">
                  <c:v>73.7354085603112</c:v>
                </c:pt>
                <c:pt idx="190">
                  <c:v>74.124513618677</c:v>
                </c:pt>
                <c:pt idx="191">
                  <c:v>74.5136186770428</c:v>
                </c:pt>
                <c:pt idx="192">
                  <c:v>74.9027237354085</c:v>
                </c:pt>
                <c:pt idx="193">
                  <c:v>75.2918287937743</c:v>
                </c:pt>
                <c:pt idx="194">
                  <c:v>75.68093385214</c:v>
                </c:pt>
                <c:pt idx="195">
                  <c:v>76.0700389105058</c:v>
                </c:pt>
                <c:pt idx="196">
                  <c:v>76.4591439688716</c:v>
                </c:pt>
                <c:pt idx="197">
                  <c:v>76.8482490272373</c:v>
                </c:pt>
                <c:pt idx="198">
                  <c:v>77.2373540856031</c:v>
                </c:pt>
                <c:pt idx="199">
                  <c:v>77.6264591439688</c:v>
                </c:pt>
                <c:pt idx="200">
                  <c:v>78.0155642023346</c:v>
                </c:pt>
                <c:pt idx="201">
                  <c:v>78.4046692607004</c:v>
                </c:pt>
                <c:pt idx="202">
                  <c:v>78.7937743190661</c:v>
                </c:pt>
                <c:pt idx="203">
                  <c:v>79.1828793774319</c:v>
                </c:pt>
                <c:pt idx="204">
                  <c:v>79.5719844357976</c:v>
                </c:pt>
                <c:pt idx="205">
                  <c:v>79.9610894941634</c:v>
                </c:pt>
                <c:pt idx="206">
                  <c:v>80.3501945525291</c:v>
                </c:pt>
                <c:pt idx="207">
                  <c:v>80.7392996108949</c:v>
                </c:pt>
                <c:pt idx="208">
                  <c:v>81.1284046692607</c:v>
                </c:pt>
                <c:pt idx="209">
                  <c:v>81.5175097276264</c:v>
                </c:pt>
                <c:pt idx="210">
                  <c:v>81.9066147859922</c:v>
                </c:pt>
                <c:pt idx="211">
                  <c:v>82.2957198443579</c:v>
                </c:pt>
                <c:pt idx="212">
                  <c:v>82.6848249027237</c:v>
                </c:pt>
                <c:pt idx="213">
                  <c:v>83.0739299610895</c:v>
                </c:pt>
                <c:pt idx="214">
                  <c:v>83.4630350194552</c:v>
                </c:pt>
                <c:pt idx="215">
                  <c:v>83.852140077821</c:v>
                </c:pt>
                <c:pt idx="216">
                  <c:v>84.2412451361867</c:v>
                </c:pt>
                <c:pt idx="217">
                  <c:v>84.6303501945525</c:v>
                </c:pt>
                <c:pt idx="218">
                  <c:v>85.0194552529182</c:v>
                </c:pt>
                <c:pt idx="219">
                  <c:v>85.408560311284</c:v>
                </c:pt>
                <c:pt idx="220">
                  <c:v>85.7976653696498</c:v>
                </c:pt>
                <c:pt idx="221">
                  <c:v>86.1867704280155</c:v>
                </c:pt>
                <c:pt idx="222">
                  <c:v>86.5758754863813</c:v>
                </c:pt>
                <c:pt idx="223">
                  <c:v>86.964980544747</c:v>
                </c:pt>
                <c:pt idx="224">
                  <c:v>87.3540856031128</c:v>
                </c:pt>
                <c:pt idx="225">
                  <c:v>87.7431906614786</c:v>
                </c:pt>
                <c:pt idx="226">
                  <c:v>88.1322957198443</c:v>
                </c:pt>
                <c:pt idx="227">
                  <c:v>88.5214007782101</c:v>
                </c:pt>
                <c:pt idx="228">
                  <c:v>88.9105058365758</c:v>
                </c:pt>
                <c:pt idx="229">
                  <c:v>89.2996108949416</c:v>
                </c:pt>
                <c:pt idx="230">
                  <c:v>89.6887159533074</c:v>
                </c:pt>
                <c:pt idx="231">
                  <c:v>90.0778210116731</c:v>
                </c:pt>
                <c:pt idx="232">
                  <c:v>90.4669260700389</c:v>
                </c:pt>
                <c:pt idx="233">
                  <c:v>90.8560311284046</c:v>
                </c:pt>
                <c:pt idx="234">
                  <c:v>91.2451361867704</c:v>
                </c:pt>
                <c:pt idx="235">
                  <c:v>91.6342412451362</c:v>
                </c:pt>
                <c:pt idx="236">
                  <c:v>92.0233463035019</c:v>
                </c:pt>
                <c:pt idx="237">
                  <c:v>92.4124513618677</c:v>
                </c:pt>
                <c:pt idx="238">
                  <c:v>92.8015564202334</c:v>
                </c:pt>
                <c:pt idx="239">
                  <c:v>93.1906614785992</c:v>
                </c:pt>
                <c:pt idx="240">
                  <c:v>93.5797665369649</c:v>
                </c:pt>
                <c:pt idx="241">
                  <c:v>93.9688715953307</c:v>
                </c:pt>
                <c:pt idx="242">
                  <c:v>94.3579766536965</c:v>
                </c:pt>
                <c:pt idx="243">
                  <c:v>94.7470817120622</c:v>
                </c:pt>
                <c:pt idx="244">
                  <c:v>95.136186770428</c:v>
                </c:pt>
                <c:pt idx="245">
                  <c:v>95.5252918287937</c:v>
                </c:pt>
                <c:pt idx="246">
                  <c:v>95.9143968871595</c:v>
                </c:pt>
                <c:pt idx="247">
                  <c:v>96.3035019455253</c:v>
                </c:pt>
                <c:pt idx="248">
                  <c:v>96.692607003891</c:v>
                </c:pt>
                <c:pt idx="249">
                  <c:v>97.0817120622568</c:v>
                </c:pt>
                <c:pt idx="250">
                  <c:v>97.4708171206225</c:v>
                </c:pt>
                <c:pt idx="251">
                  <c:v>97.8599221789883</c:v>
                </c:pt>
                <c:pt idx="252">
                  <c:v>98.2490272373541</c:v>
                </c:pt>
              </c:numCache>
            </c:numRef>
          </c:xVal>
          <c:yVal>
            <c:numRef>
              <c:f>'Part 3'!$AF$29:$AF$281</c:f>
              <c:numCache>
                <c:formatCode>General</c:formatCode>
                <c:ptCount val="253"/>
                <c:pt idx="0">
                  <c:v>102.520172</c:v>
                </c:pt>
                <c:pt idx="1">
                  <c:v>111.048721</c:v>
                </c:pt>
                <c:pt idx="2">
                  <c:v>117.425385</c:v>
                </c:pt>
                <c:pt idx="3">
                  <c:v>117.968285</c:v>
                </c:pt>
                <c:pt idx="4">
                  <c:v>118.067001</c:v>
                </c:pt>
                <c:pt idx="5">
                  <c:v>121.383652</c:v>
                </c:pt>
                <c:pt idx="6">
                  <c:v>124.70488</c:v>
                </c:pt>
                <c:pt idx="7">
                  <c:v>125.805862</c:v>
                </c:pt>
                <c:pt idx="8">
                  <c:v>125.944046</c:v>
                </c:pt>
                <c:pt idx="9">
                  <c:v>126.335655</c:v>
                </c:pt>
                <c:pt idx="10">
                  <c:v>127.977478</c:v>
                </c:pt>
                <c:pt idx="11">
                  <c:v>128.036713</c:v>
                </c:pt>
                <c:pt idx="12">
                  <c:v>129.576599</c:v>
                </c:pt>
                <c:pt idx="13">
                  <c:v>130.050385</c:v>
                </c:pt>
                <c:pt idx="14">
                  <c:v>130.099747</c:v>
                </c:pt>
                <c:pt idx="15">
                  <c:v>130.297165</c:v>
                </c:pt>
                <c:pt idx="16">
                  <c:v>130.62291</c:v>
                </c:pt>
                <c:pt idx="17">
                  <c:v>131.076965</c:v>
                </c:pt>
                <c:pt idx="18">
                  <c:v>131.09671</c:v>
                </c:pt>
                <c:pt idx="19">
                  <c:v>131.208099</c:v>
                </c:pt>
                <c:pt idx="20">
                  <c:v>131.313873</c:v>
                </c:pt>
                <c:pt idx="21">
                  <c:v>131.323746</c:v>
                </c:pt>
                <c:pt idx="22">
                  <c:v>132.064072</c:v>
                </c:pt>
                <c:pt idx="23">
                  <c:v>132.271362</c:v>
                </c:pt>
                <c:pt idx="24">
                  <c:v>132.54776</c:v>
                </c:pt>
                <c:pt idx="25">
                  <c:v>132.942581</c:v>
                </c:pt>
                <c:pt idx="26">
                  <c:v>133.100525</c:v>
                </c:pt>
                <c:pt idx="27">
                  <c:v>133.110397</c:v>
                </c:pt>
                <c:pt idx="28">
                  <c:v>133.130142</c:v>
                </c:pt>
                <c:pt idx="29">
                  <c:v>133.455887</c:v>
                </c:pt>
                <c:pt idx="30">
                  <c:v>133.495361</c:v>
                </c:pt>
                <c:pt idx="31">
                  <c:v>133.524979</c:v>
                </c:pt>
                <c:pt idx="32">
                  <c:v>133.771759</c:v>
                </c:pt>
                <c:pt idx="33">
                  <c:v>133.949432</c:v>
                </c:pt>
                <c:pt idx="34">
                  <c:v>135.143829</c:v>
                </c:pt>
                <c:pt idx="35">
                  <c:v>135.265167</c:v>
                </c:pt>
                <c:pt idx="36">
                  <c:v>135.275101</c:v>
                </c:pt>
                <c:pt idx="37">
                  <c:v>135.479431</c:v>
                </c:pt>
                <c:pt idx="38">
                  <c:v>135.627487</c:v>
                </c:pt>
                <c:pt idx="39">
                  <c:v>136.160538</c:v>
                </c:pt>
                <c:pt idx="40">
                  <c:v>136.535645</c:v>
                </c:pt>
                <c:pt idx="41">
                  <c:v>136.915833</c:v>
                </c:pt>
                <c:pt idx="42">
                  <c:v>137.432907</c:v>
                </c:pt>
                <c:pt idx="43">
                  <c:v>137.453644</c:v>
                </c:pt>
                <c:pt idx="44">
                  <c:v>137.572128</c:v>
                </c:pt>
                <c:pt idx="45">
                  <c:v>138.075516</c:v>
                </c:pt>
                <c:pt idx="46">
                  <c:v>138.397446</c:v>
                </c:pt>
                <c:pt idx="47">
                  <c:v>138.776337</c:v>
                </c:pt>
                <c:pt idx="48">
                  <c:v>140.069443</c:v>
                </c:pt>
                <c:pt idx="49">
                  <c:v>140.575134</c:v>
                </c:pt>
                <c:pt idx="50">
                  <c:v>140.91835</c:v>
                </c:pt>
                <c:pt idx="51">
                  <c:v>141.579712</c:v>
                </c:pt>
                <c:pt idx="52">
                  <c:v>141.649063</c:v>
                </c:pt>
                <c:pt idx="53">
                  <c:v>141.659012</c:v>
                </c:pt>
                <c:pt idx="54">
                  <c:v>142.434631</c:v>
                </c:pt>
                <c:pt idx="55">
                  <c:v>142.633499</c:v>
                </c:pt>
                <c:pt idx="56">
                  <c:v>142.683228</c:v>
                </c:pt>
                <c:pt idx="57">
                  <c:v>143.299728</c:v>
                </c:pt>
                <c:pt idx="58">
                  <c:v>143.697479</c:v>
                </c:pt>
                <c:pt idx="59">
                  <c:v>143.777023</c:v>
                </c:pt>
                <c:pt idx="60">
                  <c:v>144.045517</c:v>
                </c:pt>
                <c:pt idx="61">
                  <c:v>144.125061</c:v>
                </c:pt>
                <c:pt idx="62">
                  <c:v>144.125061</c:v>
                </c:pt>
                <c:pt idx="63">
                  <c:v>144.154892</c:v>
                </c:pt>
                <c:pt idx="64">
                  <c:v>144.20462</c:v>
                </c:pt>
                <c:pt idx="65">
                  <c:v>144.274506</c:v>
                </c:pt>
                <c:pt idx="66">
                  <c:v>144.552643</c:v>
                </c:pt>
                <c:pt idx="67">
                  <c:v>144.771408</c:v>
                </c:pt>
                <c:pt idx="68">
                  <c:v>145.029953</c:v>
                </c:pt>
                <c:pt idx="69">
                  <c:v>145.358093</c:v>
                </c:pt>
                <c:pt idx="70">
                  <c:v>145.805573</c:v>
                </c:pt>
                <c:pt idx="71">
                  <c:v>146.392242</c:v>
                </c:pt>
                <c:pt idx="72">
                  <c:v>146.501633</c:v>
                </c:pt>
                <c:pt idx="73">
                  <c:v>146.730331</c:v>
                </c:pt>
                <c:pt idx="74">
                  <c:v>147.267303</c:v>
                </c:pt>
                <c:pt idx="75">
                  <c:v>147.396561</c:v>
                </c:pt>
                <c:pt idx="76">
                  <c:v>147.482574</c:v>
                </c:pt>
                <c:pt idx="77">
                  <c:v>147.505951</c:v>
                </c:pt>
                <c:pt idx="78">
                  <c:v>147.5159</c:v>
                </c:pt>
                <c:pt idx="79">
                  <c:v>147.694885</c:v>
                </c:pt>
                <c:pt idx="80">
                  <c:v>147.754532</c:v>
                </c:pt>
                <c:pt idx="81">
                  <c:v>148.271622</c:v>
                </c:pt>
                <c:pt idx="82">
                  <c:v>148.321335</c:v>
                </c:pt>
                <c:pt idx="83">
                  <c:v>148.530151</c:v>
                </c:pt>
                <c:pt idx="84">
                  <c:v>148.589813</c:v>
                </c:pt>
                <c:pt idx="85">
                  <c:v>149.912338</c:v>
                </c:pt>
                <c:pt idx="86">
                  <c:v>149.972015</c:v>
                </c:pt>
                <c:pt idx="87">
                  <c:v>150.888062</c:v>
                </c:pt>
                <c:pt idx="88">
                  <c:v>151.07576</c:v>
                </c:pt>
                <c:pt idx="89">
                  <c:v>151.155304</c:v>
                </c:pt>
                <c:pt idx="90">
                  <c:v>151.411224</c:v>
                </c:pt>
                <c:pt idx="91">
                  <c:v>151.722107</c:v>
                </c:pt>
                <c:pt idx="92">
                  <c:v>152.219299</c:v>
                </c:pt>
                <c:pt idx="93">
                  <c:v>152.487793</c:v>
                </c:pt>
                <c:pt idx="94">
                  <c:v>152.527557</c:v>
                </c:pt>
                <c:pt idx="95">
                  <c:v>152.865631</c:v>
                </c:pt>
                <c:pt idx="96">
                  <c:v>153.253448</c:v>
                </c:pt>
                <c:pt idx="97">
                  <c:v>153.710861</c:v>
                </c:pt>
                <c:pt idx="98">
                  <c:v>153.740692</c:v>
                </c:pt>
                <c:pt idx="99">
                  <c:v>153.889847</c:v>
                </c:pt>
                <c:pt idx="100">
                  <c:v>154.12851</c:v>
                </c:pt>
                <c:pt idx="101">
                  <c:v>154.237885</c:v>
                </c:pt>
                <c:pt idx="102">
                  <c:v>155.033386</c:v>
                </c:pt>
                <c:pt idx="103">
                  <c:v>156.169998</c:v>
                </c:pt>
                <c:pt idx="104">
                  <c:v>156.850006</c:v>
                </c:pt>
                <c:pt idx="105">
                  <c:v>157.211075</c:v>
                </c:pt>
                <c:pt idx="106">
                  <c:v>157.380005</c:v>
                </c:pt>
                <c:pt idx="107">
                  <c:v>157.49176</c:v>
                </c:pt>
                <c:pt idx="108">
                  <c:v>157.5</c:v>
                </c:pt>
                <c:pt idx="109">
                  <c:v>158.533585</c:v>
                </c:pt>
                <c:pt idx="110">
                  <c:v>158.759995</c:v>
                </c:pt>
                <c:pt idx="111">
                  <c:v>158.759995</c:v>
                </c:pt>
                <c:pt idx="112">
                  <c:v>158.789993</c:v>
                </c:pt>
                <c:pt idx="113">
                  <c:v>158.979996</c:v>
                </c:pt>
                <c:pt idx="114">
                  <c:v>159.169998</c:v>
                </c:pt>
                <c:pt idx="115">
                  <c:v>159.369995</c:v>
                </c:pt>
                <c:pt idx="116">
                  <c:v>159.378815</c:v>
                </c:pt>
                <c:pt idx="117">
                  <c:v>159.604156</c:v>
                </c:pt>
                <c:pt idx="118">
                  <c:v>159.801575</c:v>
                </c:pt>
                <c:pt idx="119">
                  <c:v>160.077957</c:v>
                </c:pt>
                <c:pt idx="120">
                  <c:v>160.279999</c:v>
                </c:pt>
                <c:pt idx="121">
                  <c:v>160.462677</c:v>
                </c:pt>
                <c:pt idx="122">
                  <c:v>161.160004</c:v>
                </c:pt>
                <c:pt idx="123">
                  <c:v>161.369995</c:v>
                </c:pt>
                <c:pt idx="124">
                  <c:v>161.490005</c:v>
                </c:pt>
                <c:pt idx="125">
                  <c:v>161.913971</c:v>
                </c:pt>
                <c:pt idx="126">
                  <c:v>162.003967</c:v>
                </c:pt>
                <c:pt idx="127">
                  <c:v>162.121277</c:v>
                </c:pt>
                <c:pt idx="128">
                  <c:v>162.679993</c:v>
                </c:pt>
                <c:pt idx="129">
                  <c:v>162.79248</c:v>
                </c:pt>
                <c:pt idx="130">
                  <c:v>163.679993</c:v>
                </c:pt>
                <c:pt idx="131">
                  <c:v>164.134918</c:v>
                </c:pt>
                <c:pt idx="132">
                  <c:v>164.270004</c:v>
                </c:pt>
                <c:pt idx="133">
                  <c:v>164.270004</c:v>
                </c:pt>
                <c:pt idx="134">
                  <c:v>164.509995</c:v>
                </c:pt>
                <c:pt idx="135">
                  <c:v>164.529999</c:v>
                </c:pt>
                <c:pt idx="136">
                  <c:v>164.600006</c:v>
                </c:pt>
                <c:pt idx="137">
                  <c:v>164.610001</c:v>
                </c:pt>
                <c:pt idx="138">
                  <c:v>164.639999</c:v>
                </c:pt>
                <c:pt idx="139">
                  <c:v>164.743652</c:v>
                </c:pt>
                <c:pt idx="140">
                  <c:v>164.949997</c:v>
                </c:pt>
                <c:pt idx="141">
                  <c:v>165.309998</c:v>
                </c:pt>
                <c:pt idx="142">
                  <c:v>165.550003</c:v>
                </c:pt>
                <c:pt idx="143">
                  <c:v>165.610001</c:v>
                </c:pt>
                <c:pt idx="144">
                  <c:v>165.75</c:v>
                </c:pt>
                <c:pt idx="145">
                  <c:v>165.990005</c:v>
                </c:pt>
                <c:pt idx="146">
                  <c:v>166.300003</c:v>
                </c:pt>
                <c:pt idx="147">
                  <c:v>166.449997</c:v>
                </c:pt>
                <c:pt idx="148">
                  <c:v>166.690002</c:v>
                </c:pt>
                <c:pt idx="149">
                  <c:v>166.75</c:v>
                </c:pt>
                <c:pt idx="150">
                  <c:v>166.889999</c:v>
                </c:pt>
                <c:pt idx="151">
                  <c:v>167.970001</c:v>
                </c:pt>
                <c:pt idx="152">
                  <c:v>168.199554</c:v>
                </c:pt>
                <c:pt idx="153">
                  <c:v>168.300003</c:v>
                </c:pt>
                <c:pt idx="154">
                  <c:v>168.380005</c:v>
                </c:pt>
                <c:pt idx="155">
                  <c:v>168.470001</c:v>
                </c:pt>
                <c:pt idx="156">
                  <c:v>168.699997</c:v>
                </c:pt>
                <c:pt idx="157">
                  <c:v>168.720001</c:v>
                </c:pt>
                <c:pt idx="158">
                  <c:v>168.981613</c:v>
                </c:pt>
                <c:pt idx="159">
                  <c:v>169.407135</c:v>
                </c:pt>
                <c:pt idx="160">
                  <c:v>170</c:v>
                </c:pt>
                <c:pt idx="161">
                  <c:v>170.055115</c:v>
                </c:pt>
                <c:pt idx="162">
                  <c:v>170.064926</c:v>
                </c:pt>
                <c:pt idx="163">
                  <c:v>170.169998</c:v>
                </c:pt>
                <c:pt idx="164">
                  <c:v>170.339996</c:v>
                </c:pt>
                <c:pt idx="165">
                  <c:v>170.379089</c:v>
                </c:pt>
                <c:pt idx="166">
                  <c:v>170.84053</c:v>
                </c:pt>
                <c:pt idx="167">
                  <c:v>170.86998</c:v>
                </c:pt>
                <c:pt idx="168">
                  <c:v>171.144913</c:v>
                </c:pt>
                <c:pt idx="169">
                  <c:v>171.311798</c:v>
                </c:pt>
                <c:pt idx="170">
                  <c:v>171.459061</c:v>
                </c:pt>
                <c:pt idx="171">
                  <c:v>171.550003</c:v>
                </c:pt>
                <c:pt idx="172">
                  <c:v>171.550003</c:v>
                </c:pt>
                <c:pt idx="173">
                  <c:v>171.589996</c:v>
                </c:pt>
                <c:pt idx="174">
                  <c:v>172.018692</c:v>
                </c:pt>
                <c:pt idx="175">
                  <c:v>172.077591</c:v>
                </c:pt>
                <c:pt idx="176">
                  <c:v>172.087387</c:v>
                </c:pt>
                <c:pt idx="177">
                  <c:v>172.264145</c:v>
                </c:pt>
                <c:pt idx="178">
                  <c:v>172.264145</c:v>
                </c:pt>
                <c:pt idx="179">
                  <c:v>172.470001</c:v>
                </c:pt>
                <c:pt idx="180">
                  <c:v>172.470306</c:v>
                </c:pt>
                <c:pt idx="181">
                  <c:v>172.610001</c:v>
                </c:pt>
                <c:pt idx="182">
                  <c:v>172.804092</c:v>
                </c:pt>
                <c:pt idx="183">
                  <c:v>172.869995</c:v>
                </c:pt>
                <c:pt idx="184">
                  <c:v>173.098648</c:v>
                </c:pt>
                <c:pt idx="185">
                  <c:v>173.137924</c:v>
                </c:pt>
                <c:pt idx="186">
                  <c:v>173.186996</c:v>
                </c:pt>
                <c:pt idx="187">
                  <c:v>173.196823</c:v>
                </c:pt>
                <c:pt idx="188">
                  <c:v>173.206619</c:v>
                </c:pt>
                <c:pt idx="189">
                  <c:v>173.216461</c:v>
                </c:pt>
                <c:pt idx="190">
                  <c:v>173.259995</c:v>
                </c:pt>
                <c:pt idx="191">
                  <c:v>173.265564</c:v>
                </c:pt>
                <c:pt idx="192">
                  <c:v>173.285187</c:v>
                </c:pt>
                <c:pt idx="193">
                  <c:v>173.294998</c:v>
                </c:pt>
                <c:pt idx="194">
                  <c:v>173.314636</c:v>
                </c:pt>
                <c:pt idx="195">
                  <c:v>173.470001</c:v>
                </c:pt>
                <c:pt idx="196">
                  <c:v>173.481537</c:v>
                </c:pt>
                <c:pt idx="197">
                  <c:v>173.569901</c:v>
                </c:pt>
                <c:pt idx="198">
                  <c:v>173.610001</c:v>
                </c:pt>
                <c:pt idx="199">
                  <c:v>173.658264</c:v>
                </c:pt>
                <c:pt idx="200">
                  <c:v>173.677887</c:v>
                </c:pt>
                <c:pt idx="201">
                  <c:v>173.72699</c:v>
                </c:pt>
                <c:pt idx="202">
                  <c:v>173.756439</c:v>
                </c:pt>
                <c:pt idx="203">
                  <c:v>173.776062</c:v>
                </c:pt>
                <c:pt idx="204">
                  <c:v>173.779999</c:v>
                </c:pt>
                <c:pt idx="205">
                  <c:v>173.903717</c:v>
                </c:pt>
                <c:pt idx="206">
                  <c:v>173.992081</c:v>
                </c:pt>
                <c:pt idx="207">
                  <c:v>174.158981</c:v>
                </c:pt>
                <c:pt idx="208">
                  <c:v>174.276794</c:v>
                </c:pt>
                <c:pt idx="209">
                  <c:v>174.374969</c:v>
                </c:pt>
                <c:pt idx="210">
                  <c:v>174.380005</c:v>
                </c:pt>
                <c:pt idx="211">
                  <c:v>174.522232</c:v>
                </c:pt>
                <c:pt idx="212">
                  <c:v>174.860001</c:v>
                </c:pt>
                <c:pt idx="213">
                  <c:v>175.09166</c:v>
                </c:pt>
                <c:pt idx="214">
                  <c:v>175.268387</c:v>
                </c:pt>
                <c:pt idx="215">
                  <c:v>175.297852</c:v>
                </c:pt>
                <c:pt idx="216">
                  <c:v>175.360001</c:v>
                </c:pt>
                <c:pt idx="217">
                  <c:v>175.425461</c:v>
                </c:pt>
                <c:pt idx="218">
                  <c:v>175.539993</c:v>
                </c:pt>
                <c:pt idx="219">
                  <c:v>175.602203</c:v>
                </c:pt>
                <c:pt idx="220">
                  <c:v>175.80838</c:v>
                </c:pt>
                <c:pt idx="221">
                  <c:v>175.886917</c:v>
                </c:pt>
                <c:pt idx="222">
                  <c:v>176.151993</c:v>
                </c:pt>
                <c:pt idx="223">
                  <c:v>176.151993</c:v>
                </c:pt>
                <c:pt idx="224">
                  <c:v>176.309097</c:v>
                </c:pt>
                <c:pt idx="225">
                  <c:v>176.377808</c:v>
                </c:pt>
                <c:pt idx="226">
                  <c:v>176.52507</c:v>
                </c:pt>
                <c:pt idx="227">
                  <c:v>176.603622</c:v>
                </c:pt>
                <c:pt idx="228">
                  <c:v>176.658142</c:v>
                </c:pt>
                <c:pt idx="229">
                  <c:v>176.770523</c:v>
                </c:pt>
                <c:pt idx="230">
                  <c:v>176.839249</c:v>
                </c:pt>
                <c:pt idx="231">
                  <c:v>176.839249</c:v>
                </c:pt>
                <c:pt idx="232">
                  <c:v>176.850006</c:v>
                </c:pt>
                <c:pt idx="233">
                  <c:v>177.029373</c:v>
                </c:pt>
                <c:pt idx="234">
                  <c:v>177.163223</c:v>
                </c:pt>
                <c:pt idx="235">
                  <c:v>177.408691</c:v>
                </c:pt>
                <c:pt idx="236">
                  <c:v>177.438126</c:v>
                </c:pt>
                <c:pt idx="237">
                  <c:v>177.49704</c:v>
                </c:pt>
                <c:pt idx="238">
                  <c:v>177.516693</c:v>
                </c:pt>
                <c:pt idx="239">
                  <c:v>177.565765</c:v>
                </c:pt>
                <c:pt idx="240">
                  <c:v>177.634491</c:v>
                </c:pt>
                <c:pt idx="241">
                  <c:v>177.752319</c:v>
                </c:pt>
                <c:pt idx="242">
                  <c:v>177.810913</c:v>
                </c:pt>
                <c:pt idx="243">
                  <c:v>177.879929</c:v>
                </c:pt>
                <c:pt idx="244">
                  <c:v>177.968292</c:v>
                </c:pt>
                <c:pt idx="245">
                  <c:v>178.43956</c:v>
                </c:pt>
                <c:pt idx="246">
                  <c:v>178.910004</c:v>
                </c:pt>
                <c:pt idx="247">
                  <c:v>178.940262</c:v>
                </c:pt>
                <c:pt idx="248">
                  <c:v>179.210007</c:v>
                </c:pt>
                <c:pt idx="249">
                  <c:v>179.892593</c:v>
                </c:pt>
                <c:pt idx="250">
                  <c:v>183.279999</c:v>
                </c:pt>
                <c:pt idx="251">
                  <c:v>184.270004</c:v>
                </c:pt>
                <c:pt idx="252">
                  <c:v>196.99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629703"/>
        <c:axId val="1929034247"/>
      </c:scatterChart>
      <c:valAx>
        <c:axId val="1687629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 Percentile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9034247"/>
        <c:crosses val="autoZero"/>
        <c:crossBetween val="midCat"/>
      </c:valAx>
      <c:valAx>
        <c:axId val="1929034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HON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7629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values vs Residuals plot of HON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'Part 3'!$AB$28</c:f>
              <c:strCache>
                <c:ptCount val="1"/>
                <c:pt idx="0">
                  <c:v>Residuals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'Part 3'!$AA$29:$AA$285</c:f>
              <c:numCache>
                <c:formatCode>General</c:formatCode>
                <c:ptCount val="257"/>
                <c:pt idx="0">
                  <c:v>159.899352184417</c:v>
                </c:pt>
                <c:pt idx="1">
                  <c:v>159.888347883213</c:v>
                </c:pt>
                <c:pt idx="2">
                  <c:v>159.87734358201</c:v>
                </c:pt>
                <c:pt idx="3">
                  <c:v>159.866339280806</c:v>
                </c:pt>
                <c:pt idx="4">
                  <c:v>159.855334979602</c:v>
                </c:pt>
                <c:pt idx="5">
                  <c:v>159.844330678399</c:v>
                </c:pt>
                <c:pt idx="6">
                  <c:v>159.833326377195</c:v>
                </c:pt>
                <c:pt idx="7">
                  <c:v>159.822322075991</c:v>
                </c:pt>
                <c:pt idx="8">
                  <c:v>159.811317774788</c:v>
                </c:pt>
                <c:pt idx="9">
                  <c:v>159.800313473584</c:v>
                </c:pt>
                <c:pt idx="10">
                  <c:v>159.789309172381</c:v>
                </c:pt>
                <c:pt idx="11">
                  <c:v>159.778304871177</c:v>
                </c:pt>
                <c:pt idx="12">
                  <c:v>159.767300569973</c:v>
                </c:pt>
                <c:pt idx="13">
                  <c:v>159.75629626877</c:v>
                </c:pt>
                <c:pt idx="14">
                  <c:v>159.745291967566</c:v>
                </c:pt>
                <c:pt idx="15">
                  <c:v>159.734287666362</c:v>
                </c:pt>
                <c:pt idx="16">
                  <c:v>159.723283365159</c:v>
                </c:pt>
                <c:pt idx="17">
                  <c:v>159.712279063955</c:v>
                </c:pt>
                <c:pt idx="18">
                  <c:v>159.701274762751</c:v>
                </c:pt>
                <c:pt idx="19">
                  <c:v>159.690270461548</c:v>
                </c:pt>
                <c:pt idx="20">
                  <c:v>159.679266160344</c:v>
                </c:pt>
                <c:pt idx="21">
                  <c:v>159.66826185914</c:v>
                </c:pt>
                <c:pt idx="22">
                  <c:v>159.657257557937</c:v>
                </c:pt>
                <c:pt idx="23">
                  <c:v>159.646253256733</c:v>
                </c:pt>
                <c:pt idx="24">
                  <c:v>159.635248955529</c:v>
                </c:pt>
                <c:pt idx="25">
                  <c:v>159.624244654326</c:v>
                </c:pt>
                <c:pt idx="26">
                  <c:v>159.613240353122</c:v>
                </c:pt>
                <c:pt idx="27">
                  <c:v>159.602236051918</c:v>
                </c:pt>
                <c:pt idx="28">
                  <c:v>159.591231750715</c:v>
                </c:pt>
                <c:pt idx="29">
                  <c:v>159.580227449511</c:v>
                </c:pt>
                <c:pt idx="30">
                  <c:v>159.569223148307</c:v>
                </c:pt>
                <c:pt idx="31">
                  <c:v>159.558218847104</c:v>
                </c:pt>
                <c:pt idx="32">
                  <c:v>159.5472145459</c:v>
                </c:pt>
                <c:pt idx="33">
                  <c:v>159.536210244697</c:v>
                </c:pt>
                <c:pt idx="34">
                  <c:v>159.525205943493</c:v>
                </c:pt>
                <c:pt idx="35">
                  <c:v>159.514201642289</c:v>
                </c:pt>
                <c:pt idx="36">
                  <c:v>159.503197341086</c:v>
                </c:pt>
                <c:pt idx="37">
                  <c:v>159.492193039882</c:v>
                </c:pt>
                <c:pt idx="38">
                  <c:v>159.481188738678</c:v>
                </c:pt>
                <c:pt idx="39">
                  <c:v>159.470184437475</c:v>
                </c:pt>
                <c:pt idx="40">
                  <c:v>159.459180136271</c:v>
                </c:pt>
                <c:pt idx="41">
                  <c:v>159.448175835067</c:v>
                </c:pt>
                <c:pt idx="42">
                  <c:v>159.437171533864</c:v>
                </c:pt>
                <c:pt idx="43">
                  <c:v>159.42616723266</c:v>
                </c:pt>
                <c:pt idx="44">
                  <c:v>159.415162931456</c:v>
                </c:pt>
                <c:pt idx="45">
                  <c:v>159.404158630253</c:v>
                </c:pt>
                <c:pt idx="46">
                  <c:v>159.393154329049</c:v>
                </c:pt>
                <c:pt idx="47">
                  <c:v>159.382150027845</c:v>
                </c:pt>
                <c:pt idx="48">
                  <c:v>159.371145726642</c:v>
                </c:pt>
                <c:pt idx="49">
                  <c:v>159.360141425438</c:v>
                </c:pt>
                <c:pt idx="50">
                  <c:v>159.349137124234</c:v>
                </c:pt>
                <c:pt idx="51">
                  <c:v>159.338132823031</c:v>
                </c:pt>
                <c:pt idx="52">
                  <c:v>159.327128521827</c:v>
                </c:pt>
                <c:pt idx="53">
                  <c:v>159.316124220623</c:v>
                </c:pt>
                <c:pt idx="54">
                  <c:v>159.30511991942</c:v>
                </c:pt>
                <c:pt idx="55">
                  <c:v>159.294115618216</c:v>
                </c:pt>
                <c:pt idx="56">
                  <c:v>159.283111317013</c:v>
                </c:pt>
                <c:pt idx="57">
                  <c:v>159.272107015809</c:v>
                </c:pt>
                <c:pt idx="58">
                  <c:v>159.261102714605</c:v>
                </c:pt>
                <c:pt idx="59">
                  <c:v>159.250098413402</c:v>
                </c:pt>
                <c:pt idx="60">
                  <c:v>159.239094112198</c:v>
                </c:pt>
                <c:pt idx="61">
                  <c:v>159.228089810994</c:v>
                </c:pt>
                <c:pt idx="62">
                  <c:v>159.217085509791</c:v>
                </c:pt>
                <c:pt idx="63">
                  <c:v>159.206081208587</c:v>
                </c:pt>
                <c:pt idx="64">
                  <c:v>159.195076907383</c:v>
                </c:pt>
                <c:pt idx="65">
                  <c:v>159.18407260618</c:v>
                </c:pt>
                <c:pt idx="66">
                  <c:v>159.173068304976</c:v>
                </c:pt>
                <c:pt idx="67">
                  <c:v>159.162064003772</c:v>
                </c:pt>
                <c:pt idx="68">
                  <c:v>159.151059702569</c:v>
                </c:pt>
                <c:pt idx="69">
                  <c:v>159.140055401365</c:v>
                </c:pt>
                <c:pt idx="70">
                  <c:v>159.129051100161</c:v>
                </c:pt>
                <c:pt idx="71">
                  <c:v>159.118046798958</c:v>
                </c:pt>
                <c:pt idx="72">
                  <c:v>159.107042497754</c:v>
                </c:pt>
                <c:pt idx="73">
                  <c:v>159.09603819655</c:v>
                </c:pt>
                <c:pt idx="74">
                  <c:v>159.085033895347</c:v>
                </c:pt>
                <c:pt idx="75">
                  <c:v>159.074029594143</c:v>
                </c:pt>
                <c:pt idx="76">
                  <c:v>159.06302529294</c:v>
                </c:pt>
                <c:pt idx="77">
                  <c:v>159.052020991736</c:v>
                </c:pt>
                <c:pt idx="78">
                  <c:v>159.041016690532</c:v>
                </c:pt>
                <c:pt idx="79">
                  <c:v>159.030012389329</c:v>
                </c:pt>
                <c:pt idx="80">
                  <c:v>159.019008088125</c:v>
                </c:pt>
                <c:pt idx="81">
                  <c:v>159.008003786921</c:v>
                </c:pt>
                <c:pt idx="82">
                  <c:v>158.996999485718</c:v>
                </c:pt>
                <c:pt idx="83">
                  <c:v>158.985995184514</c:v>
                </c:pt>
                <c:pt idx="84">
                  <c:v>158.97499088331</c:v>
                </c:pt>
                <c:pt idx="85">
                  <c:v>158.963986582107</c:v>
                </c:pt>
                <c:pt idx="86">
                  <c:v>158.952982280903</c:v>
                </c:pt>
                <c:pt idx="87">
                  <c:v>158.941977979699</c:v>
                </c:pt>
                <c:pt idx="88">
                  <c:v>158.930973678496</c:v>
                </c:pt>
                <c:pt idx="89">
                  <c:v>158.919969377292</c:v>
                </c:pt>
                <c:pt idx="90">
                  <c:v>158.908965076088</c:v>
                </c:pt>
                <c:pt idx="91">
                  <c:v>158.897960774885</c:v>
                </c:pt>
                <c:pt idx="92">
                  <c:v>158.886956473681</c:v>
                </c:pt>
                <c:pt idx="93">
                  <c:v>158.875952172477</c:v>
                </c:pt>
                <c:pt idx="94">
                  <c:v>158.864947871274</c:v>
                </c:pt>
                <c:pt idx="95">
                  <c:v>158.85394357007</c:v>
                </c:pt>
                <c:pt idx="96">
                  <c:v>158.842939268866</c:v>
                </c:pt>
                <c:pt idx="97">
                  <c:v>158.831934967663</c:v>
                </c:pt>
                <c:pt idx="98">
                  <c:v>158.820930666459</c:v>
                </c:pt>
                <c:pt idx="99">
                  <c:v>158.809926365256</c:v>
                </c:pt>
                <c:pt idx="100">
                  <c:v>158.798922064052</c:v>
                </c:pt>
                <c:pt idx="101">
                  <c:v>158.787917762848</c:v>
                </c:pt>
                <c:pt idx="102">
                  <c:v>158.776913461645</c:v>
                </c:pt>
                <c:pt idx="103">
                  <c:v>158.765909160441</c:v>
                </c:pt>
                <c:pt idx="104">
                  <c:v>158.754904859237</c:v>
                </c:pt>
                <c:pt idx="105">
                  <c:v>158.743900558034</c:v>
                </c:pt>
                <c:pt idx="106">
                  <c:v>158.73289625683</c:v>
                </c:pt>
                <c:pt idx="107">
                  <c:v>158.721891955626</c:v>
                </c:pt>
                <c:pt idx="108">
                  <c:v>158.710887654423</c:v>
                </c:pt>
                <c:pt idx="109">
                  <c:v>158.699883353219</c:v>
                </c:pt>
                <c:pt idx="110">
                  <c:v>158.688879052015</c:v>
                </c:pt>
                <c:pt idx="111">
                  <c:v>158.677874750812</c:v>
                </c:pt>
                <c:pt idx="112">
                  <c:v>158.666870449608</c:v>
                </c:pt>
                <c:pt idx="113">
                  <c:v>158.655866148404</c:v>
                </c:pt>
                <c:pt idx="114">
                  <c:v>158.644861847201</c:v>
                </c:pt>
                <c:pt idx="115">
                  <c:v>158.633857545997</c:v>
                </c:pt>
                <c:pt idx="116">
                  <c:v>158.622853244793</c:v>
                </c:pt>
                <c:pt idx="117">
                  <c:v>158.61184894359</c:v>
                </c:pt>
                <c:pt idx="118">
                  <c:v>158.600844642386</c:v>
                </c:pt>
                <c:pt idx="119">
                  <c:v>158.589840341183</c:v>
                </c:pt>
                <c:pt idx="120">
                  <c:v>158.578836039979</c:v>
                </c:pt>
                <c:pt idx="121">
                  <c:v>158.567831738775</c:v>
                </c:pt>
                <c:pt idx="122">
                  <c:v>158.556827437572</c:v>
                </c:pt>
                <c:pt idx="123">
                  <c:v>158.545823136368</c:v>
                </c:pt>
                <c:pt idx="124">
                  <c:v>158.534818835164</c:v>
                </c:pt>
                <c:pt idx="125">
                  <c:v>158.523814533961</c:v>
                </c:pt>
                <c:pt idx="126">
                  <c:v>158.512810232757</c:v>
                </c:pt>
                <c:pt idx="127">
                  <c:v>158.501805931553</c:v>
                </c:pt>
                <c:pt idx="128">
                  <c:v>158.49080163035</c:v>
                </c:pt>
                <c:pt idx="129">
                  <c:v>158.479797329146</c:v>
                </c:pt>
                <c:pt idx="130">
                  <c:v>158.468793027942</c:v>
                </c:pt>
                <c:pt idx="131">
                  <c:v>158.457788726739</c:v>
                </c:pt>
                <c:pt idx="132">
                  <c:v>158.446784425535</c:v>
                </c:pt>
                <c:pt idx="133">
                  <c:v>158.435780124331</c:v>
                </c:pt>
                <c:pt idx="134">
                  <c:v>158.424775823128</c:v>
                </c:pt>
                <c:pt idx="135">
                  <c:v>158.413771521924</c:v>
                </c:pt>
                <c:pt idx="136">
                  <c:v>158.40276722072</c:v>
                </c:pt>
                <c:pt idx="137">
                  <c:v>158.391762919517</c:v>
                </c:pt>
                <c:pt idx="138">
                  <c:v>158.380758618313</c:v>
                </c:pt>
                <c:pt idx="139">
                  <c:v>158.36975431711</c:v>
                </c:pt>
                <c:pt idx="140">
                  <c:v>158.358750015906</c:v>
                </c:pt>
                <c:pt idx="141">
                  <c:v>158.347745714702</c:v>
                </c:pt>
                <c:pt idx="142">
                  <c:v>158.336741413499</c:v>
                </c:pt>
                <c:pt idx="143">
                  <c:v>158.325737112295</c:v>
                </c:pt>
                <c:pt idx="144">
                  <c:v>158.314732811091</c:v>
                </c:pt>
                <c:pt idx="145">
                  <c:v>158.303728509888</c:v>
                </c:pt>
                <c:pt idx="146">
                  <c:v>158.292724208684</c:v>
                </c:pt>
                <c:pt idx="147">
                  <c:v>158.28171990748</c:v>
                </c:pt>
                <c:pt idx="148">
                  <c:v>158.270715606277</c:v>
                </c:pt>
                <c:pt idx="149">
                  <c:v>158.259711305073</c:v>
                </c:pt>
                <c:pt idx="150">
                  <c:v>158.248707003869</c:v>
                </c:pt>
                <c:pt idx="151">
                  <c:v>158.237702702666</c:v>
                </c:pt>
                <c:pt idx="152">
                  <c:v>158.226698401462</c:v>
                </c:pt>
                <c:pt idx="153">
                  <c:v>158.215694100258</c:v>
                </c:pt>
                <c:pt idx="154">
                  <c:v>158.204689799055</c:v>
                </c:pt>
                <c:pt idx="155">
                  <c:v>158.193685497851</c:v>
                </c:pt>
                <c:pt idx="156">
                  <c:v>158.182681196647</c:v>
                </c:pt>
                <c:pt idx="157">
                  <c:v>158.171676895444</c:v>
                </c:pt>
                <c:pt idx="158">
                  <c:v>158.16067259424</c:v>
                </c:pt>
                <c:pt idx="159">
                  <c:v>158.149668293036</c:v>
                </c:pt>
                <c:pt idx="160">
                  <c:v>158.138663991833</c:v>
                </c:pt>
                <c:pt idx="161">
                  <c:v>158.127659690629</c:v>
                </c:pt>
                <c:pt idx="162">
                  <c:v>158.116655389426</c:v>
                </c:pt>
                <c:pt idx="163">
                  <c:v>158.105651088222</c:v>
                </c:pt>
                <c:pt idx="164">
                  <c:v>158.094646787018</c:v>
                </c:pt>
                <c:pt idx="165">
                  <c:v>158.083642485815</c:v>
                </c:pt>
                <c:pt idx="166">
                  <c:v>158.072638184611</c:v>
                </c:pt>
                <c:pt idx="167">
                  <c:v>158.061633883407</c:v>
                </c:pt>
                <c:pt idx="168">
                  <c:v>158.050629582204</c:v>
                </c:pt>
                <c:pt idx="169">
                  <c:v>158.039625281</c:v>
                </c:pt>
                <c:pt idx="170">
                  <c:v>158.028620979796</c:v>
                </c:pt>
                <c:pt idx="171">
                  <c:v>158.017616678593</c:v>
                </c:pt>
                <c:pt idx="172">
                  <c:v>158.006612377389</c:v>
                </c:pt>
                <c:pt idx="173">
                  <c:v>157.995608076185</c:v>
                </c:pt>
                <c:pt idx="174">
                  <c:v>157.984603774982</c:v>
                </c:pt>
                <c:pt idx="175">
                  <c:v>157.973599473778</c:v>
                </c:pt>
                <c:pt idx="176">
                  <c:v>157.962595172574</c:v>
                </c:pt>
                <c:pt idx="177">
                  <c:v>157.951590871371</c:v>
                </c:pt>
                <c:pt idx="178">
                  <c:v>157.940586570167</c:v>
                </c:pt>
                <c:pt idx="179">
                  <c:v>157.929582268963</c:v>
                </c:pt>
                <c:pt idx="180">
                  <c:v>157.91857796776</c:v>
                </c:pt>
                <c:pt idx="181">
                  <c:v>157.907573666556</c:v>
                </c:pt>
                <c:pt idx="182">
                  <c:v>157.896569365353</c:v>
                </c:pt>
                <c:pt idx="183">
                  <c:v>157.885565064149</c:v>
                </c:pt>
                <c:pt idx="184">
                  <c:v>157.874560762945</c:v>
                </c:pt>
                <c:pt idx="185">
                  <c:v>157.863556461742</c:v>
                </c:pt>
                <c:pt idx="186">
                  <c:v>157.852552160538</c:v>
                </c:pt>
                <c:pt idx="187">
                  <c:v>157.841547859334</c:v>
                </c:pt>
                <c:pt idx="188">
                  <c:v>157.830543558131</c:v>
                </c:pt>
                <c:pt idx="189">
                  <c:v>157.819539256927</c:v>
                </c:pt>
                <c:pt idx="190">
                  <c:v>157.808534955723</c:v>
                </c:pt>
                <c:pt idx="191">
                  <c:v>157.79753065452</c:v>
                </c:pt>
                <c:pt idx="192">
                  <c:v>157.786526353316</c:v>
                </c:pt>
                <c:pt idx="193">
                  <c:v>157.775522052112</c:v>
                </c:pt>
                <c:pt idx="194">
                  <c:v>157.764517750909</c:v>
                </c:pt>
                <c:pt idx="195">
                  <c:v>157.753513449705</c:v>
                </c:pt>
                <c:pt idx="196">
                  <c:v>157.742509148501</c:v>
                </c:pt>
                <c:pt idx="197">
                  <c:v>157.731504847298</c:v>
                </c:pt>
                <c:pt idx="198">
                  <c:v>157.720500546094</c:v>
                </c:pt>
                <c:pt idx="199">
                  <c:v>157.70949624489</c:v>
                </c:pt>
                <c:pt idx="200">
                  <c:v>157.698491943687</c:v>
                </c:pt>
                <c:pt idx="201">
                  <c:v>157.687487642483</c:v>
                </c:pt>
                <c:pt idx="202">
                  <c:v>157.676483341279</c:v>
                </c:pt>
                <c:pt idx="203">
                  <c:v>157.665479040076</c:v>
                </c:pt>
                <c:pt idx="204">
                  <c:v>157.654474738872</c:v>
                </c:pt>
                <c:pt idx="205">
                  <c:v>157.643470437669</c:v>
                </c:pt>
                <c:pt idx="206">
                  <c:v>157.632466136465</c:v>
                </c:pt>
                <c:pt idx="207">
                  <c:v>157.621461835261</c:v>
                </c:pt>
                <c:pt idx="208">
                  <c:v>157.610457534058</c:v>
                </c:pt>
                <c:pt idx="209">
                  <c:v>157.599453232854</c:v>
                </c:pt>
                <c:pt idx="210">
                  <c:v>157.58844893165</c:v>
                </c:pt>
                <c:pt idx="211">
                  <c:v>157.577444630447</c:v>
                </c:pt>
                <c:pt idx="212">
                  <c:v>157.566440329243</c:v>
                </c:pt>
                <c:pt idx="213">
                  <c:v>157.555436028039</c:v>
                </c:pt>
                <c:pt idx="214">
                  <c:v>157.544431726836</c:v>
                </c:pt>
                <c:pt idx="215">
                  <c:v>157.533427425632</c:v>
                </c:pt>
                <c:pt idx="216">
                  <c:v>157.522423124428</c:v>
                </c:pt>
                <c:pt idx="217">
                  <c:v>157.511418823225</c:v>
                </c:pt>
                <c:pt idx="218">
                  <c:v>157.500414522021</c:v>
                </c:pt>
                <c:pt idx="219">
                  <c:v>157.489410220817</c:v>
                </c:pt>
                <c:pt idx="220">
                  <c:v>157.478405919614</c:v>
                </c:pt>
                <c:pt idx="221">
                  <c:v>157.46740161841</c:v>
                </c:pt>
                <c:pt idx="222">
                  <c:v>157.456397317206</c:v>
                </c:pt>
                <c:pt idx="223">
                  <c:v>157.445393016003</c:v>
                </c:pt>
                <c:pt idx="224">
                  <c:v>157.434388714799</c:v>
                </c:pt>
                <c:pt idx="225">
                  <c:v>157.423384413595</c:v>
                </c:pt>
                <c:pt idx="226">
                  <c:v>157.412380112392</c:v>
                </c:pt>
                <c:pt idx="227">
                  <c:v>157.401375811188</c:v>
                </c:pt>
                <c:pt idx="228">
                  <c:v>157.390371509985</c:v>
                </c:pt>
                <c:pt idx="229">
                  <c:v>157.379367208781</c:v>
                </c:pt>
                <c:pt idx="230">
                  <c:v>157.368362907577</c:v>
                </c:pt>
                <c:pt idx="231">
                  <c:v>157.357358606374</c:v>
                </c:pt>
                <c:pt idx="232">
                  <c:v>157.34635430517</c:v>
                </c:pt>
                <c:pt idx="233">
                  <c:v>157.335350003966</c:v>
                </c:pt>
                <c:pt idx="234">
                  <c:v>157.324345702763</c:v>
                </c:pt>
                <c:pt idx="235">
                  <c:v>157.313341401559</c:v>
                </c:pt>
                <c:pt idx="236">
                  <c:v>157.302337100355</c:v>
                </c:pt>
                <c:pt idx="237">
                  <c:v>157.291332799152</c:v>
                </c:pt>
                <c:pt idx="238">
                  <c:v>157.280328497948</c:v>
                </c:pt>
                <c:pt idx="239">
                  <c:v>157.269324196744</c:v>
                </c:pt>
                <c:pt idx="240">
                  <c:v>157.258319895541</c:v>
                </c:pt>
                <c:pt idx="241">
                  <c:v>157.247315594337</c:v>
                </c:pt>
                <c:pt idx="242">
                  <c:v>157.236311293133</c:v>
                </c:pt>
                <c:pt idx="243">
                  <c:v>157.22530699193</c:v>
                </c:pt>
                <c:pt idx="244">
                  <c:v>157.214302690726</c:v>
                </c:pt>
                <c:pt idx="245">
                  <c:v>157.203298389522</c:v>
                </c:pt>
                <c:pt idx="246">
                  <c:v>157.192294088319</c:v>
                </c:pt>
                <c:pt idx="247">
                  <c:v>157.181289787115</c:v>
                </c:pt>
                <c:pt idx="248">
                  <c:v>157.170285485912</c:v>
                </c:pt>
                <c:pt idx="249">
                  <c:v>157.159281184708</c:v>
                </c:pt>
                <c:pt idx="250">
                  <c:v>157.148276883504</c:v>
                </c:pt>
                <c:pt idx="251">
                  <c:v>157.137272582301</c:v>
                </c:pt>
                <c:pt idx="252" c:formatCode="0.00E+00">
                  <c:v>157.126268281097</c:v>
                </c:pt>
                <c:pt idx="253" c:formatCode="0.00E+00">
                  <c:v>157.115263979893</c:v>
                </c:pt>
                <c:pt idx="254" c:formatCode="0.00E+00">
                  <c:v>157.10425967869</c:v>
                </c:pt>
                <c:pt idx="255" c:formatCode="0.00E+00">
                  <c:v>157.093255377486</c:v>
                </c:pt>
                <c:pt idx="256" c:formatCode="0.00E+00">
                  <c:v>157.082251076282</c:v>
                </c:pt>
              </c:numCache>
            </c:numRef>
          </c:xVal>
          <c:yVal>
            <c:numRef>
              <c:f>'Part 3'!$AB$29:$AB$285</c:f>
              <c:numCache>
                <c:formatCode>General</c:formatCode>
                <c:ptCount val="257"/>
                <c:pt idx="0">
                  <c:v>17.1300208155824</c:v>
                </c:pt>
                <c:pt idx="1">
                  <c:v>16.7697941167861</c:v>
                </c:pt>
                <c:pt idx="2">
                  <c:v>17.9335694179898</c:v>
                </c:pt>
                <c:pt idx="3">
                  <c:v>17.8859797191934</c:v>
                </c:pt>
                <c:pt idx="4">
                  <c:v>16.522473020397</c:v>
                </c:pt>
                <c:pt idx="5">
                  <c:v>18.5952293216007</c:v>
                </c:pt>
                <c:pt idx="6">
                  <c:v>16.6917436228044</c:v>
                </c:pt>
                <c:pt idx="7">
                  <c:v>17.016926924008</c:v>
                </c:pt>
                <c:pt idx="8">
                  <c:v>14.1807632252117</c:v>
                </c:pt>
                <c:pt idx="9">
                  <c:v>13.5143225264153</c:v>
                </c:pt>
                <c:pt idx="10">
                  <c:v>13.7805918276189</c:v>
                </c:pt>
                <c:pt idx="11">
                  <c:v>13.5166931288226</c:v>
                </c:pt>
                <c:pt idx="12">
                  <c:v>15.5010864300263</c:v>
                </c:pt>
                <c:pt idx="13">
                  <c:v>16.3956967312299</c:v>
                </c:pt>
                <c:pt idx="14">
                  <c:v>15.5525600324336</c:v>
                </c:pt>
                <c:pt idx="15">
                  <c:v>11.4106253336372</c:v>
                </c:pt>
                <c:pt idx="16">
                  <c:v>9.68385163484092</c:v>
                </c:pt>
                <c:pt idx="17">
                  <c:v>10.3428359360445</c:v>
                </c:pt>
                <c:pt idx="18">
                  <c:v>11.1392552372482</c:v>
                </c:pt>
                <c:pt idx="19">
                  <c:v>12.5738745384518</c:v>
                </c:pt>
                <c:pt idx="20">
                  <c:v>11.6325318396555</c:v>
                </c:pt>
                <c:pt idx="21">
                  <c:v>11.2017181408591</c:v>
                </c:pt>
                <c:pt idx="22">
                  <c:v>13.1468344420628</c:v>
                </c:pt>
                <c:pt idx="23">
                  <c:v>14.5127277432664</c:v>
                </c:pt>
                <c:pt idx="24">
                  <c:v>14.1211900444701</c:v>
                </c:pt>
                <c:pt idx="25">
                  <c:v>13.5627513456737</c:v>
                </c:pt>
                <c:pt idx="26">
                  <c:v>13.8682966468774</c:v>
                </c:pt>
                <c:pt idx="27">
                  <c:v>11.856824948081</c:v>
                </c:pt>
                <c:pt idx="28">
                  <c:v>13.6939552492847</c:v>
                </c:pt>
                <c:pt idx="29">
                  <c:v>13.6165955504883</c:v>
                </c:pt>
                <c:pt idx="30">
                  <c:v>13.647237851692</c:v>
                </c:pt>
                <c:pt idx="31">
                  <c:v>13.5404291528956</c:v>
                </c:pt>
                <c:pt idx="32">
                  <c:v>14.1110494540993</c:v>
                </c:pt>
                <c:pt idx="33">
                  <c:v>13.729353755303</c:v>
                </c:pt>
                <c:pt idx="34">
                  <c:v>13.6814130565066</c:v>
                </c:pt>
                <c:pt idx="35">
                  <c:v>14.2618603577102</c:v>
                </c:pt>
                <c:pt idx="36">
                  <c:v>17.9938426589139</c:v>
                </c:pt>
                <c:pt idx="37">
                  <c:v>16.1100099601175</c:v>
                </c:pt>
                <c:pt idx="38">
                  <c:v>14.7956052613212</c:v>
                </c:pt>
                <c:pt idx="39">
                  <c:v>14.9047845625248</c:v>
                </c:pt>
                <c:pt idx="40">
                  <c:v>15.0630518637285</c:v>
                </c:pt>
                <c:pt idx="41">
                  <c:v>16.3602041649321</c:v>
                </c:pt>
                <c:pt idx="42">
                  <c:v>15.9882894661358</c:v>
                </c:pt>
                <c:pt idx="43">
                  <c:v>18.5421247673394</c:v>
                </c:pt>
                <c:pt idx="44">
                  <c:v>17.7480600685431</c:v>
                </c:pt>
                <c:pt idx="45">
                  <c:v>18.0339673697468</c:v>
                </c:pt>
                <c:pt idx="46">
                  <c:v>19.5471076709504</c:v>
                </c:pt>
                <c:pt idx="47">
                  <c:v>20.510442972154</c:v>
                </c:pt>
                <c:pt idx="48">
                  <c:v>18.2633452733577</c:v>
                </c:pt>
                <c:pt idx="49">
                  <c:v>17.4103815745614</c:v>
                </c:pt>
                <c:pt idx="50">
                  <c:v>16.959959875765</c:v>
                </c:pt>
                <c:pt idx="51">
                  <c:v>14.5655841769687</c:v>
                </c:pt>
                <c:pt idx="52">
                  <c:v>11.0519604781723</c:v>
                </c:pt>
                <c:pt idx="53">
                  <c:v>12.948020779376</c:v>
                </c:pt>
                <c:pt idx="54">
                  <c:v>13.1651860805796</c:v>
                </c:pt>
                <c:pt idx="55">
                  <c:v>15.7975443817832</c:v>
                </c:pt>
                <c:pt idx="56">
                  <c:v>10.7818146829869</c:v>
                </c:pt>
                <c:pt idx="57">
                  <c:v>8.92744698419062</c:v>
                </c:pt>
                <c:pt idx="58">
                  <c:v>12.7575892853942</c:v>
                </c:pt>
                <c:pt idx="59">
                  <c:v>14.4277885865979</c:v>
                </c:pt>
                <c:pt idx="60">
                  <c:v>13.8988298878015</c:v>
                </c:pt>
                <c:pt idx="61">
                  <c:v>12.8592971890052</c:v>
                </c:pt>
                <c:pt idx="62">
                  <c:v>14.5099044902088</c:v>
                </c:pt>
                <c:pt idx="63">
                  <c:v>16.6808357914125</c:v>
                </c:pt>
                <c:pt idx="64">
                  <c:v>18.6848520926161</c:v>
                </c:pt>
                <c:pt idx="65">
                  <c:v>17.6551763938198</c:v>
                </c:pt>
                <c:pt idx="66">
                  <c:v>18.3436246950234</c:v>
                </c:pt>
                <c:pt idx="67">
                  <c:v>16.9899289962271</c:v>
                </c:pt>
                <c:pt idx="68">
                  <c:v>18.4147052974307</c:v>
                </c:pt>
                <c:pt idx="69">
                  <c:v>18.2686355986344</c:v>
                </c:pt>
                <c:pt idx="70">
                  <c:v>17.474570899838</c:v>
                </c:pt>
                <c:pt idx="71">
                  <c:v>12.9595442010417</c:v>
                </c:pt>
                <c:pt idx="72">
                  <c:v>5.63660950224539</c:v>
                </c:pt>
                <c:pt idx="73">
                  <c:v>5.03887980344902</c:v>
                </c:pt>
                <c:pt idx="74">
                  <c:v>-1.59327389534732</c:v>
                </c:pt>
                <c:pt idx="75">
                  <c:v>1.00392740585633</c:v>
                </c:pt>
                <c:pt idx="76">
                  <c:v>3.05825170705998</c:v>
                </c:pt>
                <c:pt idx="77">
                  <c:v>0.749554008263658</c:v>
                </c:pt>
                <c:pt idx="78">
                  <c:v>9.94059630946731</c:v>
                </c:pt>
                <c:pt idx="79">
                  <c:v>3.76246761067096</c:v>
                </c:pt>
                <c:pt idx="80">
                  <c:v>2.89496291187458</c:v>
                </c:pt>
                <c:pt idx="81">
                  <c:v>-8.11994178692177</c:v>
                </c:pt>
                <c:pt idx="82">
                  <c:v>0.607156514281882</c:v>
                </c:pt>
                <c:pt idx="83">
                  <c:v>-7.57477118451444</c:v>
                </c:pt>
                <c:pt idx="84">
                  <c:v>-25.8645938833107</c:v>
                </c:pt>
                <c:pt idx="85">
                  <c:v>-11.4814125821071</c:v>
                </c:pt>
                <c:pt idx="86">
                  <c:v>-25.4280032809035</c:v>
                </c:pt>
                <c:pt idx="87">
                  <c:v>-28.8422309796998</c:v>
                </c:pt>
                <c:pt idx="88">
                  <c:v>-40.8639726784962</c:v>
                </c:pt>
                <c:pt idx="89">
                  <c:v>-41.4945843772925</c:v>
                </c:pt>
                <c:pt idx="90">
                  <c:v>-47.8602440760888</c:v>
                </c:pt>
                <c:pt idx="91">
                  <c:v>-56.3777887748852</c:v>
                </c:pt>
                <c:pt idx="92">
                  <c:v>-40.9186714736816</c:v>
                </c:pt>
                <c:pt idx="93">
                  <c:v>-30.8984741724779</c:v>
                </c:pt>
                <c:pt idx="94">
                  <c:v>-23.2374608712742</c:v>
                </c:pt>
                <c:pt idx="95">
                  <c:v>-29.2773445700706</c:v>
                </c:pt>
                <c:pt idx="96">
                  <c:v>-28.7925542688669</c:v>
                </c:pt>
                <c:pt idx="97">
                  <c:v>-26.7678629676633</c:v>
                </c:pt>
                <c:pt idx="98">
                  <c:v>-30.7842176664596</c:v>
                </c:pt>
                <c:pt idx="99">
                  <c:v>-27.713216365256</c:v>
                </c:pt>
                <c:pt idx="100">
                  <c:v>-32.9930600640523</c:v>
                </c:pt>
                <c:pt idx="101">
                  <c:v>-26.5165557628487</c:v>
                </c:pt>
                <c:pt idx="102">
                  <c:v>-25.281552461645</c:v>
                </c:pt>
                <c:pt idx="103">
                  <c:v>-21.3122651604414</c:v>
                </c:pt>
                <c:pt idx="104">
                  <c:v>-17.1751928592377</c:v>
                </c:pt>
                <c:pt idx="105">
                  <c:v>-22.5833625580341</c:v>
                </c:pt>
                <c:pt idx="106">
                  <c:v>-19.9565592568304</c:v>
                </c:pt>
                <c:pt idx="107">
                  <c:v>-25.6213669556268</c:v>
                </c:pt>
                <c:pt idx="108">
                  <c:v>-28.0879776544231</c:v>
                </c:pt>
                <c:pt idx="109">
                  <c:v>-22.1642383532195</c:v>
                </c:pt>
                <c:pt idx="110">
                  <c:v>-24.7394470520158</c:v>
                </c:pt>
                <c:pt idx="111">
                  <c:v>-28.3807097508122</c:v>
                </c:pt>
                <c:pt idx="112">
                  <c:v>-27.3529974496085</c:v>
                </c:pt>
                <c:pt idx="113">
                  <c:v>-25.7132851484049</c:v>
                </c:pt>
                <c:pt idx="114">
                  <c:v>-24.8731028472012</c:v>
                </c:pt>
                <c:pt idx="115">
                  <c:v>-20.5583415459976</c:v>
                </c:pt>
                <c:pt idx="116">
                  <c:v>-17.7045032447939</c:v>
                </c:pt>
                <c:pt idx="117">
                  <c:v>-14.3373429435903</c:v>
                </c:pt>
                <c:pt idx="118">
                  <c:v>-18.5314016423866</c:v>
                </c:pt>
                <c:pt idx="119">
                  <c:v>-23.110409341183</c:v>
                </c:pt>
                <c:pt idx="120">
                  <c:v>-25.1229490399793</c:v>
                </c:pt>
                <c:pt idx="121">
                  <c:v>-25.4376897387757</c:v>
                </c:pt>
                <c:pt idx="122">
                  <c:v>-27.233081437572</c:v>
                </c:pt>
                <c:pt idx="123">
                  <c:v>-27.4688581363683</c:v>
                </c:pt>
                <c:pt idx="124">
                  <c:v>-23.3909898351647</c:v>
                </c:pt>
                <c:pt idx="125">
                  <c:v>-25.9760545339611</c:v>
                </c:pt>
                <c:pt idx="126">
                  <c:v>-32.5687642327574</c:v>
                </c:pt>
                <c:pt idx="127">
                  <c:v>-37.1181539315538</c:v>
                </c:pt>
                <c:pt idx="128">
                  <c:v>-32.1551466303501</c:v>
                </c:pt>
                <c:pt idx="129">
                  <c:v>-33.7749173291464</c:v>
                </c:pt>
                <c:pt idx="130">
                  <c:v>-23.1936920279428</c:v>
                </c:pt>
                <c:pt idx="131">
                  <c:v>-27.2496897267392</c:v>
                </c:pt>
                <c:pt idx="132">
                  <c:v>-23.1816174255355</c:v>
                </c:pt>
                <c:pt idx="133">
                  <c:v>-21.5199471243319</c:v>
                </c:pt>
                <c:pt idx="134">
                  <c:v>-20.0273298231282</c:v>
                </c:pt>
                <c:pt idx="135">
                  <c:v>-14.2887105219246</c:v>
                </c:pt>
                <c:pt idx="136">
                  <c:v>-10.6482352207209</c:v>
                </c:pt>
                <c:pt idx="137">
                  <c:v>-11.6614319195172</c:v>
                </c:pt>
                <c:pt idx="138">
                  <c:v>-13.3508056183136</c:v>
                </c:pt>
                <c:pt idx="139">
                  <c:v>-13.0116613171099</c:v>
                </c:pt>
                <c:pt idx="140">
                  <c:v>-10.8428500159063</c:v>
                </c:pt>
                <c:pt idx="141">
                  <c:v>-5.85995271470267</c:v>
                </c:pt>
                <c:pt idx="142">
                  <c:v>-3.30335541349901</c:v>
                </c:pt>
                <c:pt idx="143">
                  <c:v>2.13693988770464</c:v>
                </c:pt>
                <c:pt idx="144">
                  <c:v>3.68923418890824</c:v>
                </c:pt>
                <c:pt idx="145">
                  <c:v>-1.09265350988809</c:v>
                </c:pt>
                <c:pt idx="146">
                  <c:v>-5.03927620868444</c:v>
                </c:pt>
                <c:pt idx="147">
                  <c:v>-15.6482209074807</c:v>
                </c:pt>
                <c:pt idx="148">
                  <c:v>-14.5732366062771</c:v>
                </c:pt>
                <c:pt idx="149">
                  <c:v>-12.4541383050734</c:v>
                </c:pt>
                <c:pt idx="150">
                  <c:v>-9.97708500386983</c:v>
                </c:pt>
                <c:pt idx="151">
                  <c:v>-10.7317517026661</c:v>
                </c:pt>
                <c:pt idx="152">
                  <c:v>-10.8301374014625</c:v>
                </c:pt>
                <c:pt idx="153">
                  <c:v>-13.6630511002588</c:v>
                </c:pt>
                <c:pt idx="154">
                  <c:v>-14.0796287990552</c:v>
                </c:pt>
                <c:pt idx="155">
                  <c:v>-14.1481684978515</c:v>
                </c:pt>
                <c:pt idx="156">
                  <c:v>-20.6105531966479</c:v>
                </c:pt>
                <c:pt idx="157">
                  <c:v>-16.5126648954442</c:v>
                </c:pt>
                <c:pt idx="158">
                  <c:v>-20.7277655942406</c:v>
                </c:pt>
                <c:pt idx="159">
                  <c:v>-15.7150372930369</c:v>
                </c:pt>
                <c:pt idx="160">
                  <c:v>-14.3616409918332</c:v>
                </c:pt>
                <c:pt idx="161">
                  <c:v>-14.8279316906296</c:v>
                </c:pt>
                <c:pt idx="162">
                  <c:v>-13.9120353894259</c:v>
                </c:pt>
                <c:pt idx="163">
                  <c:v>-11.7134090882223</c:v>
                </c:pt>
                <c:pt idx="164">
                  <c:v>-13.9397547870187</c:v>
                </c:pt>
                <c:pt idx="165">
                  <c:v>-13.312234485815</c:v>
                </c:pt>
                <c:pt idx="166">
                  <c:v>-17.4975041846114</c:v>
                </c:pt>
                <c:pt idx="167">
                  <c:v>-16.4125708834077</c:v>
                </c:pt>
                <c:pt idx="168">
                  <c:v>-15.367401582204</c:v>
                </c:pt>
                <c:pt idx="169">
                  <c:v>-10.7723222810004</c:v>
                </c:pt>
                <c:pt idx="170">
                  <c:v>-6.95286097979681</c:v>
                </c:pt>
                <c:pt idx="171">
                  <c:v>-5.79831767859315</c:v>
                </c:pt>
                <c:pt idx="172">
                  <c:v>-3.87810237738949</c:v>
                </c:pt>
                <c:pt idx="173">
                  <c:v>-5.46805107618584</c:v>
                </c:pt>
                <c:pt idx="174">
                  <c:v>-4.09475677498218</c:v>
                </c:pt>
                <c:pt idx="175">
                  <c:v>-4.23290747377856</c:v>
                </c:pt>
                <c:pt idx="176">
                  <c:v>-5.0969641725749</c:v>
                </c:pt>
                <c:pt idx="177">
                  <c:v>-9.36177787137126</c:v>
                </c:pt>
                <c:pt idx="178">
                  <c:v>-8.02824857016759</c:v>
                </c:pt>
                <c:pt idx="179">
                  <c:v>-6.77427826896394</c:v>
                </c:pt>
                <c:pt idx="180">
                  <c:v>-4.20771696776029</c:v>
                </c:pt>
                <c:pt idx="181">
                  <c:v>-9.58623866655662</c:v>
                </c:pt>
                <c:pt idx="182">
                  <c:v>-9.36641836535301</c:v>
                </c:pt>
                <c:pt idx="183">
                  <c:v>-10.1906800641493</c:v>
                </c:pt>
                <c:pt idx="184">
                  <c:v>-11.3729277629456</c:v>
                </c:pt>
                <c:pt idx="185">
                  <c:v>-7.89154146174203</c:v>
                </c:pt>
                <c:pt idx="186">
                  <c:v>-6.13044516053838</c:v>
                </c:pt>
                <c:pt idx="187">
                  <c:v>-3.60366285933471</c:v>
                </c:pt>
                <c:pt idx="188">
                  <c:v>0.70304144186889</c:v>
                </c:pt>
                <c:pt idx="189">
                  <c:v>1.55927574307256</c:v>
                </c:pt>
                <c:pt idx="190">
                  <c:v>1.3614630442762</c:v>
                </c:pt>
                <c:pt idx="191">
                  <c:v>1.18246534547986</c:v>
                </c:pt>
                <c:pt idx="192">
                  <c:v>2.49347264668352</c:v>
                </c:pt>
                <c:pt idx="193">
                  <c:v>0.984472947887184</c:v>
                </c:pt>
                <c:pt idx="194">
                  <c:v>-0.384512750909152</c:v>
                </c:pt>
                <c:pt idx="195">
                  <c:v>-0.903507449705529</c:v>
                </c:pt>
                <c:pt idx="196">
                  <c:v>-1.57251114850188</c:v>
                </c:pt>
                <c:pt idx="197">
                  <c:v>-0.231504847298225</c:v>
                </c:pt>
                <c:pt idx="198">
                  <c:v>1.64949445390541</c:v>
                </c:pt>
                <c:pt idx="199">
                  <c:v>6.82050275510908</c:v>
                </c:pt>
                <c:pt idx="200">
                  <c:v>7.61150605631274</c:v>
                </c:pt>
                <c:pt idx="201">
                  <c:v>8.30251735751636</c:v>
                </c:pt>
                <c:pt idx="202">
                  <c:v>10.70352165872</c:v>
                </c:pt>
                <c:pt idx="203">
                  <c:v>7.88452395992368</c:v>
                </c:pt>
                <c:pt idx="204">
                  <c:v>10.3155262611273</c:v>
                </c:pt>
                <c:pt idx="205">
                  <c:v>14.8265305623309</c:v>
                </c:pt>
                <c:pt idx="206">
                  <c:v>8.66753686353465</c:v>
                </c:pt>
                <c:pt idx="207">
                  <c:v>9.06854016473829</c:v>
                </c:pt>
                <c:pt idx="208">
                  <c:v>6.65954646594192</c:v>
                </c:pt>
                <c:pt idx="209">
                  <c:v>8.15054676714558</c:v>
                </c:pt>
                <c:pt idx="210">
                  <c:v>6.68155506834924</c:v>
                </c:pt>
                <c:pt idx="211">
                  <c:v>8.87255236955289</c:v>
                </c:pt>
                <c:pt idx="212">
                  <c:v>10.9035606707565</c:v>
                </c:pt>
                <c:pt idx="213">
                  <c:v>10.7445669719602</c:v>
                </c:pt>
                <c:pt idx="214">
                  <c:v>12.4555682731638</c:v>
                </c:pt>
                <c:pt idx="215">
                  <c:v>12.8065685743675</c:v>
                </c:pt>
                <c:pt idx="216">
                  <c:v>11.1775738755711</c:v>
                </c:pt>
                <c:pt idx="217">
                  <c:v>3.85857617677478</c:v>
                </c:pt>
                <c:pt idx="218">
                  <c:v>5.17957847797845</c:v>
                </c:pt>
                <c:pt idx="219">
                  <c:v>1.30058277918212</c:v>
                </c:pt>
                <c:pt idx="220">
                  <c:v>1.28158908038574</c:v>
                </c:pt>
                <c:pt idx="221">
                  <c:v>4.02260338158939</c:v>
                </c:pt>
                <c:pt idx="222">
                  <c:v>7.18360168279303</c:v>
                </c:pt>
                <c:pt idx="223">
                  <c:v>7.06460198399671</c:v>
                </c:pt>
                <c:pt idx="224">
                  <c:v>7.17561228520037</c:v>
                </c:pt>
                <c:pt idx="225">
                  <c:v>6.25660858640401</c:v>
                </c:pt>
                <c:pt idx="226">
                  <c:v>8.19762088760768</c:v>
                </c:pt>
                <c:pt idx="227">
                  <c:v>11.3186251888112</c:v>
                </c:pt>
                <c:pt idx="228">
                  <c:v>9.49962749001494</c:v>
                </c:pt>
                <c:pt idx="229">
                  <c:v>14.1706357912186</c:v>
                </c:pt>
                <c:pt idx="230">
                  <c:v>16.4116360924222</c:v>
                </c:pt>
                <c:pt idx="231">
                  <c:v>17.0226463936259</c:v>
                </c:pt>
                <c:pt idx="232">
                  <c:v>18.0136466948295</c:v>
                </c:pt>
                <c:pt idx="233">
                  <c:v>14.2146529960332</c:v>
                </c:pt>
                <c:pt idx="234">
                  <c:v>16.1456552972368</c:v>
                </c:pt>
                <c:pt idx="235">
                  <c:v>15.2966595984405</c:v>
                </c:pt>
                <c:pt idx="236">
                  <c:v>17.5576638996441</c:v>
                </c:pt>
                <c:pt idx="237">
                  <c:v>14.2986632008478</c:v>
                </c:pt>
                <c:pt idx="238">
                  <c:v>15.9796665020514</c:v>
                </c:pt>
                <c:pt idx="239">
                  <c:v>15.600670803255</c:v>
                </c:pt>
                <c:pt idx="240">
                  <c:v>19.5916861044587</c:v>
                </c:pt>
                <c:pt idx="241">
                  <c:v>18.2926774056624</c:v>
                </c:pt>
                <c:pt idx="242">
                  <c:v>12.933686706866</c:v>
                </c:pt>
                <c:pt idx="243">
                  <c:v>9.52469300806973</c:v>
                </c:pt>
                <c:pt idx="244">
                  <c:v>3.94570130927337</c:v>
                </c:pt>
                <c:pt idx="245">
                  <c:v>7.39670761047705</c:v>
                </c:pt>
                <c:pt idx="246">
                  <c:v>7.75770291168066</c:v>
                </c:pt>
                <c:pt idx="247">
                  <c:v>16.4287112128843</c:v>
                </c:pt>
                <c:pt idx="248">
                  <c:v>22.0397215140879</c:v>
                </c:pt>
                <c:pt idx="249">
                  <c:v>21.7507228152916</c:v>
                </c:pt>
                <c:pt idx="250">
                  <c:v>26.1317221164952</c:v>
                </c:pt>
                <c:pt idx="251">
                  <c:v>27.1327314176989</c:v>
                </c:pt>
                <c:pt idx="252" c:formatCode="0.00E+00">
                  <c:v>39.8637317189025</c:v>
                </c:pt>
                <c:pt idx="253" c:formatCode="0.00E+00">
                  <c:v>44.8647360201062</c:v>
                </c:pt>
                <c:pt idx="254" c:formatCode="0.00E+00">
                  <c:v>42.1857403213098</c:v>
                </c:pt>
                <c:pt idx="255" c:formatCode="0.00E+00">
                  <c:v>40.1467446225135</c:v>
                </c:pt>
                <c:pt idx="256" c:formatCode="0.00E+00">
                  <c:v>44.4577489237171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00104"/>
        <c:axId val="179396264"/>
      </c:scatterChart>
      <c:valAx>
        <c:axId val="179400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396264"/>
        <c:crosses val="autoZero"/>
        <c:crossBetween val="midCat"/>
      </c:valAx>
      <c:valAx>
        <c:axId val="17939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values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400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 Values Vs Residuals of APP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'Part 3'!$L$28</c:f>
              <c:strCache>
                <c:ptCount val="1"/>
                <c:pt idx="0">
                  <c:v>Residuals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'Part 3'!$K$29:$K$285</c:f>
              <c:numCache>
                <c:formatCode>General</c:formatCode>
                <c:ptCount val="257"/>
                <c:pt idx="0">
                  <c:v>56.0436665542482</c:v>
                </c:pt>
                <c:pt idx="1">
                  <c:v>56.287428272164</c:v>
                </c:pt>
                <c:pt idx="2">
                  <c:v>56.5311899900798</c:v>
                </c:pt>
                <c:pt idx="3">
                  <c:v>56.7749517079956</c:v>
                </c:pt>
                <c:pt idx="4">
                  <c:v>57.0187134259114</c:v>
                </c:pt>
                <c:pt idx="5">
                  <c:v>57.2624751438272</c:v>
                </c:pt>
                <c:pt idx="6">
                  <c:v>57.506236861743</c:v>
                </c:pt>
                <c:pt idx="7">
                  <c:v>57.7499985796588</c:v>
                </c:pt>
                <c:pt idx="8">
                  <c:v>57.9937602975746</c:v>
                </c:pt>
                <c:pt idx="9">
                  <c:v>58.2375220154904</c:v>
                </c:pt>
                <c:pt idx="10">
                  <c:v>58.4812837334062</c:v>
                </c:pt>
                <c:pt idx="11">
                  <c:v>58.725045451322</c:v>
                </c:pt>
                <c:pt idx="12">
                  <c:v>58.9688071692378</c:v>
                </c:pt>
                <c:pt idx="13">
                  <c:v>59.2125688871536</c:v>
                </c:pt>
                <c:pt idx="14">
                  <c:v>59.4563306050694</c:v>
                </c:pt>
                <c:pt idx="15">
                  <c:v>59.7000923229852</c:v>
                </c:pt>
                <c:pt idx="16">
                  <c:v>59.943854040901</c:v>
                </c:pt>
                <c:pt idx="17">
                  <c:v>60.1876157588168</c:v>
                </c:pt>
                <c:pt idx="18">
                  <c:v>60.4313774767326</c:v>
                </c:pt>
                <c:pt idx="19">
                  <c:v>60.6751391946484</c:v>
                </c:pt>
                <c:pt idx="20">
                  <c:v>60.9189009125642</c:v>
                </c:pt>
                <c:pt idx="21">
                  <c:v>61.16266263048</c:v>
                </c:pt>
                <c:pt idx="22">
                  <c:v>61.4064243483958</c:v>
                </c:pt>
                <c:pt idx="23">
                  <c:v>61.6501860663116</c:v>
                </c:pt>
                <c:pt idx="24">
                  <c:v>61.8939477842274</c:v>
                </c:pt>
                <c:pt idx="25">
                  <c:v>62.1377095021432</c:v>
                </c:pt>
                <c:pt idx="26">
                  <c:v>62.381471220059</c:v>
                </c:pt>
                <c:pt idx="27">
                  <c:v>62.6252329379748</c:v>
                </c:pt>
                <c:pt idx="28">
                  <c:v>62.8689946558906</c:v>
                </c:pt>
                <c:pt idx="29">
                  <c:v>63.1127563738064</c:v>
                </c:pt>
                <c:pt idx="30">
                  <c:v>63.3565180917222</c:v>
                </c:pt>
                <c:pt idx="31">
                  <c:v>63.600279809638</c:v>
                </c:pt>
                <c:pt idx="32">
                  <c:v>63.8440415275539</c:v>
                </c:pt>
                <c:pt idx="33">
                  <c:v>64.0878032454697</c:v>
                </c:pt>
                <c:pt idx="34">
                  <c:v>64.3315649633855</c:v>
                </c:pt>
                <c:pt idx="35">
                  <c:v>64.5753266813013</c:v>
                </c:pt>
                <c:pt idx="36">
                  <c:v>64.8190883992171</c:v>
                </c:pt>
                <c:pt idx="37">
                  <c:v>65.0628501171329</c:v>
                </c:pt>
                <c:pt idx="38">
                  <c:v>65.3066118350487</c:v>
                </c:pt>
                <c:pt idx="39">
                  <c:v>65.5503735529645</c:v>
                </c:pt>
                <c:pt idx="40">
                  <c:v>65.7941352708803</c:v>
                </c:pt>
                <c:pt idx="41">
                  <c:v>66.0378969887961</c:v>
                </c:pt>
                <c:pt idx="42">
                  <c:v>66.2816587067119</c:v>
                </c:pt>
                <c:pt idx="43">
                  <c:v>66.5254204246277</c:v>
                </c:pt>
                <c:pt idx="44">
                  <c:v>66.7691821425435</c:v>
                </c:pt>
                <c:pt idx="45">
                  <c:v>67.0129438604593</c:v>
                </c:pt>
                <c:pt idx="46">
                  <c:v>67.2567055783751</c:v>
                </c:pt>
                <c:pt idx="47">
                  <c:v>67.5004672962909</c:v>
                </c:pt>
                <c:pt idx="48">
                  <c:v>67.7442290142067</c:v>
                </c:pt>
                <c:pt idx="49">
                  <c:v>67.9879907321225</c:v>
                </c:pt>
                <c:pt idx="50">
                  <c:v>68.2317524500383</c:v>
                </c:pt>
                <c:pt idx="51">
                  <c:v>68.4755141679541</c:v>
                </c:pt>
                <c:pt idx="52">
                  <c:v>68.7192758858699</c:v>
                </c:pt>
                <c:pt idx="53">
                  <c:v>68.9630376037857</c:v>
                </c:pt>
                <c:pt idx="54">
                  <c:v>69.2067993217015</c:v>
                </c:pt>
                <c:pt idx="55">
                  <c:v>69.4505610396173</c:v>
                </c:pt>
                <c:pt idx="56">
                  <c:v>69.6943227575331</c:v>
                </c:pt>
                <c:pt idx="57">
                  <c:v>69.9380844754489</c:v>
                </c:pt>
                <c:pt idx="58">
                  <c:v>70.1818461933647</c:v>
                </c:pt>
                <c:pt idx="59">
                  <c:v>70.4256079112805</c:v>
                </c:pt>
                <c:pt idx="60">
                  <c:v>70.6693696291963</c:v>
                </c:pt>
                <c:pt idx="61">
                  <c:v>70.9131313471121</c:v>
                </c:pt>
                <c:pt idx="62">
                  <c:v>71.1568930650279</c:v>
                </c:pt>
                <c:pt idx="63">
                  <c:v>71.4006547829437</c:v>
                </c:pt>
                <c:pt idx="64">
                  <c:v>71.6444165008595</c:v>
                </c:pt>
                <c:pt idx="65">
                  <c:v>71.8881782187753</c:v>
                </c:pt>
                <c:pt idx="66">
                  <c:v>72.1319399366911</c:v>
                </c:pt>
                <c:pt idx="67">
                  <c:v>72.3757016546069</c:v>
                </c:pt>
                <c:pt idx="68">
                  <c:v>72.6194633725227</c:v>
                </c:pt>
                <c:pt idx="69">
                  <c:v>72.8632250904385</c:v>
                </c:pt>
                <c:pt idx="70">
                  <c:v>73.1069868083543</c:v>
                </c:pt>
                <c:pt idx="71">
                  <c:v>73.3507485262701</c:v>
                </c:pt>
                <c:pt idx="72">
                  <c:v>73.5945102441859</c:v>
                </c:pt>
                <c:pt idx="73">
                  <c:v>73.8382719621017</c:v>
                </c:pt>
                <c:pt idx="74">
                  <c:v>74.0820336800175</c:v>
                </c:pt>
                <c:pt idx="75">
                  <c:v>74.3257953979333</c:v>
                </c:pt>
                <c:pt idx="76">
                  <c:v>74.5695571158491</c:v>
                </c:pt>
                <c:pt idx="77">
                  <c:v>74.8133188337649</c:v>
                </c:pt>
                <c:pt idx="78">
                  <c:v>75.0570805516807</c:v>
                </c:pt>
                <c:pt idx="79">
                  <c:v>75.3008422695965</c:v>
                </c:pt>
                <c:pt idx="80">
                  <c:v>75.5446039875123</c:v>
                </c:pt>
                <c:pt idx="81">
                  <c:v>75.7883657054281</c:v>
                </c:pt>
                <c:pt idx="82">
                  <c:v>76.0321274233439</c:v>
                </c:pt>
                <c:pt idx="83">
                  <c:v>76.2758891412597</c:v>
                </c:pt>
                <c:pt idx="84">
                  <c:v>76.5196508591755</c:v>
                </c:pt>
                <c:pt idx="85">
                  <c:v>76.7634125770913</c:v>
                </c:pt>
                <c:pt idx="86">
                  <c:v>77.0071742950071</c:v>
                </c:pt>
                <c:pt idx="87">
                  <c:v>77.2509360129229</c:v>
                </c:pt>
                <c:pt idx="88">
                  <c:v>77.4946977308387</c:v>
                </c:pt>
                <c:pt idx="89">
                  <c:v>77.7384594487545</c:v>
                </c:pt>
                <c:pt idx="90">
                  <c:v>77.9822211666703</c:v>
                </c:pt>
                <c:pt idx="91">
                  <c:v>78.2259828845861</c:v>
                </c:pt>
                <c:pt idx="92">
                  <c:v>78.4697446025019</c:v>
                </c:pt>
                <c:pt idx="93">
                  <c:v>78.7135063204177</c:v>
                </c:pt>
                <c:pt idx="94">
                  <c:v>78.9572680383335</c:v>
                </c:pt>
                <c:pt idx="95">
                  <c:v>79.2010297562493</c:v>
                </c:pt>
                <c:pt idx="96">
                  <c:v>79.4447914741651</c:v>
                </c:pt>
                <c:pt idx="97">
                  <c:v>79.6885531920809</c:v>
                </c:pt>
                <c:pt idx="98">
                  <c:v>79.9323149099967</c:v>
                </c:pt>
                <c:pt idx="99">
                  <c:v>80.1760766279125</c:v>
                </c:pt>
                <c:pt idx="100">
                  <c:v>80.4198383458283</c:v>
                </c:pt>
                <c:pt idx="101">
                  <c:v>80.6636000637441</c:v>
                </c:pt>
                <c:pt idx="102">
                  <c:v>80.9073617816599</c:v>
                </c:pt>
                <c:pt idx="103">
                  <c:v>81.1511234995757</c:v>
                </c:pt>
                <c:pt idx="104">
                  <c:v>81.3948852174915</c:v>
                </c:pt>
                <c:pt idx="105">
                  <c:v>81.6386469354073</c:v>
                </c:pt>
                <c:pt idx="106">
                  <c:v>81.8824086533231</c:v>
                </c:pt>
                <c:pt idx="107">
                  <c:v>82.1261703712389</c:v>
                </c:pt>
                <c:pt idx="108">
                  <c:v>82.3699320891547</c:v>
                </c:pt>
                <c:pt idx="109">
                  <c:v>82.6136938070705</c:v>
                </c:pt>
                <c:pt idx="110">
                  <c:v>82.8574555249863</c:v>
                </c:pt>
                <c:pt idx="111">
                  <c:v>83.1012172429021</c:v>
                </c:pt>
                <c:pt idx="112">
                  <c:v>83.3449789608179</c:v>
                </c:pt>
                <c:pt idx="113">
                  <c:v>83.5887406787337</c:v>
                </c:pt>
                <c:pt idx="114">
                  <c:v>83.8325023966495</c:v>
                </c:pt>
                <c:pt idx="115">
                  <c:v>84.0762641145653</c:v>
                </c:pt>
                <c:pt idx="116">
                  <c:v>84.3200258324811</c:v>
                </c:pt>
                <c:pt idx="117">
                  <c:v>84.5637875503969</c:v>
                </c:pt>
                <c:pt idx="118">
                  <c:v>84.8075492683127</c:v>
                </c:pt>
                <c:pt idx="119">
                  <c:v>85.0513109862285</c:v>
                </c:pt>
                <c:pt idx="120">
                  <c:v>85.2950727041443</c:v>
                </c:pt>
                <c:pt idx="121">
                  <c:v>85.5388344220601</c:v>
                </c:pt>
                <c:pt idx="122">
                  <c:v>85.7825961399759</c:v>
                </c:pt>
                <c:pt idx="123">
                  <c:v>86.0263578578917</c:v>
                </c:pt>
                <c:pt idx="124">
                  <c:v>86.2701195758075</c:v>
                </c:pt>
                <c:pt idx="125">
                  <c:v>86.5138812937233</c:v>
                </c:pt>
                <c:pt idx="126">
                  <c:v>86.7576430116391</c:v>
                </c:pt>
                <c:pt idx="127">
                  <c:v>87.0014047295549</c:v>
                </c:pt>
                <c:pt idx="128">
                  <c:v>87.2451664474707</c:v>
                </c:pt>
                <c:pt idx="129">
                  <c:v>87.4889281653865</c:v>
                </c:pt>
                <c:pt idx="130">
                  <c:v>87.7326898833023</c:v>
                </c:pt>
                <c:pt idx="131">
                  <c:v>87.9764516012181</c:v>
                </c:pt>
                <c:pt idx="132">
                  <c:v>88.2202133191339</c:v>
                </c:pt>
                <c:pt idx="133">
                  <c:v>88.4639750370497</c:v>
                </c:pt>
                <c:pt idx="134">
                  <c:v>88.7077367549655</c:v>
                </c:pt>
                <c:pt idx="135">
                  <c:v>88.9514984728813</c:v>
                </c:pt>
                <c:pt idx="136">
                  <c:v>89.1952601907971</c:v>
                </c:pt>
                <c:pt idx="137">
                  <c:v>89.4390219087129</c:v>
                </c:pt>
                <c:pt idx="138">
                  <c:v>89.6827836266287</c:v>
                </c:pt>
                <c:pt idx="139">
                  <c:v>89.9265453445445</c:v>
                </c:pt>
                <c:pt idx="140">
                  <c:v>90.1703070624603</c:v>
                </c:pt>
                <c:pt idx="141">
                  <c:v>90.4140687803761</c:v>
                </c:pt>
                <c:pt idx="142">
                  <c:v>90.6578304982919</c:v>
                </c:pt>
                <c:pt idx="143">
                  <c:v>90.9015922162077</c:v>
                </c:pt>
                <c:pt idx="144">
                  <c:v>91.1453539341235</c:v>
                </c:pt>
                <c:pt idx="145">
                  <c:v>91.3891156520393</c:v>
                </c:pt>
                <c:pt idx="146">
                  <c:v>91.6328773699551</c:v>
                </c:pt>
                <c:pt idx="147">
                  <c:v>91.8766390878709</c:v>
                </c:pt>
                <c:pt idx="148">
                  <c:v>92.1204008057867</c:v>
                </c:pt>
                <c:pt idx="149">
                  <c:v>92.3641625237025</c:v>
                </c:pt>
                <c:pt idx="150">
                  <c:v>92.6079242416183</c:v>
                </c:pt>
                <c:pt idx="151">
                  <c:v>92.8516859595341</c:v>
                </c:pt>
                <c:pt idx="152">
                  <c:v>93.0954476774499</c:v>
                </c:pt>
                <c:pt idx="153">
                  <c:v>93.3392093953657</c:v>
                </c:pt>
                <c:pt idx="154">
                  <c:v>93.5829711132815</c:v>
                </c:pt>
                <c:pt idx="155">
                  <c:v>93.8267328311973</c:v>
                </c:pt>
                <c:pt idx="156">
                  <c:v>94.0704945491131</c:v>
                </c:pt>
                <c:pt idx="157">
                  <c:v>94.3142562670289</c:v>
                </c:pt>
                <c:pt idx="158">
                  <c:v>94.5580179849447</c:v>
                </c:pt>
                <c:pt idx="159">
                  <c:v>94.8017797028605</c:v>
                </c:pt>
                <c:pt idx="160">
                  <c:v>95.0455414207763</c:v>
                </c:pt>
                <c:pt idx="161">
                  <c:v>95.2893031386921</c:v>
                </c:pt>
                <c:pt idx="162">
                  <c:v>95.5330648566079</c:v>
                </c:pt>
                <c:pt idx="163">
                  <c:v>95.7768265745238</c:v>
                </c:pt>
                <c:pt idx="164">
                  <c:v>96.0205882924395</c:v>
                </c:pt>
                <c:pt idx="165">
                  <c:v>96.2643500103553</c:v>
                </c:pt>
                <c:pt idx="166">
                  <c:v>96.5081117282711</c:v>
                </c:pt>
                <c:pt idx="167">
                  <c:v>96.7518734461869</c:v>
                </c:pt>
                <c:pt idx="168">
                  <c:v>96.9956351641028</c:v>
                </c:pt>
                <c:pt idx="169">
                  <c:v>97.2393968820186</c:v>
                </c:pt>
                <c:pt idx="170">
                  <c:v>97.4831585999344</c:v>
                </c:pt>
                <c:pt idx="171">
                  <c:v>97.7269203178501</c:v>
                </c:pt>
                <c:pt idx="172">
                  <c:v>97.970682035766</c:v>
                </c:pt>
                <c:pt idx="173">
                  <c:v>98.2144437536817</c:v>
                </c:pt>
                <c:pt idx="174">
                  <c:v>98.4582054715976</c:v>
                </c:pt>
                <c:pt idx="175">
                  <c:v>98.7019671895134</c:v>
                </c:pt>
                <c:pt idx="176">
                  <c:v>98.9457289074292</c:v>
                </c:pt>
                <c:pt idx="177">
                  <c:v>99.189490625345</c:v>
                </c:pt>
                <c:pt idx="178">
                  <c:v>99.4332523432607</c:v>
                </c:pt>
                <c:pt idx="179">
                  <c:v>99.6770140611766</c:v>
                </c:pt>
                <c:pt idx="180">
                  <c:v>99.9207757790924</c:v>
                </c:pt>
                <c:pt idx="181">
                  <c:v>100.164537497008</c:v>
                </c:pt>
                <c:pt idx="182">
                  <c:v>100.408299214924</c:v>
                </c:pt>
                <c:pt idx="183">
                  <c:v>100.652060932839</c:v>
                </c:pt>
                <c:pt idx="184">
                  <c:v>100.895822650755</c:v>
                </c:pt>
                <c:pt idx="185">
                  <c:v>101.139584368671</c:v>
                </c:pt>
                <c:pt idx="186">
                  <c:v>101.383346086587</c:v>
                </c:pt>
                <c:pt idx="187">
                  <c:v>101.627107804503</c:v>
                </c:pt>
                <c:pt idx="188">
                  <c:v>101.870869522418</c:v>
                </c:pt>
                <c:pt idx="189">
                  <c:v>102.114631240334</c:v>
                </c:pt>
                <c:pt idx="190">
                  <c:v>102.35839295825</c:v>
                </c:pt>
                <c:pt idx="191">
                  <c:v>102.602154676166</c:v>
                </c:pt>
                <c:pt idx="192">
                  <c:v>102.845916394082</c:v>
                </c:pt>
                <c:pt idx="193">
                  <c:v>103.089678111997</c:v>
                </c:pt>
                <c:pt idx="194">
                  <c:v>103.333439829913</c:v>
                </c:pt>
                <c:pt idx="195">
                  <c:v>103.577201547829</c:v>
                </c:pt>
                <c:pt idx="196">
                  <c:v>103.820963265745</c:v>
                </c:pt>
                <c:pt idx="197">
                  <c:v>104.064724983661</c:v>
                </c:pt>
                <c:pt idx="198">
                  <c:v>104.308486701576</c:v>
                </c:pt>
                <c:pt idx="199">
                  <c:v>104.552248419492</c:v>
                </c:pt>
                <c:pt idx="200">
                  <c:v>104.796010137408</c:v>
                </c:pt>
                <c:pt idx="201">
                  <c:v>105.039771855324</c:v>
                </c:pt>
                <c:pt idx="202">
                  <c:v>105.28353357324</c:v>
                </c:pt>
                <c:pt idx="203">
                  <c:v>105.527295291155</c:v>
                </c:pt>
                <c:pt idx="204">
                  <c:v>105.771057009071</c:v>
                </c:pt>
                <c:pt idx="205">
                  <c:v>106.014818726987</c:v>
                </c:pt>
                <c:pt idx="206">
                  <c:v>106.258580444903</c:v>
                </c:pt>
                <c:pt idx="207">
                  <c:v>106.502342162819</c:v>
                </c:pt>
                <c:pt idx="208">
                  <c:v>106.746103880734</c:v>
                </c:pt>
                <c:pt idx="209">
                  <c:v>106.98986559865</c:v>
                </c:pt>
                <c:pt idx="210">
                  <c:v>107.233627316566</c:v>
                </c:pt>
                <c:pt idx="211">
                  <c:v>107.477389034482</c:v>
                </c:pt>
                <c:pt idx="212">
                  <c:v>107.721150752398</c:v>
                </c:pt>
                <c:pt idx="213">
                  <c:v>107.964912470313</c:v>
                </c:pt>
                <c:pt idx="214">
                  <c:v>108.208674188229</c:v>
                </c:pt>
                <c:pt idx="215">
                  <c:v>108.452435906145</c:v>
                </c:pt>
                <c:pt idx="216">
                  <c:v>108.696197624061</c:v>
                </c:pt>
                <c:pt idx="217">
                  <c:v>108.939959341977</c:v>
                </c:pt>
                <c:pt idx="218">
                  <c:v>109.183721059892</c:v>
                </c:pt>
                <c:pt idx="219">
                  <c:v>109.427482777808</c:v>
                </c:pt>
                <c:pt idx="220">
                  <c:v>109.671244495724</c:v>
                </c:pt>
                <c:pt idx="221">
                  <c:v>109.91500621364</c:v>
                </c:pt>
                <c:pt idx="222">
                  <c:v>110.158767931556</c:v>
                </c:pt>
                <c:pt idx="223">
                  <c:v>110.402529649471</c:v>
                </c:pt>
                <c:pt idx="224">
                  <c:v>110.646291367387</c:v>
                </c:pt>
                <c:pt idx="225">
                  <c:v>110.890053085303</c:v>
                </c:pt>
                <c:pt idx="226">
                  <c:v>111.133814803219</c:v>
                </c:pt>
                <c:pt idx="227">
                  <c:v>111.377576521135</c:v>
                </c:pt>
                <c:pt idx="228">
                  <c:v>111.62133823905</c:v>
                </c:pt>
                <c:pt idx="229">
                  <c:v>111.865099956966</c:v>
                </c:pt>
                <c:pt idx="230">
                  <c:v>112.108861674882</c:v>
                </c:pt>
                <c:pt idx="231">
                  <c:v>112.352623392798</c:v>
                </c:pt>
                <c:pt idx="232">
                  <c:v>112.596385110714</c:v>
                </c:pt>
                <c:pt idx="233">
                  <c:v>112.840146828629</c:v>
                </c:pt>
                <c:pt idx="234">
                  <c:v>113.083908546545</c:v>
                </c:pt>
                <c:pt idx="235">
                  <c:v>113.327670264461</c:v>
                </c:pt>
                <c:pt idx="236">
                  <c:v>113.571431982377</c:v>
                </c:pt>
                <c:pt idx="237">
                  <c:v>113.815193700293</c:v>
                </c:pt>
                <c:pt idx="238">
                  <c:v>114.058955418208</c:v>
                </c:pt>
                <c:pt idx="239">
                  <c:v>114.302717136124</c:v>
                </c:pt>
                <c:pt idx="240">
                  <c:v>114.54647885404</c:v>
                </c:pt>
                <c:pt idx="241">
                  <c:v>114.790240571956</c:v>
                </c:pt>
                <c:pt idx="242">
                  <c:v>115.034002289872</c:v>
                </c:pt>
                <c:pt idx="243">
                  <c:v>115.277764007787</c:v>
                </c:pt>
                <c:pt idx="244">
                  <c:v>115.521525725703</c:v>
                </c:pt>
                <c:pt idx="245">
                  <c:v>115.765287443619</c:v>
                </c:pt>
                <c:pt idx="246">
                  <c:v>116.009049161535</c:v>
                </c:pt>
                <c:pt idx="247">
                  <c:v>116.252810879451</c:v>
                </c:pt>
                <c:pt idx="248">
                  <c:v>116.496572597366</c:v>
                </c:pt>
                <c:pt idx="249">
                  <c:v>116.740334315282</c:v>
                </c:pt>
                <c:pt idx="250">
                  <c:v>116.984096033198</c:v>
                </c:pt>
                <c:pt idx="251">
                  <c:v>117.227857751114</c:v>
                </c:pt>
                <c:pt idx="252">
                  <c:v>117.47161946903</c:v>
                </c:pt>
                <c:pt idx="253">
                  <c:v>117.715381186945</c:v>
                </c:pt>
                <c:pt idx="254">
                  <c:v>117.959142904861</c:v>
                </c:pt>
                <c:pt idx="255">
                  <c:v>118.202904622777</c:v>
                </c:pt>
                <c:pt idx="256">
                  <c:v>118.446666340693</c:v>
                </c:pt>
              </c:numCache>
            </c:numRef>
          </c:xVal>
          <c:yVal>
            <c:numRef>
              <c:f>'Part 3'!$L$29:$L$285</c:f>
              <c:numCache>
                <c:formatCode>General</c:formatCode>
                <c:ptCount val="257"/>
                <c:pt idx="0">
                  <c:v>7.91087744575172</c:v>
                </c:pt>
                <c:pt idx="1">
                  <c:v>8.17356272783592</c:v>
                </c:pt>
                <c:pt idx="2">
                  <c:v>7.87078800992012</c:v>
                </c:pt>
                <c:pt idx="3">
                  <c:v>8.24409929200432</c:v>
                </c:pt>
                <c:pt idx="4">
                  <c:v>7.55044657408851</c:v>
                </c:pt>
                <c:pt idx="5">
                  <c:v>8.07373685617273</c:v>
                </c:pt>
                <c:pt idx="6">
                  <c:v>8.15939713825692</c:v>
                </c:pt>
                <c:pt idx="7">
                  <c:v>7.71650842034111</c:v>
                </c:pt>
                <c:pt idx="8">
                  <c:v>6.71061570242531</c:v>
                </c:pt>
                <c:pt idx="9">
                  <c:v>6.17674598450952</c:v>
                </c:pt>
                <c:pt idx="10">
                  <c:v>5.87644326659371</c:v>
                </c:pt>
                <c:pt idx="11">
                  <c:v>6.76112254867792</c:v>
                </c:pt>
                <c:pt idx="12">
                  <c:v>6.00600783076212</c:v>
                </c:pt>
                <c:pt idx="13">
                  <c:v>6.63499611284632</c:v>
                </c:pt>
                <c:pt idx="14">
                  <c:v>6.24618439493052</c:v>
                </c:pt>
                <c:pt idx="15">
                  <c:v>5.24274867701471</c:v>
                </c:pt>
                <c:pt idx="16">
                  <c:v>3.84106195909891</c:v>
                </c:pt>
                <c:pt idx="17">
                  <c:v>4.16027724118311</c:v>
                </c:pt>
                <c:pt idx="18">
                  <c:v>4.86056852326731</c:v>
                </c:pt>
                <c:pt idx="19">
                  <c:v>5.8779918053515</c:v>
                </c:pt>
                <c:pt idx="20">
                  <c:v>4.70248308743571</c:v>
                </c:pt>
                <c:pt idx="21">
                  <c:v>4.84223536951991</c:v>
                </c:pt>
                <c:pt idx="22">
                  <c:v>5.16146165160411</c:v>
                </c:pt>
                <c:pt idx="23">
                  <c:v>5.0873319336883</c:v>
                </c:pt>
                <c:pt idx="24">
                  <c:v>5.7507592157725</c:v>
                </c:pt>
                <c:pt idx="25">
                  <c:v>6.6649254978567</c:v>
                </c:pt>
                <c:pt idx="26">
                  <c:v>6.5563797799409</c:v>
                </c:pt>
                <c:pt idx="27">
                  <c:v>6.14789906202511</c:v>
                </c:pt>
                <c:pt idx="28">
                  <c:v>5.9729703441093</c:v>
                </c:pt>
                <c:pt idx="29">
                  <c:v>5.58663062619351</c:v>
                </c:pt>
                <c:pt idx="30">
                  <c:v>6.4639239082777</c:v>
                </c:pt>
                <c:pt idx="31">
                  <c:v>6.2865381903619</c:v>
                </c:pt>
                <c:pt idx="32">
                  <c:v>7.4293504724461</c:v>
                </c:pt>
                <c:pt idx="33">
                  <c:v>7.15854975453029</c:v>
                </c:pt>
                <c:pt idx="34">
                  <c:v>7.33764703661449</c:v>
                </c:pt>
                <c:pt idx="35">
                  <c:v>7.61753631869869</c:v>
                </c:pt>
                <c:pt idx="36">
                  <c:v>9.0209536007829</c:v>
                </c:pt>
                <c:pt idx="37">
                  <c:v>8.05930388286709</c:v>
                </c:pt>
                <c:pt idx="38">
                  <c:v>8.3982071649513</c:v>
                </c:pt>
                <c:pt idx="39">
                  <c:v>7.8078114470355</c:v>
                </c:pt>
                <c:pt idx="40">
                  <c:v>8.7441037291197</c:v>
                </c:pt>
                <c:pt idx="41">
                  <c:v>10.0836010112038</c:v>
                </c:pt>
                <c:pt idx="42">
                  <c:v>10.011920293288</c:v>
                </c:pt>
                <c:pt idx="43">
                  <c:v>11.3981175753722</c:v>
                </c:pt>
                <c:pt idx="44">
                  <c:v>10.1021408574565</c:v>
                </c:pt>
                <c:pt idx="45">
                  <c:v>9.52894113954069</c:v>
                </c:pt>
                <c:pt idx="46">
                  <c:v>10.2439884216248</c:v>
                </c:pt>
                <c:pt idx="47">
                  <c:v>10.858228703709</c:v>
                </c:pt>
                <c:pt idx="48">
                  <c:v>10.0834379857932</c:v>
                </c:pt>
                <c:pt idx="49">
                  <c:v>10.1174852678774</c:v>
                </c:pt>
                <c:pt idx="50">
                  <c:v>10.2498685499616</c:v>
                </c:pt>
                <c:pt idx="51">
                  <c:v>9.77992583204587</c:v>
                </c:pt>
                <c:pt idx="52">
                  <c:v>7.23503911413008</c:v>
                </c:pt>
                <c:pt idx="53">
                  <c:v>9.1399743962143</c:v>
                </c:pt>
                <c:pt idx="54">
                  <c:v>10.5311006782984</c:v>
                </c:pt>
                <c:pt idx="55">
                  <c:v>10.1717759603826</c:v>
                </c:pt>
                <c:pt idx="56">
                  <c:v>6.39767224246688</c:v>
                </c:pt>
                <c:pt idx="57">
                  <c:v>5.94493352455108</c:v>
                </c:pt>
                <c:pt idx="58">
                  <c:v>8.20635280663528</c:v>
                </c:pt>
                <c:pt idx="59">
                  <c:v>8.60179708871949</c:v>
                </c:pt>
                <c:pt idx="60">
                  <c:v>9.28240537080368</c:v>
                </c:pt>
                <c:pt idx="61">
                  <c:v>7.95188965288788</c:v>
                </c:pt>
                <c:pt idx="62">
                  <c:v>8.08270093497208</c:v>
                </c:pt>
                <c:pt idx="63">
                  <c:v>7.36086521705628</c:v>
                </c:pt>
                <c:pt idx="64">
                  <c:v>8.98751049914048</c:v>
                </c:pt>
                <c:pt idx="65">
                  <c:v>8.16956078122467</c:v>
                </c:pt>
                <c:pt idx="66">
                  <c:v>7.94552106330888</c:v>
                </c:pt>
                <c:pt idx="67">
                  <c:v>6.23549634539307</c:v>
                </c:pt>
                <c:pt idx="68">
                  <c:v>7.13023862747728</c:v>
                </c:pt>
                <c:pt idx="69">
                  <c:v>6.06833890956147</c:v>
                </c:pt>
                <c:pt idx="70">
                  <c:v>4.03795619164567</c:v>
                </c:pt>
                <c:pt idx="71">
                  <c:v>0.129773473729869</c:v>
                </c:pt>
                <c:pt idx="72">
                  <c:v>-2.60293324418591</c:v>
                </c:pt>
                <c:pt idx="73">
                  <c:v>-1.72050496210172</c:v>
                </c:pt>
                <c:pt idx="74">
                  <c:v>-6.67847668001752</c:v>
                </c:pt>
                <c:pt idx="75">
                  <c:v>-6.96166739793332</c:v>
                </c:pt>
                <c:pt idx="76">
                  <c:v>-0.933784115849135</c:v>
                </c:pt>
                <c:pt idx="77">
                  <c:v>-3.51616183376492</c:v>
                </c:pt>
                <c:pt idx="78">
                  <c:v>-0.452840551680722</c:v>
                </c:pt>
                <c:pt idx="79">
                  <c:v>-3.11653926959652</c:v>
                </c:pt>
                <c:pt idx="80">
                  <c:v>-4.31891898751233</c:v>
                </c:pt>
                <c:pt idx="81">
                  <c:v>-10.1960577054281</c:v>
                </c:pt>
                <c:pt idx="82">
                  <c:v>-5.71575942334392</c:v>
                </c:pt>
                <c:pt idx="83">
                  <c:v>-8.40164414125973</c:v>
                </c:pt>
                <c:pt idx="84">
                  <c:v>-15.3483098591755</c:v>
                </c:pt>
                <c:pt idx="85">
                  <c:v>-8.26323757709133</c:v>
                </c:pt>
                <c:pt idx="86">
                  <c:v>-17.3193422950071</c:v>
                </c:pt>
                <c:pt idx="87">
                  <c:v>-14.9386270129229</c:v>
                </c:pt>
                <c:pt idx="88">
                  <c:v>-16.7077867308387</c:v>
                </c:pt>
                <c:pt idx="89">
                  <c:v>-17.4173034487545</c:v>
                </c:pt>
                <c:pt idx="90">
                  <c:v>-21.4905871666703</c:v>
                </c:pt>
                <c:pt idx="91">
                  <c:v>-22.9344638845861</c:v>
                </c:pt>
                <c:pt idx="92">
                  <c:v>-17.6310836025019</c:v>
                </c:pt>
                <c:pt idx="93">
                  <c:v>-18.2099893204177</c:v>
                </c:pt>
                <c:pt idx="94">
                  <c:v>-15.2698750383335</c:v>
                </c:pt>
                <c:pt idx="95">
                  <c:v>-18.1504357562493</c:v>
                </c:pt>
                <c:pt idx="96">
                  <c:v>-16.6519414741651</c:v>
                </c:pt>
                <c:pt idx="97">
                  <c:v>-17.0238461920809</c:v>
                </c:pt>
                <c:pt idx="98">
                  <c:v>-20.5648409099967</c:v>
                </c:pt>
                <c:pt idx="99">
                  <c:v>-19.8179566279125</c:v>
                </c:pt>
                <c:pt idx="100">
                  <c:v>-20.9291463458283</c:v>
                </c:pt>
                <c:pt idx="101">
                  <c:v>-15.9830960637441</c:v>
                </c:pt>
                <c:pt idx="102">
                  <c:v>-16.9760067816599</c:v>
                </c:pt>
                <c:pt idx="103">
                  <c:v>-15.5834664995757</c:v>
                </c:pt>
                <c:pt idx="104">
                  <c:v>-15.3540832174915</c:v>
                </c:pt>
                <c:pt idx="105">
                  <c:v>-14.3016179354073</c:v>
                </c:pt>
                <c:pt idx="106">
                  <c:v>-11.1446536533231</c:v>
                </c:pt>
                <c:pt idx="107">
                  <c:v>-12.0340603712389</c:v>
                </c:pt>
                <c:pt idx="108">
                  <c:v>-11.7208920891547</c:v>
                </c:pt>
                <c:pt idx="109">
                  <c:v>-12.9232718070705</c:v>
                </c:pt>
                <c:pt idx="110">
                  <c:v>-14.6135745249863</c:v>
                </c:pt>
                <c:pt idx="111">
                  <c:v>-16.9667792429021</c:v>
                </c:pt>
                <c:pt idx="112">
                  <c:v>-15.3056269608179</c:v>
                </c:pt>
                <c:pt idx="113">
                  <c:v>-15.8130676787337</c:v>
                </c:pt>
                <c:pt idx="114">
                  <c:v>-14.1001793966495</c:v>
                </c:pt>
                <c:pt idx="115">
                  <c:v>-14.2946551145653</c:v>
                </c:pt>
                <c:pt idx="116">
                  <c:v>-15.6695358324811</c:v>
                </c:pt>
                <c:pt idx="117">
                  <c:v>-13.6584535503969</c:v>
                </c:pt>
                <c:pt idx="118">
                  <c:v>-12.4063952683127</c:v>
                </c:pt>
                <c:pt idx="119">
                  <c:v>-13.8157689862285</c:v>
                </c:pt>
                <c:pt idx="120">
                  <c:v>-13.0516267041443</c:v>
                </c:pt>
                <c:pt idx="121">
                  <c:v>-12.2110984220601</c:v>
                </c:pt>
                <c:pt idx="122">
                  <c:v>-11.6983141399759</c:v>
                </c:pt>
                <c:pt idx="123">
                  <c:v>-11.1756878578917</c:v>
                </c:pt>
                <c:pt idx="124">
                  <c:v>-9.01044557580756</c:v>
                </c:pt>
                <c:pt idx="125">
                  <c:v>-8.03850929372336</c:v>
                </c:pt>
                <c:pt idx="126">
                  <c:v>-9.17910601163916</c:v>
                </c:pt>
                <c:pt idx="127">
                  <c:v>-10.3595517295549</c:v>
                </c:pt>
                <c:pt idx="128">
                  <c:v>-10.1324804474707</c:v>
                </c:pt>
                <c:pt idx="129">
                  <c:v>-10.8321361653865</c:v>
                </c:pt>
                <c:pt idx="130">
                  <c:v>-9.26977588330235</c:v>
                </c:pt>
                <c:pt idx="131">
                  <c:v>-9.96693060121816</c:v>
                </c:pt>
                <c:pt idx="132">
                  <c:v>-8.69354831913396</c:v>
                </c:pt>
                <c:pt idx="133">
                  <c:v>-9.53022103704977</c:v>
                </c:pt>
                <c:pt idx="134">
                  <c:v>-9.26577375496556</c:v>
                </c:pt>
                <c:pt idx="135">
                  <c:v>-10.0476364728813</c:v>
                </c:pt>
                <c:pt idx="136">
                  <c:v>-9.94761719079717</c:v>
                </c:pt>
                <c:pt idx="137">
                  <c:v>-10.1564979087129</c:v>
                </c:pt>
                <c:pt idx="138">
                  <c:v>-10.4774846266287</c:v>
                </c:pt>
                <c:pt idx="139">
                  <c:v>-9.74718634454456</c:v>
                </c:pt>
                <c:pt idx="140">
                  <c:v>-9.61976206246038</c:v>
                </c:pt>
                <c:pt idx="141">
                  <c:v>-9.42008878037617</c:v>
                </c:pt>
                <c:pt idx="142">
                  <c:v>-10.3613824982919</c:v>
                </c:pt>
                <c:pt idx="143">
                  <c:v>-8.31821821620776</c:v>
                </c:pt>
                <c:pt idx="144">
                  <c:v>-8.07371393412357</c:v>
                </c:pt>
                <c:pt idx="145">
                  <c:v>-5.69423765203937</c:v>
                </c:pt>
                <c:pt idx="146">
                  <c:v>-3.73328736995516</c:v>
                </c:pt>
                <c:pt idx="147">
                  <c:v>-8.19714208787098</c:v>
                </c:pt>
                <c:pt idx="148">
                  <c:v>-7.71845380578676</c:v>
                </c:pt>
                <c:pt idx="149">
                  <c:v>-6.91840752370256</c:v>
                </c:pt>
                <c:pt idx="150">
                  <c:v>-4.89766624161838</c:v>
                </c:pt>
                <c:pt idx="151">
                  <c:v>-5.26348995953418</c:v>
                </c:pt>
                <c:pt idx="152">
                  <c:v>-5.47237067744998</c:v>
                </c:pt>
                <c:pt idx="153">
                  <c:v>-6.21687239536578</c:v>
                </c:pt>
                <c:pt idx="154">
                  <c:v>-4.18118411328158</c:v>
                </c:pt>
                <c:pt idx="155">
                  <c:v>-2.51668183119737</c:v>
                </c:pt>
                <c:pt idx="156">
                  <c:v>-4.37225254911319</c:v>
                </c:pt>
                <c:pt idx="157">
                  <c:v>-3.42521826702898</c:v>
                </c:pt>
                <c:pt idx="158">
                  <c:v>-6.46161298494477</c:v>
                </c:pt>
                <c:pt idx="159">
                  <c:v>-4.67504770286058</c:v>
                </c:pt>
                <c:pt idx="160">
                  <c:v>-4.16647542077639</c:v>
                </c:pt>
                <c:pt idx="161">
                  <c:v>-4.58212713869218</c:v>
                </c:pt>
                <c:pt idx="162">
                  <c:v>-4.82588885660797</c:v>
                </c:pt>
                <c:pt idx="163">
                  <c:v>-2.6432125745238</c:v>
                </c:pt>
                <c:pt idx="164">
                  <c:v>-3.17595329243958</c:v>
                </c:pt>
                <c:pt idx="165">
                  <c:v>-1.25735401035538</c:v>
                </c:pt>
                <c:pt idx="166">
                  <c:v>-1.09255372827118</c:v>
                </c:pt>
                <c:pt idx="167">
                  <c:v>-1.16940744618699</c:v>
                </c:pt>
                <c:pt idx="168">
                  <c:v>-1.85411016410279</c:v>
                </c:pt>
                <c:pt idx="169">
                  <c:v>-0.523431882018599</c:v>
                </c:pt>
                <c:pt idx="170">
                  <c:v>-0.102047599934394</c:v>
                </c:pt>
                <c:pt idx="171">
                  <c:v>-1.54407431785018</c:v>
                </c:pt>
                <c:pt idx="172">
                  <c:v>-1.98214903576599</c:v>
                </c:pt>
                <c:pt idx="173">
                  <c:v>-0.203052753681788</c:v>
                </c:pt>
                <c:pt idx="174">
                  <c:v>-1.79954447159759</c:v>
                </c:pt>
                <c:pt idx="175">
                  <c:v>-1.77176818951339</c:v>
                </c:pt>
                <c:pt idx="176">
                  <c:v>-6.4274409074292</c:v>
                </c:pt>
                <c:pt idx="177">
                  <c:v>-6.900397625345</c:v>
                </c:pt>
                <c:pt idx="178">
                  <c:v>-4.95688834326078</c:v>
                </c:pt>
                <c:pt idx="179">
                  <c:v>-6.7526590611766</c:v>
                </c:pt>
                <c:pt idx="180">
                  <c:v>-5.2152167790924</c:v>
                </c:pt>
                <c:pt idx="181">
                  <c:v>-4.31302049700819</c:v>
                </c:pt>
                <c:pt idx="182">
                  <c:v>5.477786785076</c:v>
                </c:pt>
                <c:pt idx="183">
                  <c:v>7.90209206716019</c:v>
                </c:pt>
                <c:pt idx="184">
                  <c:v>8.38327634924439</c:v>
                </c:pt>
                <c:pt idx="185">
                  <c:v>8.53560963132859</c:v>
                </c:pt>
                <c:pt idx="186">
                  <c:v>12.1183319134127</c:v>
                </c:pt>
                <c:pt idx="187">
                  <c:v>9.294027195497</c:v>
                </c:pt>
                <c:pt idx="188">
                  <c:v>10.6624864775811</c:v>
                </c:pt>
                <c:pt idx="189">
                  <c:v>7.07199175966539</c:v>
                </c:pt>
                <c:pt idx="190">
                  <c:v>10.4569760417495</c:v>
                </c:pt>
                <c:pt idx="191">
                  <c:v>12.2097653238337</c:v>
                </c:pt>
                <c:pt idx="192">
                  <c:v>11.8636856059179</c:v>
                </c:pt>
                <c:pt idx="193">
                  <c:v>11.3204318880021</c:v>
                </c:pt>
                <c:pt idx="194">
                  <c:v>12.0300321700864</c:v>
                </c:pt>
                <c:pt idx="195">
                  <c:v>11.9310154521705</c:v>
                </c:pt>
                <c:pt idx="196">
                  <c:v>14.2503337342547</c:v>
                </c:pt>
                <c:pt idx="197">
                  <c:v>20.0910750163389</c:v>
                </c:pt>
                <c:pt idx="198">
                  <c:v>21.3322522984231</c:v>
                </c:pt>
                <c:pt idx="199">
                  <c:v>20.0577675805073</c:v>
                </c:pt>
                <c:pt idx="200">
                  <c:v>21.5085858625915</c:v>
                </c:pt>
                <c:pt idx="201">
                  <c:v>19.7549291446757</c:v>
                </c:pt>
                <c:pt idx="202">
                  <c:v>19.3090184267599</c:v>
                </c:pt>
                <c:pt idx="203">
                  <c:v>23.2904537088441</c:v>
                </c:pt>
                <c:pt idx="204">
                  <c:v>28.1778409909283</c:v>
                </c:pt>
                <c:pt idx="205">
                  <c:v>25.1588722730125</c:v>
                </c:pt>
                <c:pt idx="206">
                  <c:v>14.4132255550967</c:v>
                </c:pt>
                <c:pt idx="207">
                  <c:v>14.2493288371809</c:v>
                </c:pt>
                <c:pt idx="208">
                  <c:v>5.87959011926517</c:v>
                </c:pt>
                <c:pt idx="209">
                  <c:v>10.1280774013493</c:v>
                </c:pt>
                <c:pt idx="210">
                  <c:v>6.06091268343358</c:v>
                </c:pt>
                <c:pt idx="211">
                  <c:v>4.32971696551777</c:v>
                </c:pt>
                <c:pt idx="212">
                  <c:v>7.44016524760198</c:v>
                </c:pt>
                <c:pt idx="213">
                  <c:v>7.37609852968617</c:v>
                </c:pt>
                <c:pt idx="214">
                  <c:v>3.72820781177037</c:v>
                </c:pt>
                <c:pt idx="215">
                  <c:v>1.69752709385457</c:v>
                </c:pt>
                <c:pt idx="216">
                  <c:v>-2.04020662406122</c:v>
                </c:pt>
                <c:pt idx="217">
                  <c:v>0.95045165802297</c:v>
                </c:pt>
                <c:pt idx="218">
                  <c:v>2.43371094010716</c:v>
                </c:pt>
                <c:pt idx="219">
                  <c:v>-2.49197377780862</c:v>
                </c:pt>
                <c:pt idx="220">
                  <c:v>-1.63762949572443</c:v>
                </c:pt>
                <c:pt idx="221">
                  <c:v>2.17161778635977</c:v>
                </c:pt>
                <c:pt idx="222">
                  <c:v>4.60324106844397</c:v>
                </c:pt>
                <c:pt idx="223">
                  <c:v>3.49097135052817</c:v>
                </c:pt>
                <c:pt idx="224">
                  <c:v>4.96425063261236</c:v>
                </c:pt>
                <c:pt idx="225">
                  <c:v>5.69880691469656</c:v>
                </c:pt>
                <c:pt idx="226">
                  <c:v>1.69153319678078</c:v>
                </c:pt>
                <c:pt idx="227">
                  <c:v>4.92177847886496</c:v>
                </c:pt>
                <c:pt idx="228">
                  <c:v>1.34377276094916</c:v>
                </c:pt>
                <c:pt idx="229">
                  <c:v>3.01670504303336</c:v>
                </c:pt>
                <c:pt idx="230">
                  <c:v>2.66312632511755</c:v>
                </c:pt>
                <c:pt idx="231">
                  <c:v>4.41592360720176</c:v>
                </c:pt>
                <c:pt idx="232">
                  <c:v>11.5893678892859</c:v>
                </c:pt>
                <c:pt idx="233">
                  <c:v>8.05128717137016</c:v>
                </c:pt>
                <c:pt idx="234">
                  <c:v>7.89736845345436</c:v>
                </c:pt>
                <c:pt idx="235">
                  <c:v>7.17443573553856</c:v>
                </c:pt>
                <c:pt idx="236">
                  <c:v>5.24357801762275</c:v>
                </c:pt>
                <c:pt idx="237">
                  <c:v>1.96505729970697</c:v>
                </c:pt>
                <c:pt idx="238">
                  <c:v>3.24866158179115</c:v>
                </c:pt>
                <c:pt idx="239">
                  <c:v>2.36600686387535</c:v>
                </c:pt>
                <c:pt idx="240">
                  <c:v>1.00416514595956</c:v>
                </c:pt>
                <c:pt idx="241">
                  <c:v>0.0516324280437601</c:v>
                </c:pt>
                <c:pt idx="242">
                  <c:v>-0.182150289872041</c:v>
                </c:pt>
                <c:pt idx="243">
                  <c:v>1.12141399221215</c:v>
                </c:pt>
                <c:pt idx="244">
                  <c:v>-4.51304972570363</c:v>
                </c:pt>
                <c:pt idx="245">
                  <c:v>-0.643903443619436</c:v>
                </c:pt>
                <c:pt idx="246">
                  <c:v>-7.33653316153524</c:v>
                </c:pt>
                <c:pt idx="247">
                  <c:v>-7.67014687945105</c:v>
                </c:pt>
                <c:pt idx="248">
                  <c:v>-6.24677859736685</c:v>
                </c:pt>
                <c:pt idx="249">
                  <c:v>-1.98831231528265</c:v>
                </c:pt>
                <c:pt idx="250">
                  <c:v>1.84090096680154</c:v>
                </c:pt>
                <c:pt idx="251">
                  <c:v>1.46214424888576</c:v>
                </c:pt>
                <c:pt idx="252">
                  <c:v>-1.15161946903006</c:v>
                </c:pt>
                <c:pt idx="253">
                  <c:v>-1.74538118694584</c:v>
                </c:pt>
                <c:pt idx="254">
                  <c:v>1.53085709513834</c:v>
                </c:pt>
                <c:pt idx="255">
                  <c:v>1.00709537722254</c:v>
                </c:pt>
                <c:pt idx="256">
                  <c:v>0.813333659306749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193880"/>
        <c:axId val="243205880"/>
      </c:scatterChart>
      <c:valAx>
        <c:axId val="243193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205880"/>
        <c:crosses val="autoZero"/>
        <c:crossBetween val="midCat"/>
      </c:valAx>
      <c:valAx>
        <c:axId val="24320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values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193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7" Type="http://schemas.openxmlformats.org/officeDocument/2006/relationships/chart" Target="../charts/chart8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161925</xdr:rowOff>
    </xdr:from>
    <xdr:to>
      <xdr:col>6</xdr:col>
      <xdr:colOff>381000</xdr:colOff>
      <xdr:row>15</xdr:row>
      <xdr:rowOff>104775</xdr:rowOff>
    </xdr:to>
    <xdr:graphicFrame>
      <xdr:nvGraphicFramePr>
        <xdr:cNvPr id="2" name="Chart 1"/>
        <xdr:cNvGraphicFramePr/>
      </xdr:nvGraphicFramePr>
      <xdr:xfrm>
        <a:off x="838200" y="360045"/>
        <a:ext cx="5229225" cy="2716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9525</xdr:colOff>
      <xdr:row>40</xdr:row>
      <xdr:rowOff>190500</xdr:rowOff>
    </xdr:from>
    <xdr:to>
      <xdr:col>23</xdr:col>
      <xdr:colOff>390525</xdr:colOff>
      <xdr:row>54</xdr:row>
      <xdr:rowOff>133350</xdr:rowOff>
    </xdr:to>
    <xdr:graphicFrame>
      <xdr:nvGraphicFramePr>
        <xdr:cNvPr id="21" name="Chart 20"/>
        <xdr:cNvGraphicFramePr/>
      </xdr:nvGraphicFramePr>
      <xdr:xfrm>
        <a:off x="20450175" y="8511540"/>
        <a:ext cx="4572000" cy="2716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24</xdr:row>
      <xdr:rowOff>133350</xdr:rowOff>
    </xdr:from>
    <xdr:to>
      <xdr:col>23</xdr:col>
      <xdr:colOff>381000</xdr:colOff>
      <xdr:row>38</xdr:row>
      <xdr:rowOff>76200</xdr:rowOff>
    </xdr:to>
    <xdr:graphicFrame>
      <xdr:nvGraphicFramePr>
        <xdr:cNvPr id="22" name="Chart 21"/>
        <xdr:cNvGraphicFramePr/>
      </xdr:nvGraphicFramePr>
      <xdr:xfrm>
        <a:off x="20440650" y="5284470"/>
        <a:ext cx="4572000" cy="2716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809625</xdr:colOff>
      <xdr:row>56</xdr:row>
      <xdr:rowOff>171450</xdr:rowOff>
    </xdr:from>
    <xdr:to>
      <xdr:col>23</xdr:col>
      <xdr:colOff>352425</xdr:colOff>
      <xdr:row>70</xdr:row>
      <xdr:rowOff>114300</xdr:rowOff>
    </xdr:to>
    <xdr:graphicFrame>
      <xdr:nvGraphicFramePr>
        <xdr:cNvPr id="23" name="Chart 22"/>
        <xdr:cNvGraphicFramePr/>
      </xdr:nvGraphicFramePr>
      <xdr:xfrm>
        <a:off x="20412075" y="11662410"/>
        <a:ext cx="4572000" cy="2716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9525</xdr:colOff>
      <xdr:row>43</xdr:row>
      <xdr:rowOff>0</xdr:rowOff>
    </xdr:from>
    <xdr:to>
      <xdr:col>37</xdr:col>
      <xdr:colOff>390525</xdr:colOff>
      <xdr:row>56</xdr:row>
      <xdr:rowOff>142875</xdr:rowOff>
    </xdr:to>
    <xdr:graphicFrame>
      <xdr:nvGraphicFramePr>
        <xdr:cNvPr id="24" name="Chart 23"/>
        <xdr:cNvGraphicFramePr/>
      </xdr:nvGraphicFramePr>
      <xdr:xfrm>
        <a:off x="35271075" y="8915400"/>
        <a:ext cx="4572000" cy="2718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819150</xdr:colOff>
      <xdr:row>26</xdr:row>
      <xdr:rowOff>0</xdr:rowOff>
    </xdr:from>
    <xdr:to>
      <xdr:col>37</xdr:col>
      <xdr:colOff>361950</xdr:colOff>
      <xdr:row>39</xdr:row>
      <xdr:rowOff>142875</xdr:rowOff>
    </xdr:to>
    <xdr:graphicFrame>
      <xdr:nvGraphicFramePr>
        <xdr:cNvPr id="25" name="Chart 24"/>
        <xdr:cNvGraphicFramePr/>
      </xdr:nvGraphicFramePr>
      <xdr:xfrm>
        <a:off x="35242500" y="5547360"/>
        <a:ext cx="4572000" cy="2718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809625</xdr:colOff>
      <xdr:row>58</xdr:row>
      <xdr:rowOff>152400</xdr:rowOff>
    </xdr:from>
    <xdr:to>
      <xdr:col>37</xdr:col>
      <xdr:colOff>352425</xdr:colOff>
      <xdr:row>72</xdr:row>
      <xdr:rowOff>95250</xdr:rowOff>
    </xdr:to>
    <xdr:graphicFrame>
      <xdr:nvGraphicFramePr>
        <xdr:cNvPr id="26" name="Chart 25"/>
        <xdr:cNvGraphicFramePr/>
      </xdr:nvGraphicFramePr>
      <xdr:xfrm>
        <a:off x="35232975" y="12039600"/>
        <a:ext cx="4572000" cy="2716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190500</xdr:colOff>
      <xdr:row>74</xdr:row>
      <xdr:rowOff>0</xdr:rowOff>
    </xdr:from>
    <xdr:to>
      <xdr:col>37</xdr:col>
      <xdr:colOff>571500</xdr:colOff>
      <xdr:row>87</xdr:row>
      <xdr:rowOff>142875</xdr:rowOff>
    </xdr:to>
    <xdr:graphicFrame>
      <xdr:nvGraphicFramePr>
        <xdr:cNvPr id="7" name="Chart 6"/>
        <xdr:cNvGraphicFramePr/>
      </xdr:nvGraphicFramePr>
      <xdr:xfrm>
        <a:off x="35452050" y="15057120"/>
        <a:ext cx="4572000" cy="2718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72</xdr:row>
      <xdr:rowOff>0</xdr:rowOff>
    </xdr:from>
    <xdr:to>
      <xdr:col>23</xdr:col>
      <xdr:colOff>381000</xdr:colOff>
      <xdr:row>85</xdr:row>
      <xdr:rowOff>142875</xdr:rowOff>
    </xdr:to>
    <xdr:graphicFrame>
      <xdr:nvGraphicFramePr>
        <xdr:cNvPr id="8" name="Chart 7"/>
        <xdr:cNvGraphicFramePr/>
      </xdr:nvGraphicFramePr>
      <xdr:xfrm>
        <a:off x="20440650" y="14660880"/>
        <a:ext cx="4572000" cy="2718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258"/>
  <sheetViews>
    <sheetView workbookViewId="0">
      <selection activeCell="C24" sqref="C24"/>
    </sheetView>
  </sheetViews>
  <sheetFormatPr defaultColWidth="11" defaultRowHeight="15.6" outlineLevelCol="5"/>
  <cols>
    <col min="1" max="2" width="10.875" style="5"/>
    <col min="3" max="3" width="24.375" style="5" customWidth="1"/>
    <col min="4" max="4" width="23.125" style="5" customWidth="1"/>
    <col min="5" max="5" width="29" style="5" customWidth="1"/>
    <col min="6" max="6" width="26.125" style="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59">
        <v>43777</v>
      </c>
      <c r="B2" s="5">
        <v>1</v>
      </c>
      <c r="C2" s="6">
        <v>63.954544</v>
      </c>
      <c r="D2" s="5">
        <v>69986400</v>
      </c>
      <c r="E2" s="6">
        <v>177.029373</v>
      </c>
      <c r="F2" s="5">
        <v>1636800</v>
      </c>
    </row>
    <row r="3" spans="1:6">
      <c r="A3" s="59">
        <v>43780</v>
      </c>
      <c r="B3" s="5">
        <v>2</v>
      </c>
      <c r="C3" s="6">
        <v>64.460991</v>
      </c>
      <c r="D3" s="5">
        <v>81821200</v>
      </c>
      <c r="E3" s="6">
        <v>176.658142</v>
      </c>
      <c r="F3" s="5">
        <v>1594600</v>
      </c>
    </row>
    <row r="4" spans="1:6">
      <c r="A4" s="59">
        <v>43781</v>
      </c>
      <c r="B4" s="5">
        <v>3</v>
      </c>
      <c r="C4" s="6">
        <v>64.401978</v>
      </c>
      <c r="D4" s="5">
        <v>87388800</v>
      </c>
      <c r="E4" s="6">
        <v>177.810913</v>
      </c>
      <c r="F4" s="5">
        <v>1816900</v>
      </c>
    </row>
    <row r="5" spans="1:6">
      <c r="A5" s="59">
        <v>43782</v>
      </c>
      <c r="B5" s="5">
        <v>4</v>
      </c>
      <c r="C5" s="6">
        <v>65.019051</v>
      </c>
      <c r="D5" s="5">
        <v>102734400</v>
      </c>
      <c r="E5" s="6">
        <v>177.752319</v>
      </c>
      <c r="F5" s="5">
        <v>1855200</v>
      </c>
    </row>
    <row r="6" spans="1:6">
      <c r="A6" s="59">
        <v>43783</v>
      </c>
      <c r="B6" s="5">
        <v>5</v>
      </c>
      <c r="C6" s="6">
        <v>64.56916</v>
      </c>
      <c r="D6" s="5">
        <v>89182800</v>
      </c>
      <c r="E6" s="6">
        <v>176.377808</v>
      </c>
      <c r="F6" s="5">
        <v>2208300</v>
      </c>
    </row>
    <row r="7" spans="1:6">
      <c r="A7" s="59">
        <v>43784</v>
      </c>
      <c r="B7" s="5">
        <v>6</v>
      </c>
      <c r="C7" s="6">
        <v>65.336212</v>
      </c>
      <c r="D7" s="5">
        <v>100206400</v>
      </c>
      <c r="E7" s="6">
        <v>178.43956</v>
      </c>
      <c r="F7" s="5">
        <v>3242700</v>
      </c>
    </row>
    <row r="8" spans="1:6">
      <c r="A8" s="59">
        <v>43787</v>
      </c>
      <c r="B8" s="5">
        <v>7</v>
      </c>
      <c r="C8" s="6">
        <v>65.665634</v>
      </c>
      <c r="D8" s="5">
        <v>86703200</v>
      </c>
      <c r="E8" s="6">
        <v>176.52507</v>
      </c>
      <c r="F8" s="5">
        <v>2405800</v>
      </c>
    </row>
    <row r="9" spans="1:6">
      <c r="A9" s="59">
        <v>43788</v>
      </c>
      <c r="B9" s="5">
        <v>8</v>
      </c>
      <c r="C9" s="6">
        <v>65.466507</v>
      </c>
      <c r="D9" s="5">
        <v>76167200</v>
      </c>
      <c r="E9" s="6">
        <v>176.839249</v>
      </c>
      <c r="F9" s="5">
        <v>2673200</v>
      </c>
    </row>
    <row r="10" spans="1:6">
      <c r="A10" s="59">
        <v>43789</v>
      </c>
      <c r="B10" s="5">
        <v>9</v>
      </c>
      <c r="C10" s="6">
        <v>64.704376</v>
      </c>
      <c r="D10" s="5">
        <v>106234400</v>
      </c>
      <c r="E10" s="6">
        <v>173.992081</v>
      </c>
      <c r="F10" s="5">
        <v>4190700</v>
      </c>
    </row>
    <row r="11" spans="1:6">
      <c r="A11" s="59">
        <v>43790</v>
      </c>
      <c r="B11" s="5">
        <v>10</v>
      </c>
      <c r="C11" s="6">
        <v>64.414268</v>
      </c>
      <c r="D11" s="5">
        <v>121395200</v>
      </c>
      <c r="E11" s="6">
        <v>173.314636</v>
      </c>
      <c r="F11" s="5">
        <v>3135100</v>
      </c>
    </row>
    <row r="12" spans="1:6">
      <c r="A12" s="59">
        <v>43791</v>
      </c>
      <c r="B12" s="5">
        <v>11</v>
      </c>
      <c r="C12" s="6">
        <v>64.357727</v>
      </c>
      <c r="D12" s="5">
        <v>65325200</v>
      </c>
      <c r="E12" s="6">
        <v>173.569901</v>
      </c>
      <c r="F12" s="5">
        <v>1852200</v>
      </c>
    </row>
    <row r="13" spans="1:6">
      <c r="A13" s="59">
        <v>43794</v>
      </c>
      <c r="B13" s="5">
        <v>12</v>
      </c>
      <c r="C13" s="6">
        <v>65.486168</v>
      </c>
      <c r="D13" s="5">
        <v>84020400</v>
      </c>
      <c r="E13" s="6">
        <v>173.294998</v>
      </c>
      <c r="F13" s="5">
        <v>2657500</v>
      </c>
    </row>
    <row r="14" spans="1:6">
      <c r="A14" s="59">
        <v>43795</v>
      </c>
      <c r="B14" s="5">
        <v>13</v>
      </c>
      <c r="C14" s="6">
        <v>64.974815</v>
      </c>
      <c r="D14" s="5">
        <v>105207600</v>
      </c>
      <c r="E14" s="6">
        <v>175.268387</v>
      </c>
      <c r="F14" s="5">
        <v>4578900</v>
      </c>
    </row>
    <row r="15" spans="1:6">
      <c r="A15" s="59">
        <v>43796</v>
      </c>
      <c r="B15" s="5">
        <v>14</v>
      </c>
      <c r="C15" s="6">
        <v>65.847565</v>
      </c>
      <c r="D15" s="5">
        <v>65235600</v>
      </c>
      <c r="E15" s="6">
        <v>176.151993</v>
      </c>
      <c r="F15" s="5">
        <v>1044800</v>
      </c>
    </row>
    <row r="16" spans="1:6">
      <c r="A16" s="59">
        <v>43798</v>
      </c>
      <c r="B16" s="5">
        <v>15</v>
      </c>
      <c r="C16" s="6">
        <v>65.702515</v>
      </c>
      <c r="D16" s="5">
        <v>46617600</v>
      </c>
      <c r="E16" s="6">
        <v>175.297852</v>
      </c>
      <c r="F16" s="5">
        <v>1633100</v>
      </c>
    </row>
    <row r="17" spans="1:6">
      <c r="A17" s="59">
        <v>43801</v>
      </c>
      <c r="B17" s="5">
        <v>16</v>
      </c>
      <c r="C17" s="6">
        <v>64.942841</v>
      </c>
      <c r="D17" s="5">
        <v>94487200</v>
      </c>
      <c r="E17" s="6">
        <v>171.144913</v>
      </c>
      <c r="F17" s="5">
        <v>3053500</v>
      </c>
    </row>
    <row r="18" spans="1:6">
      <c r="A18" s="59">
        <v>43802</v>
      </c>
      <c r="B18" s="5">
        <v>17</v>
      </c>
      <c r="C18" s="6">
        <v>63.784916</v>
      </c>
      <c r="D18" s="5">
        <v>114430400</v>
      </c>
      <c r="E18" s="6">
        <v>169.407135</v>
      </c>
      <c r="F18" s="5">
        <v>3775500</v>
      </c>
    </row>
    <row r="19" spans="1:6">
      <c r="A19" s="59">
        <v>43803</v>
      </c>
      <c r="B19" s="5">
        <v>18</v>
      </c>
      <c r="C19" s="6">
        <v>64.347893</v>
      </c>
      <c r="D19" s="5">
        <v>67181600</v>
      </c>
      <c r="E19" s="6">
        <v>170.055115</v>
      </c>
      <c r="F19" s="5">
        <v>2933400</v>
      </c>
    </row>
    <row r="20" spans="1:6">
      <c r="A20" s="59">
        <v>43804</v>
      </c>
      <c r="B20" s="5">
        <v>19</v>
      </c>
      <c r="C20" s="6">
        <v>65.291946</v>
      </c>
      <c r="D20" s="5">
        <v>74424400</v>
      </c>
      <c r="E20" s="6">
        <v>170.84053</v>
      </c>
      <c r="F20" s="5">
        <v>2342100</v>
      </c>
    </row>
    <row r="21" spans="1:6">
      <c r="A21" s="59">
        <v>43805</v>
      </c>
      <c r="B21" s="5">
        <v>20</v>
      </c>
      <c r="C21" s="6">
        <v>66.553131</v>
      </c>
      <c r="D21" s="5">
        <v>106075600</v>
      </c>
      <c r="E21" s="6">
        <v>172.264145</v>
      </c>
      <c r="F21" s="5">
        <v>2118000</v>
      </c>
    </row>
    <row r="22" spans="1:6">
      <c r="A22" s="59">
        <v>43808</v>
      </c>
      <c r="B22" s="5">
        <v>21</v>
      </c>
      <c r="C22" s="6">
        <v>65.621384</v>
      </c>
      <c r="D22" s="5">
        <v>128042400</v>
      </c>
      <c r="E22" s="6">
        <v>171.311798</v>
      </c>
      <c r="F22" s="5">
        <v>1556500</v>
      </c>
    </row>
    <row r="23" spans="1:6">
      <c r="A23" s="59">
        <v>43809</v>
      </c>
      <c r="B23" s="5">
        <v>22</v>
      </c>
      <c r="C23" s="6">
        <v>66.004898</v>
      </c>
      <c r="D23" s="5">
        <v>90420400</v>
      </c>
      <c r="E23" s="6">
        <v>170.86998</v>
      </c>
      <c r="F23" s="5">
        <v>2027800</v>
      </c>
    </row>
    <row r="24" spans="1:6">
      <c r="A24" s="59">
        <v>43810</v>
      </c>
      <c r="B24" s="5">
        <v>23</v>
      </c>
      <c r="C24" s="6">
        <v>66.567886</v>
      </c>
      <c r="D24" s="5">
        <v>78756800</v>
      </c>
      <c r="E24" s="6">
        <v>172.804092</v>
      </c>
      <c r="F24" s="5">
        <v>2174100</v>
      </c>
    </row>
    <row r="25" spans="1:6">
      <c r="A25" s="59">
        <v>43811</v>
      </c>
      <c r="B25" s="5">
        <v>24</v>
      </c>
      <c r="C25" s="6">
        <v>66.737518</v>
      </c>
      <c r="D25" s="5">
        <v>137310400</v>
      </c>
      <c r="E25" s="6">
        <v>174.158981</v>
      </c>
      <c r="F25" s="5">
        <v>2277600</v>
      </c>
    </row>
    <row r="26" spans="1:6">
      <c r="A26" s="59">
        <v>43812</v>
      </c>
      <c r="B26" s="5">
        <v>25</v>
      </c>
      <c r="C26" s="6">
        <v>67.644707</v>
      </c>
      <c r="D26" s="5">
        <v>133587600</v>
      </c>
      <c r="E26" s="6">
        <v>173.756439</v>
      </c>
      <c r="F26" s="5">
        <v>2050200</v>
      </c>
    </row>
    <row r="27" spans="1:6">
      <c r="A27" s="59">
        <v>43815</v>
      </c>
      <c r="B27" s="5">
        <v>26</v>
      </c>
      <c r="C27" s="6">
        <v>68.802635</v>
      </c>
      <c r="D27" s="5">
        <v>128186000</v>
      </c>
      <c r="E27" s="6">
        <v>173.186996</v>
      </c>
      <c r="F27" s="5">
        <v>3207600</v>
      </c>
    </row>
    <row r="28" spans="1:6">
      <c r="A28" s="59">
        <v>43816</v>
      </c>
      <c r="B28" s="5">
        <v>27</v>
      </c>
      <c r="C28" s="6">
        <v>68.937851</v>
      </c>
      <c r="D28" s="5">
        <v>114158400</v>
      </c>
      <c r="E28" s="6">
        <v>173.481537</v>
      </c>
      <c r="F28" s="5">
        <v>3039800</v>
      </c>
    </row>
    <row r="29" spans="1:6">
      <c r="A29" s="59">
        <v>43817</v>
      </c>
      <c r="B29" s="5">
        <v>28</v>
      </c>
      <c r="C29" s="6">
        <v>68.773132</v>
      </c>
      <c r="D29" s="5">
        <v>116028400</v>
      </c>
      <c r="E29" s="6">
        <v>171.459061</v>
      </c>
      <c r="F29" s="5">
        <v>3614700</v>
      </c>
    </row>
    <row r="30" spans="1:6">
      <c r="A30" s="59">
        <v>43818</v>
      </c>
      <c r="B30" s="5">
        <v>29</v>
      </c>
      <c r="C30" s="6">
        <v>68.841965</v>
      </c>
      <c r="D30" s="5">
        <v>98369200</v>
      </c>
      <c r="E30" s="6">
        <v>173.285187</v>
      </c>
      <c r="F30" s="5">
        <v>2680600</v>
      </c>
    </row>
    <row r="31" spans="1:6">
      <c r="A31" s="59">
        <v>43819</v>
      </c>
      <c r="B31" s="5">
        <v>30</v>
      </c>
      <c r="C31" s="6">
        <v>68.699387</v>
      </c>
      <c r="D31" s="5">
        <v>275978000</v>
      </c>
      <c r="E31" s="6">
        <v>173.196823</v>
      </c>
      <c r="F31" s="5">
        <v>4351900</v>
      </c>
    </row>
    <row r="32" spans="1:6">
      <c r="A32" s="59">
        <v>43822</v>
      </c>
      <c r="B32" s="5">
        <v>31</v>
      </c>
      <c r="C32" s="6">
        <v>69.820442</v>
      </c>
      <c r="D32" s="5">
        <v>98572000</v>
      </c>
      <c r="E32" s="6">
        <v>173.216461</v>
      </c>
      <c r="F32" s="5">
        <v>2577700</v>
      </c>
    </row>
    <row r="33" spans="1:6">
      <c r="A33" s="59">
        <v>43823</v>
      </c>
      <c r="B33" s="5">
        <v>32</v>
      </c>
      <c r="C33" s="6">
        <v>69.886818</v>
      </c>
      <c r="D33" s="5">
        <v>48478800</v>
      </c>
      <c r="E33" s="6">
        <v>173.098648</v>
      </c>
      <c r="F33" s="5">
        <v>625500</v>
      </c>
    </row>
    <row r="34" spans="1:6">
      <c r="A34" s="59">
        <v>43825</v>
      </c>
      <c r="B34" s="5">
        <v>33</v>
      </c>
      <c r="C34" s="6">
        <v>71.273392</v>
      </c>
      <c r="D34" s="5">
        <v>93121200</v>
      </c>
      <c r="E34" s="6">
        <v>173.658264</v>
      </c>
      <c r="F34" s="5">
        <v>1269700</v>
      </c>
    </row>
    <row r="35" spans="1:6">
      <c r="A35" s="59">
        <v>43826</v>
      </c>
      <c r="B35" s="5">
        <v>34</v>
      </c>
      <c r="C35" s="6">
        <v>71.246353</v>
      </c>
      <c r="D35" s="5">
        <v>146266000</v>
      </c>
      <c r="E35" s="6">
        <v>173.265564</v>
      </c>
      <c r="F35" s="5">
        <v>1303900</v>
      </c>
    </row>
    <row r="36" spans="1:6">
      <c r="A36" s="59">
        <v>43829</v>
      </c>
      <c r="B36" s="5">
        <v>35</v>
      </c>
      <c r="C36" s="6">
        <v>71.669212</v>
      </c>
      <c r="D36" s="5">
        <v>144114400</v>
      </c>
      <c r="E36" s="6">
        <v>173.206619</v>
      </c>
      <c r="F36" s="5">
        <v>1670100</v>
      </c>
    </row>
    <row r="37" spans="1:6">
      <c r="A37" s="59">
        <v>43830</v>
      </c>
      <c r="B37" s="5">
        <v>36</v>
      </c>
      <c r="C37" s="6">
        <v>72.192863</v>
      </c>
      <c r="D37" s="5">
        <v>100805600</v>
      </c>
      <c r="E37" s="6">
        <v>173.776062</v>
      </c>
      <c r="F37" s="5">
        <v>1728900</v>
      </c>
    </row>
    <row r="38" spans="1:6">
      <c r="A38" s="59">
        <v>43832</v>
      </c>
      <c r="B38" s="5">
        <v>37</v>
      </c>
      <c r="C38" s="6">
        <v>73.840042</v>
      </c>
      <c r="D38" s="5">
        <v>135480400</v>
      </c>
      <c r="E38" s="6">
        <v>177.49704</v>
      </c>
      <c r="F38" s="5">
        <v>2857400</v>
      </c>
    </row>
    <row r="39" spans="1:6">
      <c r="A39" s="59">
        <v>43833</v>
      </c>
      <c r="B39" s="5">
        <v>38</v>
      </c>
      <c r="C39" s="6">
        <v>73.122154</v>
      </c>
      <c r="D39" s="5">
        <v>146322800</v>
      </c>
      <c r="E39" s="6">
        <v>175.602203</v>
      </c>
      <c r="F39" s="5">
        <v>2805200</v>
      </c>
    </row>
    <row r="40" spans="1:6">
      <c r="A40" s="59">
        <v>43836</v>
      </c>
      <c r="B40" s="5">
        <v>39</v>
      </c>
      <c r="C40" s="6">
        <v>73.704819</v>
      </c>
      <c r="D40" s="5">
        <v>118387200</v>
      </c>
      <c r="E40" s="6">
        <v>174.276794</v>
      </c>
      <c r="F40" s="5">
        <v>3277900</v>
      </c>
    </row>
    <row r="41" spans="1:6">
      <c r="A41" s="59">
        <v>43837</v>
      </c>
      <c r="B41" s="5">
        <v>40</v>
      </c>
      <c r="C41" s="6">
        <v>73.358185</v>
      </c>
      <c r="D41" s="5">
        <v>108872000</v>
      </c>
      <c r="E41" s="6">
        <v>174.374969</v>
      </c>
      <c r="F41" s="5">
        <v>3002800</v>
      </c>
    </row>
    <row r="42" spans="1:6">
      <c r="A42" s="59">
        <v>43838</v>
      </c>
      <c r="B42" s="5">
        <v>41</v>
      </c>
      <c r="C42" s="6">
        <v>74.538239</v>
      </c>
      <c r="D42" s="5">
        <v>132079200</v>
      </c>
      <c r="E42" s="6">
        <v>174.522232</v>
      </c>
      <c r="F42" s="5">
        <v>2545500</v>
      </c>
    </row>
    <row r="43" spans="1:6">
      <c r="A43" s="59">
        <v>43839</v>
      </c>
      <c r="B43" s="5">
        <v>42</v>
      </c>
      <c r="C43" s="6">
        <v>76.121498</v>
      </c>
      <c r="D43" s="5">
        <v>170108400</v>
      </c>
      <c r="E43" s="6">
        <v>175.80838</v>
      </c>
      <c r="F43" s="5">
        <v>1789500</v>
      </c>
    </row>
    <row r="44" spans="1:6">
      <c r="A44" s="59">
        <v>43840</v>
      </c>
      <c r="B44" s="5">
        <v>43</v>
      </c>
      <c r="C44" s="6">
        <v>76.293579</v>
      </c>
      <c r="D44" s="5">
        <v>140644800</v>
      </c>
      <c r="E44" s="6">
        <v>175.425461</v>
      </c>
      <c r="F44" s="5">
        <v>1671700</v>
      </c>
    </row>
    <row r="45" spans="1:6">
      <c r="A45" s="59">
        <v>43843</v>
      </c>
      <c r="B45" s="5">
        <v>44</v>
      </c>
      <c r="C45" s="6">
        <v>77.923538</v>
      </c>
      <c r="D45" s="5">
        <v>121532000</v>
      </c>
      <c r="E45" s="6">
        <v>177.968292</v>
      </c>
      <c r="F45" s="5">
        <v>2261900</v>
      </c>
    </row>
    <row r="46" spans="1:6">
      <c r="A46" s="59">
        <v>43844</v>
      </c>
      <c r="B46" s="5">
        <v>45</v>
      </c>
      <c r="C46" s="6">
        <v>76.871323</v>
      </c>
      <c r="D46" s="5">
        <v>161954400</v>
      </c>
      <c r="E46" s="6">
        <v>177.163223</v>
      </c>
      <c r="F46" s="5">
        <v>2191200</v>
      </c>
    </row>
    <row r="47" spans="1:6">
      <c r="A47" s="59">
        <v>43845</v>
      </c>
      <c r="B47" s="5">
        <v>46</v>
      </c>
      <c r="C47" s="6">
        <v>76.541885</v>
      </c>
      <c r="D47" s="5">
        <v>121923600</v>
      </c>
      <c r="E47" s="6">
        <v>177.438126</v>
      </c>
      <c r="F47" s="5">
        <v>2600800</v>
      </c>
    </row>
    <row r="48" spans="1:6">
      <c r="A48" s="59">
        <v>43846</v>
      </c>
      <c r="B48" s="5">
        <v>47</v>
      </c>
      <c r="C48" s="6">
        <v>77.500694</v>
      </c>
      <c r="D48" s="5">
        <v>108829200</v>
      </c>
      <c r="E48" s="6">
        <v>178.940262</v>
      </c>
      <c r="F48" s="5">
        <v>2215400</v>
      </c>
    </row>
    <row r="49" spans="1:6">
      <c r="A49" s="59">
        <v>43847</v>
      </c>
      <c r="B49" s="5">
        <v>48</v>
      </c>
      <c r="C49" s="6">
        <v>78.358696</v>
      </c>
      <c r="D49" s="5">
        <v>137816400</v>
      </c>
      <c r="E49" s="6">
        <v>179.892593</v>
      </c>
      <c r="F49" s="5">
        <v>2608000</v>
      </c>
    </row>
    <row r="50" spans="1:6">
      <c r="A50" s="59">
        <v>43851</v>
      </c>
      <c r="B50" s="5">
        <v>49</v>
      </c>
      <c r="C50" s="6">
        <v>77.827667</v>
      </c>
      <c r="D50" s="5">
        <v>110843200</v>
      </c>
      <c r="E50" s="6">
        <v>177.634491</v>
      </c>
      <c r="F50" s="5">
        <v>2188600</v>
      </c>
    </row>
    <row r="51" spans="1:6">
      <c r="A51" s="59">
        <v>43852</v>
      </c>
      <c r="B51" s="5">
        <v>50</v>
      </c>
      <c r="C51" s="6">
        <v>78.105476</v>
      </c>
      <c r="D51" s="5">
        <v>101832400</v>
      </c>
      <c r="E51" s="6">
        <v>176.770523</v>
      </c>
      <c r="F51" s="5">
        <v>1881700</v>
      </c>
    </row>
    <row r="52" spans="1:6">
      <c r="A52" s="59">
        <v>43853</v>
      </c>
      <c r="B52" s="5">
        <v>51</v>
      </c>
      <c r="C52" s="6">
        <v>78.481621</v>
      </c>
      <c r="D52" s="5">
        <v>104472000</v>
      </c>
      <c r="E52" s="6">
        <v>176.309097</v>
      </c>
      <c r="F52" s="5">
        <v>2434000</v>
      </c>
    </row>
    <row r="53" spans="1:6">
      <c r="A53" s="59">
        <v>43854</v>
      </c>
      <c r="B53" s="5">
        <v>52</v>
      </c>
      <c r="C53" s="6">
        <v>78.25544</v>
      </c>
      <c r="D53" s="5">
        <v>146537600</v>
      </c>
      <c r="E53" s="6">
        <v>173.903717</v>
      </c>
      <c r="F53" s="5">
        <v>2737000</v>
      </c>
    </row>
    <row r="54" spans="1:6">
      <c r="A54" s="59">
        <v>43857</v>
      </c>
      <c r="B54" s="5">
        <v>53</v>
      </c>
      <c r="C54" s="6">
        <v>75.954315</v>
      </c>
      <c r="D54" s="5">
        <v>161940000</v>
      </c>
      <c r="E54" s="6">
        <v>170.379089</v>
      </c>
      <c r="F54" s="5">
        <v>2491500</v>
      </c>
    </row>
    <row r="55" spans="1:6">
      <c r="A55" s="59">
        <v>43858</v>
      </c>
      <c r="B55" s="5">
        <v>54</v>
      </c>
      <c r="C55" s="6">
        <v>78.103012</v>
      </c>
      <c r="D55" s="5">
        <v>162234000</v>
      </c>
      <c r="E55" s="6">
        <v>172.264145</v>
      </c>
      <c r="F55" s="5">
        <v>2178400</v>
      </c>
    </row>
    <row r="56" spans="1:6">
      <c r="A56" s="59">
        <v>43859</v>
      </c>
      <c r="B56" s="5">
        <v>55</v>
      </c>
      <c r="C56" s="6">
        <v>79.7379</v>
      </c>
      <c r="D56" s="5">
        <v>216229200</v>
      </c>
      <c r="E56" s="6">
        <v>172.470306</v>
      </c>
      <c r="F56" s="5">
        <v>2199000</v>
      </c>
    </row>
    <row r="57" spans="1:6">
      <c r="A57" s="59">
        <v>43860</v>
      </c>
      <c r="B57" s="5">
        <v>56</v>
      </c>
      <c r="C57" s="6">
        <v>79.622337</v>
      </c>
      <c r="D57" s="5">
        <v>126743200</v>
      </c>
      <c r="E57" s="6">
        <v>175.09166</v>
      </c>
      <c r="F57" s="5">
        <v>3076100</v>
      </c>
    </row>
    <row r="58" spans="1:6">
      <c r="A58" s="59">
        <v>43861</v>
      </c>
      <c r="B58" s="5">
        <v>57</v>
      </c>
      <c r="C58" s="6">
        <v>76.091995</v>
      </c>
      <c r="D58" s="5">
        <v>199588400</v>
      </c>
      <c r="E58" s="6">
        <v>170.064926</v>
      </c>
      <c r="F58" s="5">
        <v>5500000</v>
      </c>
    </row>
    <row r="59" spans="1:6">
      <c r="A59" s="59">
        <v>43864</v>
      </c>
      <c r="B59" s="5">
        <v>58</v>
      </c>
      <c r="C59" s="6">
        <v>75.883018</v>
      </c>
      <c r="D59" s="5">
        <v>173985600</v>
      </c>
      <c r="E59" s="6">
        <v>168.199554</v>
      </c>
      <c r="F59" s="5">
        <v>3542700</v>
      </c>
    </row>
    <row r="60" spans="1:6">
      <c r="A60" s="59">
        <v>43865</v>
      </c>
      <c r="B60" s="5">
        <v>59</v>
      </c>
      <c r="C60" s="6">
        <v>78.388199</v>
      </c>
      <c r="D60" s="5">
        <v>136616400</v>
      </c>
      <c r="E60" s="6">
        <v>172.018692</v>
      </c>
      <c r="F60" s="5">
        <v>2992500</v>
      </c>
    </row>
    <row r="61" spans="1:6">
      <c r="A61" s="59">
        <v>43866</v>
      </c>
      <c r="B61" s="5">
        <v>60</v>
      </c>
      <c r="C61" s="6">
        <v>79.027405</v>
      </c>
      <c r="D61" s="5">
        <v>118826800</v>
      </c>
      <c r="E61" s="6">
        <v>173.677887</v>
      </c>
      <c r="F61" s="5">
        <v>2818100</v>
      </c>
    </row>
    <row r="62" spans="1:6">
      <c r="A62" s="59">
        <v>43867</v>
      </c>
      <c r="B62" s="5">
        <v>61</v>
      </c>
      <c r="C62" s="6">
        <v>79.951775</v>
      </c>
      <c r="D62" s="5">
        <v>105425600</v>
      </c>
      <c r="E62" s="6">
        <v>173.137924</v>
      </c>
      <c r="F62" s="5">
        <v>2427500</v>
      </c>
    </row>
    <row r="63" spans="1:6">
      <c r="A63" s="59">
        <v>43868</v>
      </c>
      <c r="B63" s="5">
        <v>62</v>
      </c>
      <c r="C63" s="6">
        <v>78.865021</v>
      </c>
      <c r="D63" s="5">
        <v>117684000</v>
      </c>
      <c r="E63" s="6">
        <v>172.087387</v>
      </c>
      <c r="F63" s="5">
        <v>3254500</v>
      </c>
    </row>
    <row r="64" spans="1:6">
      <c r="A64" s="59">
        <v>43871</v>
      </c>
      <c r="B64" s="5">
        <v>63</v>
      </c>
      <c r="C64" s="6">
        <v>79.239594</v>
      </c>
      <c r="D64" s="5">
        <v>109348800</v>
      </c>
      <c r="E64" s="6">
        <v>173.72699</v>
      </c>
      <c r="F64" s="5">
        <v>2399700</v>
      </c>
    </row>
    <row r="65" spans="1:6">
      <c r="A65" s="59">
        <v>43872</v>
      </c>
      <c r="B65" s="5">
        <v>64</v>
      </c>
      <c r="C65" s="6">
        <v>78.76152</v>
      </c>
      <c r="D65" s="5">
        <v>94323200</v>
      </c>
      <c r="E65" s="6">
        <v>175.886917</v>
      </c>
      <c r="F65" s="5">
        <v>2948500</v>
      </c>
    </row>
    <row r="66" spans="1:6">
      <c r="A66" s="59">
        <v>43873</v>
      </c>
      <c r="B66" s="5">
        <v>65</v>
      </c>
      <c r="C66" s="6">
        <v>80.631927</v>
      </c>
      <c r="D66" s="5">
        <v>113730400</v>
      </c>
      <c r="E66" s="6">
        <v>177.879929</v>
      </c>
      <c r="F66" s="5">
        <v>2950800</v>
      </c>
    </row>
    <row r="67" spans="1:6">
      <c r="A67" s="59">
        <v>43874</v>
      </c>
      <c r="B67" s="5">
        <v>66</v>
      </c>
      <c r="C67" s="6">
        <v>80.057739</v>
      </c>
      <c r="D67" s="5">
        <v>94747600</v>
      </c>
      <c r="E67" s="6">
        <v>176.839249</v>
      </c>
      <c r="F67" s="5">
        <v>1985700</v>
      </c>
    </row>
    <row r="68" spans="1:6">
      <c r="A68" s="59">
        <v>43875</v>
      </c>
      <c r="B68" s="5">
        <v>67</v>
      </c>
      <c r="C68" s="6">
        <v>80.077461</v>
      </c>
      <c r="D68" s="5">
        <v>80113600</v>
      </c>
      <c r="E68" s="6">
        <v>177.516693</v>
      </c>
      <c r="F68" s="5">
        <v>2489000</v>
      </c>
    </row>
    <row r="69" spans="1:6">
      <c r="A69" s="59">
        <v>43879</v>
      </c>
      <c r="B69" s="5">
        <v>68</v>
      </c>
      <c r="C69" s="6">
        <v>78.611198</v>
      </c>
      <c r="D69" s="5">
        <v>152531200</v>
      </c>
      <c r="E69" s="6">
        <v>176.151993</v>
      </c>
      <c r="F69" s="5">
        <v>1818600</v>
      </c>
    </row>
    <row r="70" spans="1:6">
      <c r="A70" s="59">
        <v>43880</v>
      </c>
      <c r="B70" s="5">
        <v>69</v>
      </c>
      <c r="C70" s="6">
        <v>79.749702</v>
      </c>
      <c r="D70" s="5">
        <v>93984000</v>
      </c>
      <c r="E70" s="6">
        <v>177.565765</v>
      </c>
      <c r="F70" s="5">
        <v>2464500</v>
      </c>
    </row>
    <row r="71" spans="1:6">
      <c r="A71" s="59">
        <v>43881</v>
      </c>
      <c r="B71" s="5">
        <v>70</v>
      </c>
      <c r="C71" s="6">
        <v>78.931564</v>
      </c>
      <c r="D71" s="5">
        <v>100566000</v>
      </c>
      <c r="E71" s="6">
        <v>177.408691</v>
      </c>
      <c r="F71" s="5">
        <v>2336800</v>
      </c>
    </row>
    <row r="72" spans="1:6">
      <c r="A72" s="59">
        <v>43882</v>
      </c>
      <c r="B72" s="5">
        <v>71</v>
      </c>
      <c r="C72" s="6">
        <v>77.144943</v>
      </c>
      <c r="D72" s="5">
        <v>129554000</v>
      </c>
      <c r="E72" s="6">
        <v>176.603622</v>
      </c>
      <c r="F72" s="5">
        <v>1940400</v>
      </c>
    </row>
    <row r="73" spans="1:6">
      <c r="A73" s="59">
        <v>43885</v>
      </c>
      <c r="B73" s="5">
        <v>72</v>
      </c>
      <c r="C73" s="6">
        <v>73.480522</v>
      </c>
      <c r="D73" s="5">
        <v>222195200</v>
      </c>
      <c r="E73" s="6">
        <v>172.077591</v>
      </c>
      <c r="F73" s="5">
        <v>3204300</v>
      </c>
    </row>
    <row r="74" spans="1:6">
      <c r="A74" s="59">
        <v>43886</v>
      </c>
      <c r="B74" s="5">
        <v>73</v>
      </c>
      <c r="C74" s="6">
        <v>70.991577</v>
      </c>
      <c r="D74" s="5">
        <v>230673600</v>
      </c>
      <c r="E74" s="6">
        <v>164.743652</v>
      </c>
      <c r="F74" s="5">
        <v>4092200</v>
      </c>
    </row>
    <row r="75" spans="1:6">
      <c r="A75" s="59">
        <v>43887</v>
      </c>
      <c r="B75" s="5">
        <v>74</v>
      </c>
      <c r="C75" s="6">
        <v>72.117767</v>
      </c>
      <c r="D75" s="5">
        <v>198054800</v>
      </c>
      <c r="E75" s="6">
        <v>164.134918</v>
      </c>
      <c r="F75" s="5">
        <v>3411700</v>
      </c>
    </row>
    <row r="76" spans="1:6">
      <c r="A76" s="59">
        <v>43888</v>
      </c>
      <c r="B76" s="5">
        <v>75</v>
      </c>
      <c r="C76" s="6">
        <v>67.403557</v>
      </c>
      <c r="D76" s="5">
        <v>320605600</v>
      </c>
      <c r="E76" s="6">
        <v>157.49176</v>
      </c>
      <c r="F76" s="5">
        <v>3951300</v>
      </c>
    </row>
    <row r="77" spans="1:6">
      <c r="A77" s="59">
        <v>43889</v>
      </c>
      <c r="B77" s="5">
        <v>76</v>
      </c>
      <c r="C77" s="6">
        <v>67.364128</v>
      </c>
      <c r="D77" s="5">
        <v>426884800</v>
      </c>
      <c r="E77" s="6">
        <v>160.077957</v>
      </c>
      <c r="F77" s="5">
        <v>9558100</v>
      </c>
    </row>
    <row r="78" spans="1:6">
      <c r="A78" s="59">
        <v>43892</v>
      </c>
      <c r="B78" s="5">
        <v>77</v>
      </c>
      <c r="C78" s="6">
        <v>73.635773</v>
      </c>
      <c r="D78" s="5">
        <v>341397200</v>
      </c>
      <c r="E78" s="6">
        <v>162.121277</v>
      </c>
      <c r="F78" s="5">
        <v>6744900</v>
      </c>
    </row>
    <row r="79" spans="1:6">
      <c r="A79" s="59">
        <v>43893</v>
      </c>
      <c r="B79" s="5">
        <v>78</v>
      </c>
      <c r="C79" s="6">
        <v>71.297157</v>
      </c>
      <c r="D79" s="5">
        <v>319475600</v>
      </c>
      <c r="E79" s="6">
        <v>159.801575</v>
      </c>
      <c r="F79" s="5">
        <v>6108500</v>
      </c>
    </row>
    <row r="80" spans="1:6">
      <c r="A80" s="59">
        <v>43894</v>
      </c>
      <c r="B80" s="5">
        <v>79</v>
      </c>
      <c r="C80" s="6">
        <v>74.60424</v>
      </c>
      <c r="D80" s="5">
        <v>219178400</v>
      </c>
      <c r="E80" s="6">
        <v>168.981613</v>
      </c>
      <c r="F80" s="5">
        <v>4532500</v>
      </c>
    </row>
    <row r="81" spans="1:6">
      <c r="A81" s="59">
        <v>43895</v>
      </c>
      <c r="B81" s="5">
        <v>80</v>
      </c>
      <c r="C81" s="6">
        <v>72.184303</v>
      </c>
      <c r="D81" s="5">
        <v>187572800</v>
      </c>
      <c r="E81" s="6">
        <v>162.79248</v>
      </c>
      <c r="F81" s="5">
        <v>5394700</v>
      </c>
    </row>
    <row r="82" spans="1:6">
      <c r="A82" s="59">
        <v>43896</v>
      </c>
      <c r="B82" s="5">
        <v>81</v>
      </c>
      <c r="C82" s="6">
        <v>71.225685</v>
      </c>
      <c r="D82" s="5">
        <v>226176800</v>
      </c>
      <c r="E82" s="6">
        <v>161.913971</v>
      </c>
      <c r="F82" s="5">
        <v>5021600</v>
      </c>
    </row>
    <row r="83" spans="1:6">
      <c r="A83" s="59">
        <v>43899</v>
      </c>
      <c r="B83" s="5">
        <v>82</v>
      </c>
      <c r="C83" s="6">
        <v>65.592308</v>
      </c>
      <c r="D83" s="5">
        <v>286744800</v>
      </c>
      <c r="E83" s="6">
        <v>150.888062</v>
      </c>
      <c r="F83" s="5">
        <v>5849000</v>
      </c>
    </row>
    <row r="84" spans="1:6">
      <c r="A84" s="59">
        <v>43900</v>
      </c>
      <c r="B84" s="5">
        <v>83</v>
      </c>
      <c r="C84" s="6">
        <v>70.316368</v>
      </c>
      <c r="D84" s="5">
        <v>285290000</v>
      </c>
      <c r="E84" s="6">
        <v>159.604156</v>
      </c>
      <c r="F84" s="5">
        <v>5477600</v>
      </c>
    </row>
    <row r="85" spans="1:6">
      <c r="A85" s="59">
        <v>43901</v>
      </c>
      <c r="B85" s="5">
        <v>84</v>
      </c>
      <c r="C85" s="6">
        <v>67.874245</v>
      </c>
      <c r="D85" s="5">
        <v>255598800</v>
      </c>
      <c r="E85" s="6">
        <v>151.411224</v>
      </c>
      <c r="F85" s="5">
        <v>4826900</v>
      </c>
    </row>
    <row r="86" spans="1:6">
      <c r="A86" s="59">
        <v>43902</v>
      </c>
      <c r="B86" s="5">
        <v>85</v>
      </c>
      <c r="C86" s="6">
        <v>61.171341</v>
      </c>
      <c r="D86" s="5">
        <v>418474000</v>
      </c>
      <c r="E86" s="6">
        <v>133.110397</v>
      </c>
      <c r="F86" s="5">
        <v>7170500</v>
      </c>
    </row>
    <row r="87" spans="1:6">
      <c r="A87" s="59">
        <v>43903</v>
      </c>
      <c r="B87" s="5">
        <v>86</v>
      </c>
      <c r="C87" s="6">
        <v>68.500175</v>
      </c>
      <c r="D87" s="5">
        <v>370732000</v>
      </c>
      <c r="E87" s="6">
        <v>147.482574</v>
      </c>
      <c r="F87" s="5">
        <v>6324800</v>
      </c>
    </row>
    <row r="88" spans="1:6">
      <c r="A88" s="59">
        <v>43906</v>
      </c>
      <c r="B88" s="5">
        <v>87</v>
      </c>
      <c r="C88" s="6">
        <v>59.687832</v>
      </c>
      <c r="D88" s="5">
        <v>322423600</v>
      </c>
      <c r="E88" s="6">
        <v>133.524979</v>
      </c>
      <c r="F88" s="5">
        <v>5891000</v>
      </c>
    </row>
    <row r="89" spans="1:6">
      <c r="A89" s="59">
        <v>43907</v>
      </c>
      <c r="B89" s="5">
        <v>88</v>
      </c>
      <c r="C89" s="6">
        <v>62.312309</v>
      </c>
      <c r="D89" s="5">
        <v>324056000</v>
      </c>
      <c r="E89" s="6">
        <v>130.099747</v>
      </c>
      <c r="F89" s="5">
        <v>8524800</v>
      </c>
    </row>
    <row r="90" spans="1:6">
      <c r="A90" s="59">
        <v>43908</v>
      </c>
      <c r="B90" s="5">
        <v>89</v>
      </c>
      <c r="C90" s="6">
        <v>60.786911</v>
      </c>
      <c r="D90" s="5">
        <v>300233600</v>
      </c>
      <c r="E90" s="6">
        <v>118.067001</v>
      </c>
      <c r="F90" s="5">
        <v>7633900</v>
      </c>
    </row>
    <row r="91" spans="1:6">
      <c r="A91" s="59">
        <v>43909</v>
      </c>
      <c r="B91" s="5">
        <v>90</v>
      </c>
      <c r="C91" s="6">
        <v>60.321156</v>
      </c>
      <c r="D91" s="5">
        <v>271857200</v>
      </c>
      <c r="E91" s="6">
        <v>117.425385</v>
      </c>
      <c r="F91" s="5">
        <v>6814100</v>
      </c>
    </row>
    <row r="92" spans="1:6">
      <c r="A92" s="59">
        <v>43910</v>
      </c>
      <c r="B92" s="5">
        <v>91</v>
      </c>
      <c r="C92" s="6">
        <v>56.491634</v>
      </c>
      <c r="D92" s="5">
        <v>401693200</v>
      </c>
      <c r="E92" s="6">
        <v>111.048721</v>
      </c>
      <c r="F92" s="5">
        <v>6801200</v>
      </c>
    </row>
    <row r="93" spans="1:6">
      <c r="A93" s="59">
        <v>43913</v>
      </c>
      <c r="B93" s="5">
        <v>92</v>
      </c>
      <c r="C93" s="6">
        <v>55.291519</v>
      </c>
      <c r="D93" s="5">
        <v>336752800</v>
      </c>
      <c r="E93" s="6">
        <v>102.520172</v>
      </c>
      <c r="F93" s="5">
        <v>8200400</v>
      </c>
    </row>
    <row r="94" spans="1:6">
      <c r="A94" s="59">
        <v>43914</v>
      </c>
      <c r="B94" s="5">
        <v>93</v>
      </c>
      <c r="C94" s="6">
        <v>60.838661</v>
      </c>
      <c r="D94" s="5">
        <v>287531200</v>
      </c>
      <c r="E94" s="6">
        <v>117.968285</v>
      </c>
      <c r="F94" s="5">
        <v>5799100</v>
      </c>
    </row>
    <row r="95" spans="1:6">
      <c r="A95" s="59">
        <v>43915</v>
      </c>
      <c r="B95" s="5">
        <v>94</v>
      </c>
      <c r="C95" s="6">
        <v>60.503517</v>
      </c>
      <c r="D95" s="5">
        <v>303602000</v>
      </c>
      <c r="E95" s="6">
        <v>127.977478</v>
      </c>
      <c r="F95" s="5">
        <v>7159100</v>
      </c>
    </row>
    <row r="96" spans="1:6">
      <c r="A96" s="59">
        <v>43916</v>
      </c>
      <c r="B96" s="5">
        <v>95</v>
      </c>
      <c r="C96" s="6">
        <v>63.687393</v>
      </c>
      <c r="D96" s="5">
        <v>252087200</v>
      </c>
      <c r="E96" s="6">
        <v>135.627487</v>
      </c>
      <c r="F96" s="5">
        <v>5594400</v>
      </c>
    </row>
    <row r="97" spans="1:6">
      <c r="A97" s="59">
        <v>43917</v>
      </c>
      <c r="B97" s="5">
        <v>96</v>
      </c>
      <c r="C97" s="6">
        <v>61.050594</v>
      </c>
      <c r="D97" s="5">
        <v>204216800</v>
      </c>
      <c r="E97" s="6">
        <v>129.576599</v>
      </c>
      <c r="F97" s="5">
        <v>3924900</v>
      </c>
    </row>
    <row r="98" spans="1:6">
      <c r="A98" s="59">
        <v>43920</v>
      </c>
      <c r="B98" s="5">
        <v>97</v>
      </c>
      <c r="C98" s="6">
        <v>62.79285</v>
      </c>
      <c r="D98" s="5">
        <v>167976400</v>
      </c>
      <c r="E98" s="6">
        <v>130.050385</v>
      </c>
      <c r="F98" s="5">
        <v>5035700</v>
      </c>
    </row>
    <row r="99" spans="1:6">
      <c r="A99" s="59">
        <v>43921</v>
      </c>
      <c r="B99" s="5">
        <v>98</v>
      </c>
      <c r="C99" s="6">
        <v>62.664707</v>
      </c>
      <c r="D99" s="5">
        <v>197002000</v>
      </c>
      <c r="E99" s="6">
        <v>132.064072</v>
      </c>
      <c r="F99" s="5">
        <v>5296000</v>
      </c>
    </row>
    <row r="100" spans="1:6">
      <c r="A100" s="59">
        <v>43922</v>
      </c>
      <c r="B100" s="5">
        <v>99</v>
      </c>
      <c r="C100" s="6">
        <v>59.367474</v>
      </c>
      <c r="D100" s="5">
        <v>176218400</v>
      </c>
      <c r="E100" s="6">
        <v>128.036713</v>
      </c>
      <c r="F100" s="5">
        <v>4246100</v>
      </c>
    </row>
    <row r="101" spans="1:6">
      <c r="A101" s="59">
        <v>43923</v>
      </c>
      <c r="B101" s="5">
        <v>100</v>
      </c>
      <c r="C101" s="6">
        <v>60.35812</v>
      </c>
      <c r="D101" s="5">
        <v>165934000</v>
      </c>
      <c r="E101" s="6">
        <v>131.09671</v>
      </c>
      <c r="F101" s="5">
        <v>3504200</v>
      </c>
    </row>
    <row r="102" spans="1:6">
      <c r="A102" s="59">
        <v>43924</v>
      </c>
      <c r="B102" s="5">
        <v>101</v>
      </c>
      <c r="C102" s="6">
        <v>59.490692</v>
      </c>
      <c r="D102" s="5">
        <v>129880000</v>
      </c>
      <c r="E102" s="6">
        <v>125.805862</v>
      </c>
      <c r="F102" s="5">
        <v>4031500</v>
      </c>
    </row>
    <row r="103" spans="1:6">
      <c r="A103" s="59">
        <v>43927</v>
      </c>
      <c r="B103" s="5">
        <v>102</v>
      </c>
      <c r="C103" s="6">
        <v>64.680504</v>
      </c>
      <c r="D103" s="5">
        <v>201820400</v>
      </c>
      <c r="E103" s="6">
        <v>132.271362</v>
      </c>
      <c r="F103" s="5">
        <v>4874300</v>
      </c>
    </row>
    <row r="104" spans="1:6">
      <c r="A104" s="59">
        <v>43928</v>
      </c>
      <c r="B104" s="5">
        <v>103</v>
      </c>
      <c r="C104" s="6">
        <v>63.931355</v>
      </c>
      <c r="D104" s="5">
        <v>202887200</v>
      </c>
      <c r="E104" s="6">
        <v>133.495361</v>
      </c>
      <c r="F104" s="5">
        <v>4051700</v>
      </c>
    </row>
    <row r="105" spans="1:6">
      <c r="A105" s="59">
        <v>43929</v>
      </c>
      <c r="B105" s="5">
        <v>104</v>
      </c>
      <c r="C105" s="6">
        <v>65.567657</v>
      </c>
      <c r="D105" s="5">
        <v>168895200</v>
      </c>
      <c r="E105" s="6">
        <v>137.453644</v>
      </c>
      <c r="F105" s="5">
        <v>3890600</v>
      </c>
    </row>
    <row r="106" spans="1:6">
      <c r="A106" s="59">
        <v>43930</v>
      </c>
      <c r="B106" s="5">
        <v>105</v>
      </c>
      <c r="C106" s="6">
        <v>66.040802</v>
      </c>
      <c r="D106" s="5">
        <v>162116400</v>
      </c>
      <c r="E106" s="6">
        <v>141.579712</v>
      </c>
      <c r="F106" s="5">
        <v>4365000</v>
      </c>
    </row>
    <row r="107" spans="1:6">
      <c r="A107" s="59">
        <v>43934</v>
      </c>
      <c r="B107" s="5">
        <v>106</v>
      </c>
      <c r="C107" s="6">
        <v>67.337029</v>
      </c>
      <c r="D107" s="5">
        <v>131022800</v>
      </c>
      <c r="E107" s="6">
        <v>136.160538</v>
      </c>
      <c r="F107" s="5">
        <v>3016300</v>
      </c>
    </row>
    <row r="108" spans="1:6">
      <c r="A108" s="59">
        <v>43935</v>
      </c>
      <c r="B108" s="5">
        <v>107</v>
      </c>
      <c r="C108" s="6">
        <v>70.737755</v>
      </c>
      <c r="D108" s="5">
        <v>194994800</v>
      </c>
      <c r="E108" s="6">
        <v>138.776337</v>
      </c>
      <c r="F108" s="5">
        <v>3486600</v>
      </c>
    </row>
    <row r="109" spans="1:6">
      <c r="A109" s="59">
        <v>43936</v>
      </c>
      <c r="B109" s="5">
        <v>108</v>
      </c>
      <c r="C109" s="6">
        <v>70.09211</v>
      </c>
      <c r="D109" s="5">
        <v>131154400</v>
      </c>
      <c r="E109" s="6">
        <v>133.100525</v>
      </c>
      <c r="F109" s="5">
        <v>3252800</v>
      </c>
    </row>
    <row r="110" spans="1:6">
      <c r="A110" s="59">
        <v>43937</v>
      </c>
      <c r="B110" s="5">
        <v>109</v>
      </c>
      <c r="C110" s="6">
        <v>70.64904</v>
      </c>
      <c r="D110" s="5">
        <v>157125200</v>
      </c>
      <c r="E110" s="6">
        <v>130.62291</v>
      </c>
      <c r="F110" s="5">
        <v>4016700</v>
      </c>
    </row>
    <row r="111" spans="1:6">
      <c r="A111" s="59">
        <v>43938</v>
      </c>
      <c r="B111" s="5">
        <v>110</v>
      </c>
      <c r="C111" s="6">
        <v>69.690422</v>
      </c>
      <c r="D111" s="5">
        <v>215250000</v>
      </c>
      <c r="E111" s="6">
        <v>136.535645</v>
      </c>
      <c r="F111" s="5">
        <v>4750700</v>
      </c>
    </row>
    <row r="112" spans="1:6">
      <c r="A112" s="59">
        <v>43941</v>
      </c>
      <c r="B112" s="5">
        <v>111</v>
      </c>
      <c r="C112" s="6">
        <v>68.243881</v>
      </c>
      <c r="D112" s="5">
        <v>130015200</v>
      </c>
      <c r="E112" s="6">
        <v>133.949432</v>
      </c>
      <c r="F112" s="5">
        <v>2529000</v>
      </c>
    </row>
    <row r="113" spans="1:6">
      <c r="A113" s="59">
        <v>43942</v>
      </c>
      <c r="B113" s="5">
        <v>112</v>
      </c>
      <c r="C113" s="6">
        <v>66.134438</v>
      </c>
      <c r="D113" s="5">
        <v>180991600</v>
      </c>
      <c r="E113" s="6">
        <v>130.297165</v>
      </c>
      <c r="F113" s="5">
        <v>2418100</v>
      </c>
    </row>
    <row r="114" spans="1:6">
      <c r="A114" s="59">
        <v>43943</v>
      </c>
      <c r="B114" s="5">
        <v>113</v>
      </c>
      <c r="C114" s="6">
        <v>68.039352</v>
      </c>
      <c r="D114" s="5">
        <v>117057200</v>
      </c>
      <c r="E114" s="6">
        <v>131.313873</v>
      </c>
      <c r="F114" s="5">
        <v>2629700</v>
      </c>
    </row>
    <row r="115" spans="1:6">
      <c r="A115" s="59">
        <v>43944</v>
      </c>
      <c r="B115" s="5">
        <v>114</v>
      </c>
      <c r="C115" s="6">
        <v>67.775673</v>
      </c>
      <c r="D115" s="5">
        <v>124814400</v>
      </c>
      <c r="E115" s="6">
        <v>132.942581</v>
      </c>
      <c r="F115" s="5">
        <v>2786400</v>
      </c>
    </row>
    <row r="116" spans="1:6">
      <c r="A116" s="59">
        <v>43945</v>
      </c>
      <c r="B116" s="5">
        <v>115</v>
      </c>
      <c r="C116" s="6">
        <v>69.732323</v>
      </c>
      <c r="D116" s="5">
        <v>126508800</v>
      </c>
      <c r="E116" s="6">
        <v>133.771759</v>
      </c>
      <c r="F116" s="5">
        <v>2837900</v>
      </c>
    </row>
    <row r="117" spans="1:6">
      <c r="A117" s="59">
        <v>43948</v>
      </c>
      <c r="B117" s="5">
        <v>116</v>
      </c>
      <c r="C117" s="6">
        <v>69.781609</v>
      </c>
      <c r="D117" s="5">
        <v>117087600</v>
      </c>
      <c r="E117" s="6">
        <v>138.075516</v>
      </c>
      <c r="F117" s="5">
        <v>3137700</v>
      </c>
    </row>
    <row r="118" spans="1:6">
      <c r="A118" s="59">
        <v>43949</v>
      </c>
      <c r="B118" s="5">
        <v>117</v>
      </c>
      <c r="C118" s="6">
        <v>68.65049</v>
      </c>
      <c r="D118" s="5">
        <v>112004800</v>
      </c>
      <c r="E118" s="6">
        <v>140.91835</v>
      </c>
      <c r="F118" s="5">
        <v>3377900</v>
      </c>
    </row>
    <row r="119" spans="1:6">
      <c r="A119" s="59">
        <v>43950</v>
      </c>
      <c r="B119" s="5">
        <v>118</v>
      </c>
      <c r="C119" s="6">
        <v>70.905334</v>
      </c>
      <c r="D119" s="5">
        <v>137280800</v>
      </c>
      <c r="E119" s="6">
        <v>144.274506</v>
      </c>
      <c r="F119" s="5">
        <v>2651200</v>
      </c>
    </row>
    <row r="120" spans="1:6">
      <c r="A120" s="59">
        <v>43951</v>
      </c>
      <c r="B120" s="5">
        <v>119</v>
      </c>
      <c r="C120" s="6">
        <v>72.401154</v>
      </c>
      <c r="D120" s="5">
        <v>183064000</v>
      </c>
      <c r="E120" s="6">
        <v>140.069443</v>
      </c>
      <c r="F120" s="5">
        <v>4492600</v>
      </c>
    </row>
    <row r="121" spans="1:6">
      <c r="A121" s="59">
        <v>43952</v>
      </c>
      <c r="B121" s="5">
        <v>120</v>
      </c>
      <c r="C121" s="6">
        <v>71.235542</v>
      </c>
      <c r="D121" s="5">
        <v>60154200</v>
      </c>
      <c r="E121" s="6">
        <v>135.479431</v>
      </c>
      <c r="F121" s="5">
        <v>3681100</v>
      </c>
    </row>
    <row r="122" spans="1:6">
      <c r="A122" s="59">
        <v>43955</v>
      </c>
      <c r="B122" s="5">
        <v>121</v>
      </c>
      <c r="C122" s="6">
        <v>72.243446</v>
      </c>
      <c r="D122" s="5">
        <v>33392000</v>
      </c>
      <c r="E122" s="6">
        <v>133.455887</v>
      </c>
      <c r="F122" s="5">
        <v>4123000</v>
      </c>
    </row>
    <row r="123" spans="1:6">
      <c r="A123" s="59">
        <v>43956</v>
      </c>
      <c r="B123" s="5">
        <v>122</v>
      </c>
      <c r="C123" s="6">
        <v>73.327736</v>
      </c>
      <c r="D123" s="5">
        <v>36937800</v>
      </c>
      <c r="E123" s="6">
        <v>133.130142</v>
      </c>
      <c r="F123" s="5">
        <v>3122300</v>
      </c>
    </row>
    <row r="124" spans="1:6">
      <c r="A124" s="59">
        <v>43957</v>
      </c>
      <c r="B124" s="5">
        <v>123</v>
      </c>
      <c r="C124" s="6">
        <v>74.084282</v>
      </c>
      <c r="D124" s="5">
        <v>35583400</v>
      </c>
      <c r="E124" s="6">
        <v>131.323746</v>
      </c>
      <c r="F124" s="5">
        <v>2349500</v>
      </c>
    </row>
    <row r="125" spans="1:6">
      <c r="A125" s="59">
        <v>43958</v>
      </c>
      <c r="B125" s="5">
        <v>124</v>
      </c>
      <c r="C125" s="6">
        <v>74.85067</v>
      </c>
      <c r="D125" s="5">
        <v>28803800</v>
      </c>
      <c r="E125" s="6">
        <v>131.076965</v>
      </c>
      <c r="F125" s="5">
        <v>3096500</v>
      </c>
    </row>
    <row r="126" spans="1:6">
      <c r="A126" s="59">
        <v>43959</v>
      </c>
      <c r="B126" s="5">
        <v>125</v>
      </c>
      <c r="C126" s="6">
        <v>77.259674</v>
      </c>
      <c r="D126" s="5">
        <v>33459600</v>
      </c>
      <c r="E126" s="6">
        <v>135.143829</v>
      </c>
      <c r="F126" s="5">
        <v>2740400</v>
      </c>
    </row>
    <row r="127" spans="1:6">
      <c r="A127" s="59">
        <v>43962</v>
      </c>
      <c r="B127" s="5">
        <v>126</v>
      </c>
      <c r="C127" s="6">
        <v>78.475372</v>
      </c>
      <c r="D127" s="5">
        <v>145946400</v>
      </c>
      <c r="E127" s="6">
        <v>132.54776</v>
      </c>
      <c r="F127" s="5">
        <v>2356400</v>
      </c>
    </row>
    <row r="128" spans="1:6">
      <c r="A128" s="59">
        <v>43963</v>
      </c>
      <c r="B128" s="5">
        <v>127</v>
      </c>
      <c r="C128" s="6">
        <v>77.578537</v>
      </c>
      <c r="D128" s="5">
        <v>162301200</v>
      </c>
      <c r="E128" s="6">
        <v>125.944046</v>
      </c>
      <c r="F128" s="5">
        <v>4870400</v>
      </c>
    </row>
    <row r="129" spans="1:6">
      <c r="A129" s="59">
        <v>43964</v>
      </c>
      <c r="B129" s="5">
        <v>128</v>
      </c>
      <c r="C129" s="6">
        <v>76.641853</v>
      </c>
      <c r="D129" s="5">
        <v>200622400</v>
      </c>
      <c r="E129" s="6">
        <v>121.383652</v>
      </c>
      <c r="F129" s="5">
        <v>5786200</v>
      </c>
    </row>
    <row r="130" spans="1:6">
      <c r="A130" s="59">
        <v>43965</v>
      </c>
      <c r="B130" s="5">
        <v>129</v>
      </c>
      <c r="C130" s="6">
        <v>77.112686</v>
      </c>
      <c r="D130" s="5">
        <v>158929200</v>
      </c>
      <c r="E130" s="6">
        <v>126.335655</v>
      </c>
      <c r="F130" s="5">
        <v>5226200</v>
      </c>
    </row>
    <row r="131" spans="1:6">
      <c r="A131" s="59">
        <v>43966</v>
      </c>
      <c r="B131" s="5">
        <v>130</v>
      </c>
      <c r="C131" s="6">
        <v>76.656792</v>
      </c>
      <c r="D131" s="5">
        <v>166348400</v>
      </c>
      <c r="E131" s="6">
        <v>124.70488</v>
      </c>
      <c r="F131" s="5">
        <v>4660300</v>
      </c>
    </row>
    <row r="132" spans="1:6">
      <c r="A132" s="59">
        <v>43969</v>
      </c>
      <c r="B132" s="5">
        <v>131</v>
      </c>
      <c r="C132" s="6">
        <v>78.462914</v>
      </c>
      <c r="D132" s="5">
        <v>135372400</v>
      </c>
      <c r="E132" s="6">
        <v>135.275101</v>
      </c>
      <c r="F132" s="5">
        <v>6405800</v>
      </c>
    </row>
    <row r="133" spans="1:6">
      <c r="A133" s="59">
        <v>43970</v>
      </c>
      <c r="B133" s="5">
        <v>132</v>
      </c>
      <c r="C133" s="6">
        <v>78.009521</v>
      </c>
      <c r="D133" s="5">
        <v>101729600</v>
      </c>
      <c r="E133" s="6">
        <v>131.208099</v>
      </c>
      <c r="F133" s="5">
        <v>4427800</v>
      </c>
    </row>
    <row r="134" spans="1:6">
      <c r="A134" s="59">
        <v>43971</v>
      </c>
      <c r="B134" s="5">
        <v>133</v>
      </c>
      <c r="C134" s="6">
        <v>79.526665</v>
      </c>
      <c r="D134" s="5">
        <v>111504800</v>
      </c>
      <c r="E134" s="6">
        <v>135.265167</v>
      </c>
      <c r="F134" s="5">
        <v>2949700</v>
      </c>
    </row>
    <row r="135" spans="1:6">
      <c r="A135" s="59">
        <v>43972</v>
      </c>
      <c r="B135" s="5">
        <v>134</v>
      </c>
      <c r="C135" s="6">
        <v>78.933754</v>
      </c>
      <c r="D135" s="5">
        <v>102688800</v>
      </c>
      <c r="E135" s="6">
        <v>136.915833</v>
      </c>
      <c r="F135" s="5">
        <v>2374300</v>
      </c>
    </row>
    <row r="136" spans="1:6">
      <c r="A136" s="59">
        <v>43973</v>
      </c>
      <c r="B136" s="5">
        <v>135</v>
      </c>
      <c r="C136" s="6">
        <v>79.441963</v>
      </c>
      <c r="D136" s="5">
        <v>81803200</v>
      </c>
      <c r="E136" s="6">
        <v>138.397446</v>
      </c>
      <c r="F136" s="5">
        <v>2958000</v>
      </c>
    </row>
    <row r="137" spans="1:6">
      <c r="A137" s="59">
        <v>43977</v>
      </c>
      <c r="B137" s="5">
        <v>136</v>
      </c>
      <c r="C137" s="6">
        <v>78.903862</v>
      </c>
      <c r="D137" s="5">
        <v>125522000</v>
      </c>
      <c r="E137" s="6">
        <v>144.125061</v>
      </c>
      <c r="F137" s="5">
        <v>4370200</v>
      </c>
    </row>
    <row r="138" spans="1:6">
      <c r="A138" s="59">
        <v>43978</v>
      </c>
      <c r="B138" s="5">
        <v>137</v>
      </c>
      <c r="C138" s="6">
        <v>79.247643</v>
      </c>
      <c r="D138" s="5">
        <v>112945200</v>
      </c>
      <c r="E138" s="6">
        <v>147.754532</v>
      </c>
      <c r="F138" s="5">
        <v>4291700</v>
      </c>
    </row>
    <row r="139" spans="1:6">
      <c r="A139" s="59">
        <v>43979</v>
      </c>
      <c r="B139" s="5">
        <v>138</v>
      </c>
      <c r="C139" s="6">
        <v>79.282524</v>
      </c>
      <c r="D139" s="5">
        <v>133560800</v>
      </c>
      <c r="E139" s="6">
        <v>146.730331</v>
      </c>
      <c r="F139" s="5">
        <v>3481800</v>
      </c>
    </row>
    <row r="140" spans="1:6">
      <c r="A140" s="59">
        <v>43980</v>
      </c>
      <c r="B140" s="5">
        <v>139</v>
      </c>
      <c r="C140" s="6">
        <v>79.205299</v>
      </c>
      <c r="D140" s="5">
        <v>153598000</v>
      </c>
      <c r="E140" s="6">
        <v>145.029953</v>
      </c>
      <c r="F140" s="5">
        <v>4135500</v>
      </c>
    </row>
    <row r="141" spans="1:6">
      <c r="A141" s="59">
        <v>43983</v>
      </c>
      <c r="B141" s="5">
        <v>140</v>
      </c>
      <c r="C141" s="6">
        <v>80.179359</v>
      </c>
      <c r="D141" s="5">
        <v>80791200</v>
      </c>
      <c r="E141" s="6">
        <v>145.358093</v>
      </c>
      <c r="F141" s="5">
        <v>2071100</v>
      </c>
    </row>
    <row r="142" spans="1:6">
      <c r="A142" s="59">
        <v>43984</v>
      </c>
      <c r="B142" s="5">
        <v>141</v>
      </c>
      <c r="C142" s="6">
        <v>80.550545</v>
      </c>
      <c r="D142" s="5">
        <v>87642800</v>
      </c>
      <c r="E142" s="6">
        <v>147.5159</v>
      </c>
      <c r="F142" s="5">
        <v>3625800</v>
      </c>
    </row>
    <row r="143" spans="1:6">
      <c r="A143" s="59">
        <v>43985</v>
      </c>
      <c r="B143" s="5">
        <v>142</v>
      </c>
      <c r="C143" s="6">
        <v>80.99398</v>
      </c>
      <c r="D143" s="5">
        <v>104491200</v>
      </c>
      <c r="E143" s="6">
        <v>152.487793</v>
      </c>
      <c r="F143" s="5">
        <v>2992700</v>
      </c>
    </row>
    <row r="144" spans="1:6">
      <c r="A144" s="59">
        <v>43986</v>
      </c>
      <c r="B144" s="5">
        <v>143</v>
      </c>
      <c r="C144" s="6">
        <v>80.296448</v>
      </c>
      <c r="D144" s="5">
        <v>87560400</v>
      </c>
      <c r="E144" s="6">
        <v>155.033386</v>
      </c>
      <c r="F144" s="5">
        <v>3768200</v>
      </c>
    </row>
    <row r="145" spans="1:6">
      <c r="A145" s="59">
        <v>43987</v>
      </c>
      <c r="B145" s="5">
        <v>144</v>
      </c>
      <c r="C145" s="6">
        <v>82.583374</v>
      </c>
      <c r="D145" s="5">
        <v>137250400</v>
      </c>
      <c r="E145" s="6">
        <v>160.462677</v>
      </c>
      <c r="F145" s="5">
        <v>4524900</v>
      </c>
    </row>
    <row r="146" spans="1:6">
      <c r="A146" s="59">
        <v>43990</v>
      </c>
      <c r="B146" s="5">
        <v>145</v>
      </c>
      <c r="C146" s="6">
        <v>83.07164</v>
      </c>
      <c r="D146" s="5">
        <v>95654400</v>
      </c>
      <c r="E146" s="6">
        <v>162.003967</v>
      </c>
      <c r="F146" s="5">
        <v>3573400</v>
      </c>
    </row>
    <row r="147" spans="1:6">
      <c r="A147" s="59">
        <v>43991</v>
      </c>
      <c r="B147" s="5">
        <v>146</v>
      </c>
      <c r="C147" s="6">
        <v>85.694878</v>
      </c>
      <c r="D147" s="5">
        <v>147712400</v>
      </c>
      <c r="E147" s="6">
        <v>157.211075</v>
      </c>
      <c r="F147" s="5">
        <v>3679100</v>
      </c>
    </row>
    <row r="148" spans="1:6">
      <c r="A148" s="59">
        <v>43992</v>
      </c>
      <c r="B148" s="5">
        <v>147</v>
      </c>
      <c r="C148" s="6">
        <v>87.89959</v>
      </c>
      <c r="D148" s="5">
        <v>166651600</v>
      </c>
      <c r="E148" s="6">
        <v>153.253448</v>
      </c>
      <c r="F148" s="5">
        <v>3309800</v>
      </c>
    </row>
    <row r="149" spans="1:6">
      <c r="A149" s="59">
        <v>43993</v>
      </c>
      <c r="B149" s="5">
        <v>148</v>
      </c>
      <c r="C149" s="6">
        <v>83.679497</v>
      </c>
      <c r="D149" s="5">
        <v>201662400</v>
      </c>
      <c r="E149" s="6">
        <v>142.633499</v>
      </c>
      <c r="F149" s="5">
        <v>4184900</v>
      </c>
    </row>
    <row r="150" spans="1:6">
      <c r="A150" s="59">
        <v>43994</v>
      </c>
      <c r="B150" s="5">
        <v>149</v>
      </c>
      <c r="C150" s="6">
        <v>84.401947</v>
      </c>
      <c r="D150" s="5">
        <v>200146000</v>
      </c>
      <c r="E150" s="6">
        <v>143.697479</v>
      </c>
      <c r="F150" s="5">
        <v>3612400</v>
      </c>
    </row>
    <row r="151" spans="1:6">
      <c r="A151" s="59">
        <v>43997</v>
      </c>
      <c r="B151" s="5">
        <v>150</v>
      </c>
      <c r="C151" s="6">
        <v>85.445755</v>
      </c>
      <c r="D151" s="5">
        <v>138808800</v>
      </c>
      <c r="E151" s="6">
        <v>145.805573</v>
      </c>
      <c r="F151" s="5">
        <v>3314000</v>
      </c>
    </row>
    <row r="152" spans="1:6">
      <c r="A152" s="59">
        <v>43998</v>
      </c>
      <c r="B152" s="5">
        <v>151</v>
      </c>
      <c r="C152" s="6">
        <v>87.710258</v>
      </c>
      <c r="D152" s="5">
        <v>165428800</v>
      </c>
      <c r="E152" s="6">
        <v>148.271622</v>
      </c>
      <c r="F152" s="5">
        <v>3804500</v>
      </c>
    </row>
    <row r="153" spans="1:6">
      <c r="A153" s="59">
        <v>43999</v>
      </c>
      <c r="B153" s="5">
        <v>152</v>
      </c>
      <c r="C153" s="6">
        <v>87.588196</v>
      </c>
      <c r="D153" s="5">
        <v>114406400</v>
      </c>
      <c r="E153" s="6">
        <v>147.505951</v>
      </c>
      <c r="F153" s="5">
        <v>3507600</v>
      </c>
    </row>
    <row r="154" spans="1:6">
      <c r="A154" s="59">
        <v>44000</v>
      </c>
      <c r="B154" s="5">
        <v>153</v>
      </c>
      <c r="C154" s="6">
        <v>87.623077</v>
      </c>
      <c r="D154" s="5">
        <v>96820400</v>
      </c>
      <c r="E154" s="6">
        <v>147.396561</v>
      </c>
      <c r="F154" s="5">
        <v>2581600</v>
      </c>
    </row>
    <row r="155" spans="1:6">
      <c r="A155" s="59">
        <v>44001</v>
      </c>
      <c r="B155" s="5">
        <v>154</v>
      </c>
      <c r="C155" s="6">
        <v>87.122337</v>
      </c>
      <c r="D155" s="5">
        <v>264476000</v>
      </c>
      <c r="E155" s="6">
        <v>144.552643</v>
      </c>
      <c r="F155" s="5">
        <v>5265900</v>
      </c>
    </row>
    <row r="156" spans="1:6">
      <c r="A156" s="59">
        <v>44004</v>
      </c>
      <c r="B156" s="5">
        <v>155</v>
      </c>
      <c r="C156" s="6">
        <v>89.401787</v>
      </c>
      <c r="D156" s="5">
        <v>135445200</v>
      </c>
      <c r="E156" s="6">
        <v>144.125061</v>
      </c>
      <c r="F156" s="5">
        <v>2529900</v>
      </c>
    </row>
    <row r="157" spans="1:6">
      <c r="A157" s="59">
        <v>44005</v>
      </c>
      <c r="B157" s="5">
        <v>156</v>
      </c>
      <c r="C157" s="6">
        <v>91.310051</v>
      </c>
      <c r="D157" s="5">
        <v>212155600</v>
      </c>
      <c r="E157" s="6">
        <v>144.045517</v>
      </c>
      <c r="F157" s="5">
        <v>2309800</v>
      </c>
    </row>
    <row r="158" spans="1:6">
      <c r="A158" s="59">
        <v>44006</v>
      </c>
      <c r="B158" s="5">
        <v>157</v>
      </c>
      <c r="C158" s="6">
        <v>89.698242</v>
      </c>
      <c r="D158" s="5">
        <v>192623200</v>
      </c>
      <c r="E158" s="6">
        <v>137.572128</v>
      </c>
      <c r="F158" s="5">
        <v>3371200</v>
      </c>
    </row>
    <row r="159" spans="1:6">
      <c r="A159" s="59">
        <v>44007</v>
      </c>
      <c r="B159" s="5">
        <v>158</v>
      </c>
      <c r="C159" s="6">
        <v>90.889038</v>
      </c>
      <c r="D159" s="5">
        <v>137522400</v>
      </c>
      <c r="E159" s="6">
        <v>141.659012</v>
      </c>
      <c r="F159" s="5">
        <v>4019000</v>
      </c>
    </row>
    <row r="160" spans="1:6">
      <c r="A160" s="59">
        <v>44008</v>
      </c>
      <c r="B160" s="5">
        <v>159</v>
      </c>
      <c r="C160" s="6">
        <v>88.096405</v>
      </c>
      <c r="D160" s="5">
        <v>205256800</v>
      </c>
      <c r="E160" s="6">
        <v>137.432907</v>
      </c>
      <c r="F160" s="5">
        <v>10255300</v>
      </c>
    </row>
    <row r="161" spans="1:6">
      <c r="A161" s="59">
        <v>44011</v>
      </c>
      <c r="B161" s="5">
        <v>160</v>
      </c>
      <c r="C161" s="6">
        <v>90.126732</v>
      </c>
      <c r="D161" s="5">
        <v>130646000</v>
      </c>
      <c r="E161" s="6">
        <v>142.434631</v>
      </c>
      <c r="F161" s="5">
        <v>2971200</v>
      </c>
    </row>
    <row r="162" spans="1:6">
      <c r="A162" s="59">
        <v>44012</v>
      </c>
      <c r="B162" s="5">
        <v>161</v>
      </c>
      <c r="C162" s="6">
        <v>90.879066</v>
      </c>
      <c r="D162" s="5">
        <v>140223200</v>
      </c>
      <c r="E162" s="6">
        <v>143.777023</v>
      </c>
      <c r="F162" s="5">
        <v>3688000</v>
      </c>
    </row>
    <row r="163" spans="1:6">
      <c r="A163" s="59">
        <v>44013</v>
      </c>
      <c r="B163" s="5">
        <v>162</v>
      </c>
      <c r="C163" s="6">
        <v>90.707176</v>
      </c>
      <c r="D163" s="5">
        <v>110737200</v>
      </c>
      <c r="E163" s="6">
        <v>143.299728</v>
      </c>
      <c r="F163" s="5">
        <v>2609500</v>
      </c>
    </row>
    <row r="164" spans="1:6">
      <c r="A164" s="59">
        <v>44014</v>
      </c>
      <c r="B164" s="5">
        <v>163</v>
      </c>
      <c r="C164" s="6">
        <v>90.707176</v>
      </c>
      <c r="D164" s="5">
        <v>114041600</v>
      </c>
      <c r="E164" s="6">
        <v>144.20462</v>
      </c>
      <c r="F164" s="5">
        <v>2758500</v>
      </c>
    </row>
    <row r="165" spans="1:6">
      <c r="A165" s="59">
        <v>44018</v>
      </c>
      <c r="B165" s="5">
        <v>164</v>
      </c>
      <c r="C165" s="6">
        <v>93.133614</v>
      </c>
      <c r="D165" s="5">
        <v>118655600</v>
      </c>
      <c r="E165" s="6">
        <v>146.392242</v>
      </c>
      <c r="F165" s="5">
        <v>2336700</v>
      </c>
    </row>
    <row r="166" spans="1:6">
      <c r="A166" s="59">
        <v>44019</v>
      </c>
      <c r="B166" s="5">
        <v>165</v>
      </c>
      <c r="C166" s="6">
        <v>92.844635</v>
      </c>
      <c r="D166" s="5">
        <v>112424400</v>
      </c>
      <c r="E166" s="6">
        <v>144.154892</v>
      </c>
      <c r="F166" s="5">
        <v>2622000</v>
      </c>
    </row>
    <row r="167" spans="1:6">
      <c r="A167" s="59">
        <v>44020</v>
      </c>
      <c r="B167" s="5">
        <v>166</v>
      </c>
      <c r="C167" s="6">
        <v>95.006996</v>
      </c>
      <c r="D167" s="5">
        <v>117092000</v>
      </c>
      <c r="E167" s="6">
        <v>144.771408</v>
      </c>
      <c r="F167" s="5">
        <v>3587800</v>
      </c>
    </row>
    <row r="168" spans="1:6">
      <c r="A168" s="59">
        <v>44021</v>
      </c>
      <c r="B168" s="5">
        <v>167</v>
      </c>
      <c r="C168" s="6">
        <v>95.415558</v>
      </c>
      <c r="D168" s="5">
        <v>125642800</v>
      </c>
      <c r="E168" s="6">
        <v>140.575134</v>
      </c>
      <c r="F168" s="5">
        <v>3167200</v>
      </c>
    </row>
    <row r="169" spans="1:6">
      <c r="A169" s="59">
        <v>44022</v>
      </c>
      <c r="B169" s="5">
        <v>168</v>
      </c>
      <c r="C169" s="6">
        <v>95.582466</v>
      </c>
      <c r="D169" s="5">
        <v>90257200</v>
      </c>
      <c r="E169" s="6">
        <v>141.649063</v>
      </c>
      <c r="F169" s="5">
        <v>2325000</v>
      </c>
    </row>
    <row r="170" spans="1:6">
      <c r="A170" s="59">
        <v>44025</v>
      </c>
      <c r="B170" s="5">
        <v>169</v>
      </c>
      <c r="C170" s="6">
        <v>95.141525</v>
      </c>
      <c r="D170" s="5">
        <v>191649200</v>
      </c>
      <c r="E170" s="6">
        <v>142.683228</v>
      </c>
      <c r="F170" s="5">
        <v>2585700</v>
      </c>
    </row>
    <row r="171" spans="1:6">
      <c r="A171" s="59">
        <v>44026</v>
      </c>
      <c r="B171" s="5">
        <v>170</v>
      </c>
      <c r="C171" s="6">
        <v>96.715965</v>
      </c>
      <c r="D171" s="5">
        <v>170989200</v>
      </c>
      <c r="E171" s="6">
        <v>147.267303</v>
      </c>
      <c r="F171" s="5">
        <v>2649800</v>
      </c>
    </row>
    <row r="172" spans="1:6">
      <c r="A172" s="59">
        <v>44027</v>
      </c>
      <c r="B172" s="5">
        <v>171</v>
      </c>
      <c r="C172" s="6">
        <v>97.381111</v>
      </c>
      <c r="D172" s="5">
        <v>153198000</v>
      </c>
      <c r="E172" s="6">
        <v>151.07576</v>
      </c>
      <c r="F172" s="5">
        <v>2984600</v>
      </c>
    </row>
    <row r="173" spans="1:6">
      <c r="A173" s="59">
        <v>44028</v>
      </c>
      <c r="B173" s="5">
        <v>172</v>
      </c>
      <c r="C173" s="6">
        <v>96.182846</v>
      </c>
      <c r="D173" s="5">
        <v>110577600</v>
      </c>
      <c r="E173" s="6">
        <v>152.219299</v>
      </c>
      <c r="F173" s="5">
        <v>3697600</v>
      </c>
    </row>
    <row r="174" spans="1:6">
      <c r="A174" s="59">
        <v>44029</v>
      </c>
      <c r="B174" s="5">
        <v>173</v>
      </c>
      <c r="C174" s="6">
        <v>95.988533</v>
      </c>
      <c r="D174" s="5">
        <v>92186800</v>
      </c>
      <c r="E174" s="6">
        <v>154.12851</v>
      </c>
      <c r="F174" s="5">
        <v>4886500</v>
      </c>
    </row>
    <row r="175" spans="1:6">
      <c r="A175" s="59">
        <v>44032</v>
      </c>
      <c r="B175" s="5">
        <v>174</v>
      </c>
      <c r="C175" s="6">
        <v>98.011391</v>
      </c>
      <c r="D175" s="5">
        <v>90318000</v>
      </c>
      <c r="E175" s="6">
        <v>152.527557</v>
      </c>
      <c r="F175" s="5">
        <v>4876200</v>
      </c>
    </row>
    <row r="176" spans="1:6">
      <c r="A176" s="59">
        <v>44033</v>
      </c>
      <c r="B176" s="5">
        <v>175</v>
      </c>
      <c r="C176" s="6">
        <v>96.658661</v>
      </c>
      <c r="D176" s="5">
        <v>103646000</v>
      </c>
      <c r="E176" s="6">
        <v>153.889847</v>
      </c>
      <c r="F176" s="5">
        <v>2394000</v>
      </c>
    </row>
    <row r="177" spans="1:6">
      <c r="A177" s="59">
        <v>44034</v>
      </c>
      <c r="B177" s="5">
        <v>176</v>
      </c>
      <c r="C177" s="6">
        <v>96.930199</v>
      </c>
      <c r="D177" s="5">
        <v>89001600</v>
      </c>
      <c r="E177" s="6">
        <v>153.740692</v>
      </c>
      <c r="F177" s="5">
        <v>1798600</v>
      </c>
    </row>
    <row r="178" spans="1:6">
      <c r="A178" s="59">
        <v>44035</v>
      </c>
      <c r="B178" s="5">
        <v>177</v>
      </c>
      <c r="C178" s="6">
        <v>92.518288</v>
      </c>
      <c r="D178" s="5">
        <v>197004400</v>
      </c>
      <c r="E178" s="6">
        <v>152.865631</v>
      </c>
      <c r="F178" s="5">
        <v>2625600</v>
      </c>
    </row>
    <row r="179" spans="1:6">
      <c r="A179" s="59">
        <v>44036</v>
      </c>
      <c r="B179" s="5">
        <v>178</v>
      </c>
      <c r="C179" s="6">
        <v>92.289093</v>
      </c>
      <c r="D179" s="5">
        <v>185438800</v>
      </c>
      <c r="E179" s="6">
        <v>148.589813</v>
      </c>
      <c r="F179" s="5">
        <v>4368300</v>
      </c>
    </row>
    <row r="180" spans="1:6">
      <c r="A180" s="59">
        <v>44039</v>
      </c>
      <c r="B180" s="5">
        <v>179</v>
      </c>
      <c r="C180" s="6">
        <v>94.476364</v>
      </c>
      <c r="D180" s="5">
        <v>121214000</v>
      </c>
      <c r="E180" s="6">
        <v>149.912338</v>
      </c>
      <c r="F180" s="5">
        <v>3378300</v>
      </c>
    </row>
    <row r="181" spans="1:6">
      <c r="A181" s="59">
        <v>44040</v>
      </c>
      <c r="B181" s="5">
        <v>180</v>
      </c>
      <c r="C181" s="6">
        <v>92.924355</v>
      </c>
      <c r="D181" s="5">
        <v>103625600</v>
      </c>
      <c r="E181" s="6">
        <v>151.155304</v>
      </c>
      <c r="F181" s="5">
        <v>3904200</v>
      </c>
    </row>
    <row r="182" spans="1:6">
      <c r="A182" s="59">
        <v>44041</v>
      </c>
      <c r="B182" s="5">
        <v>181</v>
      </c>
      <c r="C182" s="6">
        <v>94.705559</v>
      </c>
      <c r="D182" s="5">
        <v>90329200</v>
      </c>
      <c r="E182" s="6">
        <v>153.710861</v>
      </c>
      <c r="F182" s="5">
        <v>3311500</v>
      </c>
    </row>
    <row r="183" spans="1:6">
      <c r="A183" s="59">
        <v>44042</v>
      </c>
      <c r="B183" s="5">
        <v>182</v>
      </c>
      <c r="C183" s="6">
        <v>95.851517</v>
      </c>
      <c r="D183" s="5">
        <v>158130000</v>
      </c>
      <c r="E183" s="6">
        <v>148.321335</v>
      </c>
      <c r="F183" s="5">
        <v>2749100</v>
      </c>
    </row>
    <row r="184" spans="1:6">
      <c r="A184" s="59">
        <v>44043</v>
      </c>
      <c r="B184" s="5">
        <v>183</v>
      </c>
      <c r="C184" s="6">
        <v>105.886086</v>
      </c>
      <c r="D184" s="5">
        <v>374336800</v>
      </c>
      <c r="E184" s="6">
        <v>148.530151</v>
      </c>
      <c r="F184" s="5">
        <v>4061200</v>
      </c>
    </row>
    <row r="185" spans="1:6">
      <c r="A185" s="59">
        <v>44046</v>
      </c>
      <c r="B185" s="5">
        <v>184</v>
      </c>
      <c r="C185" s="6">
        <v>108.554153</v>
      </c>
      <c r="D185" s="5">
        <v>308151200</v>
      </c>
      <c r="E185" s="6">
        <v>147.694885</v>
      </c>
      <c r="F185" s="5">
        <v>2105400</v>
      </c>
    </row>
    <row r="186" spans="1:6">
      <c r="A186" s="59">
        <v>44047</v>
      </c>
      <c r="B186" s="5">
        <v>185</v>
      </c>
      <c r="C186" s="6">
        <v>109.279099</v>
      </c>
      <c r="D186" s="5">
        <v>173071600</v>
      </c>
      <c r="E186" s="6">
        <v>146.501633</v>
      </c>
      <c r="F186" s="5">
        <v>3078300</v>
      </c>
    </row>
    <row r="187" spans="1:6">
      <c r="A187" s="59">
        <v>44048</v>
      </c>
      <c r="B187" s="5">
        <v>186</v>
      </c>
      <c r="C187" s="6">
        <v>109.675194</v>
      </c>
      <c r="D187" s="5">
        <v>121992000</v>
      </c>
      <c r="E187" s="6">
        <v>149.972015</v>
      </c>
      <c r="F187" s="5">
        <v>4181000</v>
      </c>
    </row>
    <row r="188" spans="1:6">
      <c r="A188" s="59">
        <v>44049</v>
      </c>
      <c r="B188" s="5">
        <v>187</v>
      </c>
      <c r="C188" s="6">
        <v>113.501678</v>
      </c>
      <c r="D188" s="5">
        <v>202428800</v>
      </c>
      <c r="E188" s="6">
        <v>151.722107</v>
      </c>
      <c r="F188" s="5">
        <v>2502700</v>
      </c>
    </row>
    <row r="189" spans="1:6">
      <c r="A189" s="59">
        <v>44050</v>
      </c>
      <c r="B189" s="5">
        <v>188</v>
      </c>
      <c r="C189" s="6">
        <v>110.921135</v>
      </c>
      <c r="D189" s="5">
        <v>198045600</v>
      </c>
      <c r="E189" s="6">
        <v>154.237885</v>
      </c>
      <c r="F189" s="5">
        <v>2519500</v>
      </c>
    </row>
    <row r="190" spans="1:6">
      <c r="A190" s="59">
        <v>44053</v>
      </c>
      <c r="B190" s="5">
        <v>189</v>
      </c>
      <c r="C190" s="6">
        <v>112.533356</v>
      </c>
      <c r="D190" s="5">
        <v>212403600</v>
      </c>
      <c r="E190" s="6">
        <v>158.533585</v>
      </c>
      <c r="F190" s="5">
        <v>2858800</v>
      </c>
    </row>
    <row r="191" spans="1:6">
      <c r="A191" s="59">
        <v>44054</v>
      </c>
      <c r="B191" s="5">
        <v>190</v>
      </c>
      <c r="C191" s="6">
        <v>109.186623</v>
      </c>
      <c r="D191" s="5">
        <v>187902400</v>
      </c>
      <c r="E191" s="6">
        <v>159.378815</v>
      </c>
      <c r="F191" s="5">
        <v>3773700</v>
      </c>
    </row>
    <row r="192" spans="1:6">
      <c r="A192" s="59">
        <v>44055</v>
      </c>
      <c r="B192" s="5">
        <v>191</v>
      </c>
      <c r="C192" s="6">
        <v>112.815369</v>
      </c>
      <c r="D192" s="5">
        <v>165944800</v>
      </c>
      <c r="E192" s="6">
        <v>159.169998</v>
      </c>
      <c r="F192" s="5">
        <v>2670100</v>
      </c>
    </row>
    <row r="193" spans="1:6">
      <c r="A193" s="59">
        <v>44056</v>
      </c>
      <c r="B193" s="5">
        <v>192</v>
      </c>
      <c r="C193" s="6">
        <v>114.81192</v>
      </c>
      <c r="D193" s="5">
        <v>210082000</v>
      </c>
      <c r="E193" s="6">
        <v>158.979996</v>
      </c>
      <c r="F193" s="5">
        <v>2574900</v>
      </c>
    </row>
    <row r="194" spans="1:6">
      <c r="A194" s="59">
        <v>44057</v>
      </c>
      <c r="B194" s="5">
        <v>193</v>
      </c>
      <c r="C194" s="6">
        <v>114.709602</v>
      </c>
      <c r="D194" s="5">
        <v>165565200</v>
      </c>
      <c r="E194" s="6">
        <v>160.279999</v>
      </c>
      <c r="F194" s="5">
        <v>2844700</v>
      </c>
    </row>
    <row r="195" spans="1:6">
      <c r="A195" s="59">
        <v>44060</v>
      </c>
      <c r="B195" s="5">
        <v>194</v>
      </c>
      <c r="C195" s="6">
        <v>114.41011</v>
      </c>
      <c r="D195" s="5">
        <v>119561600</v>
      </c>
      <c r="E195" s="6">
        <v>158.759995</v>
      </c>
      <c r="F195" s="5">
        <v>2817200</v>
      </c>
    </row>
    <row r="196" spans="1:6">
      <c r="A196" s="59">
        <v>44061</v>
      </c>
      <c r="B196" s="5">
        <v>195</v>
      </c>
      <c r="C196" s="6">
        <v>115.363472</v>
      </c>
      <c r="D196" s="5">
        <v>105633600</v>
      </c>
      <c r="E196" s="6">
        <v>157.380005</v>
      </c>
      <c r="F196" s="5">
        <v>1869300</v>
      </c>
    </row>
    <row r="197" spans="1:6">
      <c r="A197" s="59">
        <v>44062</v>
      </c>
      <c r="B197" s="5">
        <v>196</v>
      </c>
      <c r="C197" s="6">
        <v>115.508217</v>
      </c>
      <c r="D197" s="5">
        <v>145538000</v>
      </c>
      <c r="E197" s="6">
        <v>156.850006</v>
      </c>
      <c r="F197" s="5">
        <v>2098100</v>
      </c>
    </row>
    <row r="198" spans="1:6">
      <c r="A198" s="59">
        <v>44063</v>
      </c>
      <c r="B198" s="5">
        <v>197</v>
      </c>
      <c r="C198" s="6">
        <v>118.071297</v>
      </c>
      <c r="D198" s="5">
        <v>126907200</v>
      </c>
      <c r="E198" s="6">
        <v>156.169998</v>
      </c>
      <c r="F198" s="5">
        <v>1600300</v>
      </c>
    </row>
    <row r="199" spans="1:6">
      <c r="A199" s="59">
        <v>44064</v>
      </c>
      <c r="B199" s="5">
        <v>198</v>
      </c>
      <c r="C199" s="6">
        <v>124.1558</v>
      </c>
      <c r="D199" s="5">
        <v>338054800</v>
      </c>
      <c r="E199" s="6">
        <v>157.5</v>
      </c>
      <c r="F199" s="5">
        <v>2507800</v>
      </c>
    </row>
    <row r="200" spans="1:6">
      <c r="A200" s="59">
        <v>44067</v>
      </c>
      <c r="B200" s="5">
        <v>199</v>
      </c>
      <c r="C200" s="6">
        <v>125.640739</v>
      </c>
      <c r="D200" s="5">
        <v>345937600</v>
      </c>
      <c r="E200" s="6">
        <v>159.369995</v>
      </c>
      <c r="F200" s="5">
        <v>2087000</v>
      </c>
    </row>
    <row r="201" spans="1:6">
      <c r="A201" s="59">
        <v>44068</v>
      </c>
      <c r="B201" s="5">
        <v>200</v>
      </c>
      <c r="C201" s="6">
        <v>124.610016</v>
      </c>
      <c r="D201" s="5">
        <v>211495600</v>
      </c>
      <c r="E201" s="6">
        <v>164.529999</v>
      </c>
      <c r="F201" s="5">
        <v>7400500</v>
      </c>
    </row>
    <row r="202" spans="1:6">
      <c r="A202" s="59">
        <v>44069</v>
      </c>
      <c r="B202" s="5">
        <v>201</v>
      </c>
      <c r="C202" s="6">
        <v>126.304596</v>
      </c>
      <c r="D202" s="5">
        <v>163022400</v>
      </c>
      <c r="E202" s="6">
        <v>165.309998</v>
      </c>
      <c r="F202" s="5">
        <v>3466600</v>
      </c>
    </row>
    <row r="203" spans="1:6">
      <c r="A203" s="59">
        <v>44070</v>
      </c>
      <c r="B203" s="5">
        <v>202</v>
      </c>
      <c r="C203" s="6">
        <v>124.794701</v>
      </c>
      <c r="D203" s="5">
        <v>155552400</v>
      </c>
      <c r="E203" s="6">
        <v>165.990005</v>
      </c>
      <c r="F203" s="5">
        <v>4281100</v>
      </c>
    </row>
    <row r="204" spans="1:6">
      <c r="A204" s="59">
        <v>44071</v>
      </c>
      <c r="B204" s="5">
        <v>203</v>
      </c>
      <c r="C204" s="6">
        <v>124.592552</v>
      </c>
      <c r="D204" s="5">
        <v>187630000</v>
      </c>
      <c r="E204" s="6">
        <v>168.380005</v>
      </c>
      <c r="F204" s="5">
        <v>13011800</v>
      </c>
    </row>
    <row r="205" spans="1:6">
      <c r="A205" s="59">
        <v>44074</v>
      </c>
      <c r="B205" s="5">
        <v>204</v>
      </c>
      <c r="C205" s="6">
        <v>128.817749</v>
      </c>
      <c r="D205" s="5">
        <v>225702700</v>
      </c>
      <c r="E205" s="6">
        <v>165.550003</v>
      </c>
      <c r="F205" s="5">
        <v>4561900</v>
      </c>
    </row>
    <row r="206" spans="1:6">
      <c r="A206" s="59">
        <v>44075</v>
      </c>
      <c r="B206" s="5">
        <v>205</v>
      </c>
      <c r="C206" s="6">
        <v>133.948898</v>
      </c>
      <c r="D206" s="5">
        <v>152470100</v>
      </c>
      <c r="E206" s="6">
        <v>167.970001</v>
      </c>
      <c r="F206" s="5">
        <v>3975100</v>
      </c>
    </row>
    <row r="207" spans="1:6">
      <c r="A207" s="59">
        <v>44076</v>
      </c>
      <c r="B207" s="5">
        <v>206</v>
      </c>
      <c r="C207" s="6">
        <v>131.173691</v>
      </c>
      <c r="D207" s="5">
        <v>200119000</v>
      </c>
      <c r="E207" s="6">
        <v>172.470001</v>
      </c>
      <c r="F207" s="5">
        <v>4111900</v>
      </c>
    </row>
    <row r="208" spans="1:6">
      <c r="A208" s="59">
        <v>44077</v>
      </c>
      <c r="B208" s="5">
        <v>207</v>
      </c>
      <c r="C208" s="6">
        <v>120.671806</v>
      </c>
      <c r="D208" s="5">
        <v>257599600</v>
      </c>
      <c r="E208" s="6">
        <v>166.300003</v>
      </c>
      <c r="F208" s="5">
        <v>3527700</v>
      </c>
    </row>
    <row r="209" spans="1:6">
      <c r="A209" s="59">
        <v>44078</v>
      </c>
      <c r="B209" s="5">
        <v>208</v>
      </c>
      <c r="C209" s="6">
        <v>120.751671</v>
      </c>
      <c r="D209" s="5">
        <v>332607200</v>
      </c>
      <c r="E209" s="6">
        <v>166.690002</v>
      </c>
      <c r="F209" s="5">
        <v>3326500</v>
      </c>
    </row>
    <row r="210" spans="1:6">
      <c r="A210" s="59">
        <v>44082</v>
      </c>
      <c r="B210" s="5">
        <v>209</v>
      </c>
      <c r="C210" s="6">
        <v>112.625694</v>
      </c>
      <c r="D210" s="5">
        <v>231366600</v>
      </c>
      <c r="E210" s="6">
        <v>164.270004</v>
      </c>
      <c r="F210" s="5">
        <v>2796800</v>
      </c>
    </row>
    <row r="211" spans="1:6">
      <c r="A211" s="59">
        <v>44083</v>
      </c>
      <c r="B211" s="5">
        <v>210</v>
      </c>
      <c r="C211" s="6">
        <v>117.117943</v>
      </c>
      <c r="D211" s="5">
        <v>176940500</v>
      </c>
      <c r="E211" s="6">
        <v>165.75</v>
      </c>
      <c r="F211" s="5">
        <v>2807500</v>
      </c>
    </row>
    <row r="212" spans="1:6">
      <c r="A212" s="59">
        <v>44084</v>
      </c>
      <c r="B212" s="5">
        <v>211</v>
      </c>
      <c r="C212" s="6">
        <v>113.29454</v>
      </c>
      <c r="D212" s="5">
        <v>182274400</v>
      </c>
      <c r="E212" s="6">
        <v>164.270004</v>
      </c>
      <c r="F212" s="5">
        <v>2814900</v>
      </c>
    </row>
    <row r="213" spans="1:6">
      <c r="A213" s="59">
        <v>44085</v>
      </c>
      <c r="B213" s="5">
        <v>212</v>
      </c>
      <c r="C213" s="6">
        <v>111.807106</v>
      </c>
      <c r="D213" s="5">
        <v>180860300</v>
      </c>
      <c r="E213" s="6">
        <v>166.449997</v>
      </c>
      <c r="F213" s="5">
        <v>2116700</v>
      </c>
    </row>
    <row r="214" spans="1:6">
      <c r="A214" s="59">
        <v>44088</v>
      </c>
      <c r="B214" s="5">
        <v>213</v>
      </c>
      <c r="C214" s="6">
        <v>115.161316</v>
      </c>
      <c r="D214" s="5">
        <v>140150100</v>
      </c>
      <c r="E214" s="6">
        <v>168.470001</v>
      </c>
      <c r="F214" s="5">
        <v>2134000</v>
      </c>
    </row>
    <row r="215" spans="1:6">
      <c r="A215" s="59">
        <v>44089</v>
      </c>
      <c r="B215" s="5">
        <v>214</v>
      </c>
      <c r="C215" s="6">
        <v>115.341011</v>
      </c>
      <c r="D215" s="5">
        <v>184642000</v>
      </c>
      <c r="E215" s="6">
        <v>168.300003</v>
      </c>
      <c r="F215" s="5">
        <v>1851200</v>
      </c>
    </row>
    <row r="216" spans="1:6">
      <c r="A216" s="59">
        <v>44090</v>
      </c>
      <c r="B216" s="5">
        <v>215</v>
      </c>
      <c r="C216" s="6">
        <v>111.936882</v>
      </c>
      <c r="D216" s="5">
        <v>154679000</v>
      </c>
      <c r="E216" s="6">
        <v>170</v>
      </c>
      <c r="F216" s="5">
        <v>3152000</v>
      </c>
    </row>
    <row r="217" spans="1:6">
      <c r="A217" s="59">
        <v>44091</v>
      </c>
      <c r="B217" s="5">
        <v>216</v>
      </c>
      <c r="C217" s="6">
        <v>110.149963</v>
      </c>
      <c r="D217" s="5">
        <v>178011000</v>
      </c>
      <c r="E217" s="6">
        <v>170.339996</v>
      </c>
      <c r="F217" s="5">
        <v>2661400</v>
      </c>
    </row>
    <row r="218" spans="1:6">
      <c r="A218" s="59">
        <v>44092</v>
      </c>
      <c r="B218" s="5">
        <v>217</v>
      </c>
      <c r="C218" s="6">
        <v>106.655991</v>
      </c>
      <c r="D218" s="5">
        <v>287104900</v>
      </c>
      <c r="E218" s="6">
        <v>168.699997</v>
      </c>
      <c r="F218" s="5">
        <v>4908000</v>
      </c>
    </row>
    <row r="219" spans="1:6">
      <c r="A219" s="59">
        <v>44095</v>
      </c>
      <c r="B219" s="5">
        <v>218</v>
      </c>
      <c r="C219" s="6">
        <v>109.890411</v>
      </c>
      <c r="D219" s="5">
        <v>195713800</v>
      </c>
      <c r="E219" s="6">
        <v>161.369995</v>
      </c>
      <c r="F219" s="5">
        <v>4459600</v>
      </c>
    </row>
    <row r="220" spans="1:6">
      <c r="A220" s="59">
        <v>44096</v>
      </c>
      <c r="B220" s="5">
        <v>219</v>
      </c>
      <c r="C220" s="6">
        <v>111.617432</v>
      </c>
      <c r="D220" s="5">
        <v>183055400</v>
      </c>
      <c r="E220" s="6">
        <v>162.679993</v>
      </c>
      <c r="F220" s="5">
        <v>2501000</v>
      </c>
    </row>
    <row r="221" spans="1:6">
      <c r="A221" s="59">
        <v>44097</v>
      </c>
      <c r="B221" s="5">
        <v>220</v>
      </c>
      <c r="C221" s="6">
        <v>106.935509</v>
      </c>
      <c r="D221" s="5">
        <v>150718700</v>
      </c>
      <c r="E221" s="6">
        <v>158.789993</v>
      </c>
      <c r="F221" s="5">
        <v>2507600</v>
      </c>
    </row>
    <row r="222" spans="1:6">
      <c r="A222" s="59">
        <v>44098</v>
      </c>
      <c r="B222" s="5">
        <v>221</v>
      </c>
      <c r="C222" s="6">
        <v>108.033615</v>
      </c>
      <c r="D222" s="5">
        <v>167743300</v>
      </c>
      <c r="E222" s="6">
        <v>158.759995</v>
      </c>
      <c r="F222" s="5">
        <v>2238300</v>
      </c>
    </row>
    <row r="223" spans="1:6">
      <c r="A223" s="59">
        <v>44099</v>
      </c>
      <c r="B223" s="5">
        <v>222</v>
      </c>
      <c r="C223" s="6">
        <v>112.086624</v>
      </c>
      <c r="D223" s="5">
        <v>149981400</v>
      </c>
      <c r="E223" s="6">
        <v>161.490005</v>
      </c>
      <c r="F223" s="5">
        <v>2593900</v>
      </c>
    </row>
    <row r="224" spans="1:6">
      <c r="A224" s="59">
        <v>44102</v>
      </c>
      <c r="B224" s="5">
        <v>223</v>
      </c>
      <c r="C224" s="6">
        <v>114.762009</v>
      </c>
      <c r="D224" s="5">
        <v>137672400</v>
      </c>
      <c r="E224" s="6">
        <v>164.639999</v>
      </c>
      <c r="F224" s="5">
        <v>2512600</v>
      </c>
    </row>
    <row r="225" spans="1:6">
      <c r="A225" s="59">
        <v>44103</v>
      </c>
      <c r="B225" s="5">
        <v>224</v>
      </c>
      <c r="C225" s="6">
        <v>113.893501</v>
      </c>
      <c r="D225" s="5">
        <v>99382200</v>
      </c>
      <c r="E225" s="6">
        <v>164.509995</v>
      </c>
      <c r="F225" s="5">
        <v>2169300</v>
      </c>
    </row>
    <row r="226" spans="1:6">
      <c r="A226" s="59">
        <v>44104</v>
      </c>
      <c r="B226" s="5">
        <v>225</v>
      </c>
      <c r="C226" s="6">
        <v>115.610542</v>
      </c>
      <c r="D226" s="5">
        <v>142675200</v>
      </c>
      <c r="E226" s="6">
        <v>164.610001</v>
      </c>
      <c r="F226" s="5">
        <v>2883400</v>
      </c>
    </row>
    <row r="227" spans="1:6">
      <c r="A227" s="59">
        <v>44105</v>
      </c>
      <c r="B227" s="5">
        <v>226</v>
      </c>
      <c r="C227" s="6">
        <v>116.58886</v>
      </c>
      <c r="D227" s="5">
        <v>116120400</v>
      </c>
      <c r="E227" s="6">
        <v>163.679993</v>
      </c>
      <c r="F227" s="5">
        <v>2409300</v>
      </c>
    </row>
    <row r="228" spans="1:6">
      <c r="A228" s="59">
        <v>44106</v>
      </c>
      <c r="B228" s="5">
        <v>227</v>
      </c>
      <c r="C228" s="6">
        <v>112.825348</v>
      </c>
      <c r="D228" s="5">
        <v>144712000</v>
      </c>
      <c r="E228" s="6">
        <v>165.610001</v>
      </c>
      <c r="F228" s="5">
        <v>2339900</v>
      </c>
    </row>
    <row r="229" spans="1:6">
      <c r="A229" s="59">
        <v>44109</v>
      </c>
      <c r="B229" s="5">
        <v>228</v>
      </c>
      <c r="C229" s="6">
        <v>116.299355</v>
      </c>
      <c r="D229" s="5">
        <v>106243800</v>
      </c>
      <c r="E229" s="6">
        <v>168.720001</v>
      </c>
      <c r="F229" s="5">
        <v>1750000</v>
      </c>
    </row>
    <row r="230" spans="1:6">
      <c r="A230" s="59">
        <v>44110</v>
      </c>
      <c r="B230" s="5">
        <v>229</v>
      </c>
      <c r="C230" s="6">
        <v>112.965111</v>
      </c>
      <c r="D230" s="5">
        <v>161498200</v>
      </c>
      <c r="E230" s="6">
        <v>166.889999</v>
      </c>
      <c r="F230" s="5">
        <v>2345800</v>
      </c>
    </row>
    <row r="231" spans="1:6">
      <c r="A231" s="59">
        <v>44111</v>
      </c>
      <c r="B231" s="5">
        <v>230</v>
      </c>
      <c r="C231" s="6">
        <v>114.881805</v>
      </c>
      <c r="D231" s="5">
        <v>96849000</v>
      </c>
      <c r="E231" s="6">
        <v>171.550003</v>
      </c>
      <c r="F231" s="5">
        <v>2030200</v>
      </c>
    </row>
    <row r="232" spans="1:6">
      <c r="A232" s="59">
        <v>44112</v>
      </c>
      <c r="B232" s="5">
        <v>231</v>
      </c>
      <c r="C232" s="6">
        <v>114.771988</v>
      </c>
      <c r="D232" s="5">
        <v>83477200</v>
      </c>
      <c r="E232" s="6">
        <v>173.779999</v>
      </c>
      <c r="F232" s="5">
        <v>1977900</v>
      </c>
    </row>
    <row r="233" spans="1:6">
      <c r="A233" s="59">
        <v>44113</v>
      </c>
      <c r="B233" s="5">
        <v>232</v>
      </c>
      <c r="C233" s="6">
        <v>116.768547</v>
      </c>
      <c r="D233" s="5">
        <v>100506900</v>
      </c>
      <c r="E233" s="6">
        <v>174.380005</v>
      </c>
      <c r="F233" s="5">
        <v>2636900</v>
      </c>
    </row>
    <row r="234" spans="1:6">
      <c r="A234" s="59">
        <v>44116</v>
      </c>
      <c r="B234" s="5">
        <v>233</v>
      </c>
      <c r="C234" s="6">
        <v>124.185753</v>
      </c>
      <c r="D234" s="5">
        <v>240226800</v>
      </c>
      <c r="E234" s="6">
        <v>175.360001</v>
      </c>
      <c r="F234" s="5">
        <v>3396300</v>
      </c>
    </row>
    <row r="235" spans="1:6">
      <c r="A235" s="59">
        <v>44117</v>
      </c>
      <c r="B235" s="5">
        <v>234</v>
      </c>
      <c r="C235" s="6">
        <v>120.891434</v>
      </c>
      <c r="D235" s="5">
        <v>262330500</v>
      </c>
      <c r="E235" s="6">
        <v>171.550003</v>
      </c>
      <c r="F235" s="5">
        <v>2315300</v>
      </c>
    </row>
    <row r="236" spans="1:6">
      <c r="A236" s="59">
        <v>44118</v>
      </c>
      <c r="B236" s="5">
        <v>235</v>
      </c>
      <c r="C236" s="6">
        <v>120.981277</v>
      </c>
      <c r="D236" s="5">
        <v>151062300</v>
      </c>
      <c r="E236" s="6">
        <v>173.470001</v>
      </c>
      <c r="F236" s="5">
        <v>2386400</v>
      </c>
    </row>
    <row r="237" spans="1:6">
      <c r="A237" s="59">
        <v>44119</v>
      </c>
      <c r="B237" s="5">
        <v>236</v>
      </c>
      <c r="C237" s="6">
        <v>120.502106</v>
      </c>
      <c r="D237" s="5">
        <v>112559200</v>
      </c>
      <c r="E237" s="6">
        <v>172.610001</v>
      </c>
      <c r="F237" s="5">
        <v>2436600</v>
      </c>
    </row>
    <row r="238" spans="1:6">
      <c r="A238" s="59">
        <v>44120</v>
      </c>
      <c r="B238" s="5">
        <v>237</v>
      </c>
      <c r="C238" s="6">
        <v>118.81501</v>
      </c>
      <c r="D238" s="5">
        <v>115393800</v>
      </c>
      <c r="E238" s="6">
        <v>174.860001</v>
      </c>
      <c r="F238" s="5">
        <v>3628800</v>
      </c>
    </row>
    <row r="239" spans="1:6">
      <c r="A239" s="59">
        <v>44123</v>
      </c>
      <c r="B239" s="5">
        <v>238</v>
      </c>
      <c r="C239" s="6">
        <v>115.780251</v>
      </c>
      <c r="D239" s="5">
        <v>120639300</v>
      </c>
      <c r="E239" s="6">
        <v>171.589996</v>
      </c>
      <c r="F239" s="5">
        <v>2103500</v>
      </c>
    </row>
    <row r="240" spans="1:6">
      <c r="A240" s="59">
        <v>44124</v>
      </c>
      <c r="B240" s="5">
        <v>239</v>
      </c>
      <c r="C240" s="6">
        <v>117.307617</v>
      </c>
      <c r="D240" s="5">
        <v>124423700</v>
      </c>
      <c r="E240" s="6">
        <v>173.259995</v>
      </c>
      <c r="F240" s="5">
        <v>1580300</v>
      </c>
    </row>
    <row r="241" spans="1:6">
      <c r="A241" s="59">
        <v>44125</v>
      </c>
      <c r="B241" s="5">
        <v>240</v>
      </c>
      <c r="C241" s="6">
        <v>116.668724</v>
      </c>
      <c r="D241" s="5">
        <v>89946000</v>
      </c>
      <c r="E241" s="6">
        <v>172.869995</v>
      </c>
      <c r="F241" s="5">
        <v>1827000</v>
      </c>
    </row>
    <row r="242" spans="1:6">
      <c r="A242" s="59">
        <v>44126</v>
      </c>
      <c r="B242" s="5">
        <v>241</v>
      </c>
      <c r="C242" s="6">
        <v>115.550644</v>
      </c>
      <c r="D242" s="5">
        <v>101988000</v>
      </c>
      <c r="E242" s="6">
        <v>176.850006</v>
      </c>
      <c r="F242" s="5">
        <v>1882100</v>
      </c>
    </row>
    <row r="243" spans="1:6">
      <c r="A243" s="59">
        <v>44127</v>
      </c>
      <c r="B243" s="5">
        <v>242</v>
      </c>
      <c r="C243" s="6">
        <v>114.841873</v>
      </c>
      <c r="D243" s="5">
        <v>82572600</v>
      </c>
      <c r="E243" s="6">
        <v>175.539993</v>
      </c>
      <c r="F243" s="5">
        <v>1987900</v>
      </c>
    </row>
    <row r="244" spans="1:6">
      <c r="A244" s="59">
        <v>44130</v>
      </c>
      <c r="B244" s="5">
        <v>243</v>
      </c>
      <c r="C244" s="6">
        <v>114.851852</v>
      </c>
      <c r="D244" s="5">
        <v>111850700</v>
      </c>
      <c r="E244" s="6">
        <v>170.169998</v>
      </c>
      <c r="F244" s="5">
        <v>2323700</v>
      </c>
    </row>
    <row r="245" spans="1:6">
      <c r="A245" s="59">
        <v>44131</v>
      </c>
      <c r="B245" s="5">
        <v>244</v>
      </c>
      <c r="C245" s="6">
        <v>116.399178</v>
      </c>
      <c r="D245" s="5">
        <v>92276800</v>
      </c>
      <c r="E245" s="6">
        <v>166.75</v>
      </c>
      <c r="F245" s="5">
        <v>2009300</v>
      </c>
    </row>
    <row r="246" spans="1:6">
      <c r="A246" s="59">
        <v>44132</v>
      </c>
      <c r="B246" s="5">
        <v>245</v>
      </c>
      <c r="C246" s="6">
        <v>111.008476</v>
      </c>
      <c r="D246" s="5">
        <v>143937800</v>
      </c>
      <c r="E246" s="6">
        <v>161.160004</v>
      </c>
      <c r="F246" s="5">
        <v>3233500</v>
      </c>
    </row>
    <row r="247" spans="1:6">
      <c r="A247" s="59">
        <v>44133</v>
      </c>
      <c r="B247" s="5">
        <v>246</v>
      </c>
      <c r="C247" s="6">
        <v>115.121384</v>
      </c>
      <c r="D247" s="5">
        <v>146129200</v>
      </c>
      <c r="E247" s="6">
        <v>164.600006</v>
      </c>
      <c r="F247" s="5">
        <v>3113600</v>
      </c>
    </row>
    <row r="248" spans="1:6">
      <c r="A248" s="59">
        <v>44134</v>
      </c>
      <c r="B248" s="5">
        <v>247</v>
      </c>
      <c r="C248" s="6">
        <v>108.672516</v>
      </c>
      <c r="D248" s="5">
        <v>190272600</v>
      </c>
      <c r="E248" s="6">
        <v>164.949997</v>
      </c>
      <c r="F248" s="5">
        <v>4389500</v>
      </c>
    </row>
    <row r="249" spans="1:6">
      <c r="A249" s="59">
        <v>44137</v>
      </c>
      <c r="B249" s="5">
        <v>248</v>
      </c>
      <c r="C249" s="6">
        <v>108.582664</v>
      </c>
      <c r="D249" s="5">
        <v>122866900</v>
      </c>
      <c r="E249" s="6">
        <v>173.610001</v>
      </c>
      <c r="F249" s="5">
        <v>4198300</v>
      </c>
    </row>
    <row r="250" spans="1:6">
      <c r="A250" s="59">
        <v>44138</v>
      </c>
      <c r="B250" s="5">
        <v>249</v>
      </c>
      <c r="C250" s="6">
        <v>110.249794</v>
      </c>
      <c r="D250" s="5">
        <v>107624400</v>
      </c>
      <c r="E250" s="6">
        <v>179.210007</v>
      </c>
      <c r="F250" s="5">
        <v>3719800</v>
      </c>
    </row>
    <row r="251" spans="1:6">
      <c r="A251" s="59">
        <v>44139</v>
      </c>
      <c r="B251" s="5">
        <v>250</v>
      </c>
      <c r="C251" s="6">
        <v>114.752022</v>
      </c>
      <c r="D251" s="5">
        <v>138235500</v>
      </c>
      <c r="E251" s="6">
        <v>178.910004</v>
      </c>
      <c r="F251" s="5">
        <v>4318600</v>
      </c>
    </row>
    <row r="252" spans="1:6">
      <c r="A252" s="59">
        <v>44140</v>
      </c>
      <c r="B252" s="5">
        <v>251</v>
      </c>
      <c r="C252" s="6">
        <v>118.824997</v>
      </c>
      <c r="D252" s="5">
        <v>126387100</v>
      </c>
      <c r="E252" s="6">
        <v>183.279999</v>
      </c>
      <c r="F252" s="5">
        <v>4585100</v>
      </c>
    </row>
    <row r="253" ht="16.35" spans="1:6">
      <c r="A253" s="59">
        <v>44141</v>
      </c>
      <c r="B253" s="5">
        <v>252</v>
      </c>
      <c r="C253" s="6">
        <v>118.690002</v>
      </c>
      <c r="D253" s="5">
        <v>114283600</v>
      </c>
      <c r="E253" s="6">
        <v>184.270004</v>
      </c>
      <c r="F253" s="5">
        <v>3080300</v>
      </c>
    </row>
    <row r="254" ht="16.35" spans="1:5">
      <c r="A254" s="59">
        <v>44144</v>
      </c>
      <c r="B254" s="5">
        <v>253</v>
      </c>
      <c r="C254" s="51"/>
      <c r="E254" s="51"/>
    </row>
    <row r="255" spans="1:2">
      <c r="A255" s="59">
        <v>44145</v>
      </c>
      <c r="B255" s="5">
        <v>254</v>
      </c>
    </row>
    <row r="256" spans="1:2">
      <c r="A256" s="59">
        <v>44146</v>
      </c>
      <c r="B256" s="5">
        <v>255</v>
      </c>
    </row>
    <row r="257" spans="1:2">
      <c r="A257" s="59">
        <v>44147</v>
      </c>
      <c r="B257" s="5">
        <v>256</v>
      </c>
    </row>
    <row r="258" spans="1:2">
      <c r="A258" s="59">
        <v>44148</v>
      </c>
      <c r="B258" s="5">
        <v>257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599993896298105"/>
  </sheetPr>
  <dimension ref="A3:AC560"/>
  <sheetViews>
    <sheetView tabSelected="1" topLeftCell="A535" workbookViewId="0">
      <selection activeCell="G546" sqref="G546"/>
    </sheetView>
  </sheetViews>
  <sheetFormatPr defaultColWidth="11" defaultRowHeight="15.6"/>
  <cols>
    <col min="6" max="6" width="19.625" customWidth="1"/>
  </cols>
  <sheetData>
    <row r="3" spans="1:1">
      <c r="A3" t="s">
        <v>6</v>
      </c>
    </row>
    <row r="16" ht="16.35"/>
    <row r="17" ht="16.35" spans="14:29">
      <c r="N17" s="43" t="s">
        <v>7</v>
      </c>
      <c r="O17" s="44"/>
      <c r="P17" s="44"/>
      <c r="Q17" s="44"/>
      <c r="R17" s="44"/>
      <c r="S17" s="44"/>
      <c r="T17" s="44"/>
      <c r="U17" s="48"/>
      <c r="V17" s="49" t="s">
        <v>8</v>
      </c>
      <c r="W17" s="50"/>
      <c r="X17" s="50"/>
      <c r="Y17" s="50"/>
      <c r="Z17" s="50"/>
      <c r="AA17" s="50"/>
      <c r="AB17" s="50"/>
      <c r="AC17" s="53"/>
    </row>
    <row r="18" ht="16.35" spans="1:29">
      <c r="A18" t="s">
        <v>9</v>
      </c>
      <c r="N18" s="45" t="s">
        <v>10</v>
      </c>
      <c r="O18" s="45"/>
      <c r="P18" s="45"/>
      <c r="Q18" s="45"/>
      <c r="R18" s="45" t="s">
        <v>11</v>
      </c>
      <c r="S18" s="45"/>
      <c r="T18" s="45"/>
      <c r="U18" s="45"/>
      <c r="V18" s="51" t="s">
        <v>10</v>
      </c>
      <c r="W18" s="51"/>
      <c r="X18" s="51"/>
      <c r="Y18" s="51"/>
      <c r="Z18" s="51" t="s">
        <v>11</v>
      </c>
      <c r="AA18" s="51"/>
      <c r="AB18" s="51"/>
      <c r="AC18" s="51"/>
    </row>
    <row r="19" ht="16.35" spans="2:29">
      <c r="B19" s="5" t="s">
        <v>1</v>
      </c>
      <c r="C19" s="5" t="s">
        <v>2</v>
      </c>
      <c r="D19" s="5" t="s">
        <v>4</v>
      </c>
      <c r="E19" s="32" t="s">
        <v>12</v>
      </c>
      <c r="F19" t="s">
        <v>13</v>
      </c>
      <c r="G19" t="s">
        <v>14</v>
      </c>
      <c r="L19" t="s">
        <v>15</v>
      </c>
      <c r="M19" t="s">
        <v>16</v>
      </c>
      <c r="N19" s="46" t="s">
        <v>17</v>
      </c>
      <c r="O19" s="46" t="s">
        <v>18</v>
      </c>
      <c r="P19" s="46" t="s">
        <v>19</v>
      </c>
      <c r="Q19" s="46" t="s">
        <v>20</v>
      </c>
      <c r="R19" s="46" t="s">
        <v>17</v>
      </c>
      <c r="S19" s="46" t="s">
        <v>18</v>
      </c>
      <c r="T19" s="46" t="s">
        <v>19</v>
      </c>
      <c r="U19" s="46" t="s">
        <v>20</v>
      </c>
      <c r="V19" s="46" t="s">
        <v>17</v>
      </c>
      <c r="W19" s="46" t="s">
        <v>18</v>
      </c>
      <c r="X19" s="46" t="s">
        <v>19</v>
      </c>
      <c r="Y19" s="46" t="s">
        <v>20</v>
      </c>
      <c r="Z19" s="46" t="s">
        <v>17</v>
      </c>
      <c r="AA19" s="46" t="s">
        <v>18</v>
      </c>
      <c r="AB19" s="46" t="s">
        <v>19</v>
      </c>
      <c r="AC19" s="46" t="s">
        <v>20</v>
      </c>
    </row>
    <row r="20" spans="2:29">
      <c r="B20" s="5">
        <v>1</v>
      </c>
      <c r="C20" s="6">
        <v>63.954544</v>
      </c>
      <c r="D20" s="6">
        <v>177.029373</v>
      </c>
      <c r="E20">
        <v>0.15</v>
      </c>
      <c r="F20" s="6">
        <v>63.954544</v>
      </c>
      <c r="G20" s="6">
        <v>177.029373</v>
      </c>
      <c r="L20">
        <f>ABS(C20-F20)</f>
        <v>0</v>
      </c>
      <c r="M20">
        <f>ABS(D20-G20)</f>
        <v>0</v>
      </c>
      <c r="N20" s="47">
        <f>IF(E20=0.15,L20,0)</f>
        <v>0</v>
      </c>
      <c r="O20">
        <f>IF(E20=0.35,L20,0)</f>
        <v>0</v>
      </c>
      <c r="P20">
        <f>IF(E20=0.55,L20,0)</f>
        <v>0</v>
      </c>
      <c r="Q20">
        <f>IF(E20=0.75,L20,0)</f>
        <v>0</v>
      </c>
      <c r="R20">
        <f>IF(E20=0.15,M20,0)</f>
        <v>0</v>
      </c>
      <c r="S20">
        <f>IF(E20=0.35,M20,0)</f>
        <v>0</v>
      </c>
      <c r="T20">
        <f>IF(E20=0.55,M20,0)</f>
        <v>0</v>
      </c>
      <c r="U20" s="52">
        <f>IF(E20=0.75,M20,0)</f>
        <v>0</v>
      </c>
      <c r="V20">
        <f>IF(E20=0.15,C20,0)</f>
        <v>63.954544</v>
      </c>
      <c r="W20">
        <f>IF(E20=0.35,C20,0)</f>
        <v>0</v>
      </c>
      <c r="X20">
        <f>IF(E20=0.55,C20,0)</f>
        <v>0</v>
      </c>
      <c r="Y20">
        <f>IF(E20=0.75,C20,0)</f>
        <v>0</v>
      </c>
      <c r="Z20">
        <f>IF(E20=0.15,D20,0)</f>
        <v>177.029373</v>
      </c>
      <c r="AA20">
        <f>IF(E20=0.35,D20,0)</f>
        <v>0</v>
      </c>
      <c r="AB20">
        <f>IF(E20=0.55,D20,0)</f>
        <v>0</v>
      </c>
      <c r="AC20">
        <f>IF(E20=0.75,D20,0)</f>
        <v>0</v>
      </c>
    </row>
    <row r="21" spans="2:29">
      <c r="B21" s="5">
        <v>2</v>
      </c>
      <c r="C21" s="6">
        <v>64.460991</v>
      </c>
      <c r="D21" s="6">
        <v>176.658142</v>
      </c>
      <c r="E21">
        <v>0.35</v>
      </c>
      <c r="F21">
        <f>(E21*C20)+((1-E21)*F20)</f>
        <v>63.954544</v>
      </c>
      <c r="G21">
        <f>(E21*D20)+((1-E21)*G20)</f>
        <v>177.029373</v>
      </c>
      <c r="L21">
        <f t="shared" ref="L21:L22" si="0">ABS(C21-F21)</f>
        <v>0.506447000000009</v>
      </c>
      <c r="M21">
        <f t="shared" ref="M21:M22" si="1">ABS(D21-G21)</f>
        <v>0.371230999999995</v>
      </c>
      <c r="N21" s="47">
        <f t="shared" ref="N21:N84" si="2">IF(E21=0.15,L21,0)</f>
        <v>0</v>
      </c>
      <c r="O21">
        <f t="shared" ref="O21:O84" si="3">IF(E21=0.35,L21,0)</f>
        <v>0.506447000000009</v>
      </c>
      <c r="P21">
        <f t="shared" ref="P21:P84" si="4">IF(E21=0.55,L21,0)</f>
        <v>0</v>
      </c>
      <c r="Q21">
        <f t="shared" ref="Q21:Q84" si="5">IF(E21=0.75,L21,0)</f>
        <v>0</v>
      </c>
      <c r="R21">
        <f t="shared" ref="R21:R84" si="6">IF(E21=0.15,M21,0)</f>
        <v>0</v>
      </c>
      <c r="S21">
        <f t="shared" ref="S21:S84" si="7">IF(E21=0.35,M21,0)</f>
        <v>0.371230999999995</v>
      </c>
      <c r="T21">
        <f t="shared" ref="T21:T84" si="8">IF(E21=0.55,M21,0)</f>
        <v>0</v>
      </c>
      <c r="U21" s="52">
        <f t="shared" ref="U21:U84" si="9">IF(E21=0.75,M21,0)</f>
        <v>0</v>
      </c>
      <c r="V21">
        <f t="shared" ref="V21:V84" si="10">IF(E21=0.15,C21,0)</f>
        <v>0</v>
      </c>
      <c r="W21">
        <f t="shared" ref="W21:W84" si="11">IF(E21=0.35,C21,0)</f>
        <v>64.460991</v>
      </c>
      <c r="X21">
        <f t="shared" ref="X21:X84" si="12">IF(E21=0.55,C21,0)</f>
        <v>0</v>
      </c>
      <c r="Y21">
        <f t="shared" ref="Y21:Y84" si="13">IF(E21=0.75,C21,0)</f>
        <v>0</v>
      </c>
      <c r="Z21">
        <f t="shared" ref="Z21:Z84" si="14">IF(E21=0.15,D21,0)</f>
        <v>0</v>
      </c>
      <c r="AA21">
        <f t="shared" ref="AA21:AA84" si="15">IF(E21=0.35,D21,0)</f>
        <v>176.658142</v>
      </c>
      <c r="AB21">
        <f t="shared" ref="AB21:AB84" si="16">IF(E21=0.55,D21,0)</f>
        <v>0</v>
      </c>
      <c r="AC21">
        <f t="shared" ref="AC21:AC84" si="17">IF(E21=0.75,D21,0)</f>
        <v>0</v>
      </c>
    </row>
    <row r="22" spans="2:29">
      <c r="B22" s="5">
        <v>3</v>
      </c>
      <c r="C22" s="6">
        <v>64.401978</v>
      </c>
      <c r="D22" s="6">
        <v>177.810913</v>
      </c>
      <c r="E22">
        <v>0.55</v>
      </c>
      <c r="F22">
        <f t="shared" ref="F22:F85" si="18">(E22*C21)+((1-E22)*F21)</f>
        <v>64.23308985</v>
      </c>
      <c r="G22">
        <f t="shared" ref="G22:G85" si="19">(E22*D21)+((1-E22)*G21)</f>
        <v>176.82519595</v>
      </c>
      <c r="L22">
        <f t="shared" si="0"/>
        <v>0.168888150000001</v>
      </c>
      <c r="M22">
        <f t="shared" si="1"/>
        <v>0.985717049999977</v>
      </c>
      <c r="N22" s="47">
        <f t="shared" si="2"/>
        <v>0</v>
      </c>
      <c r="O22">
        <f t="shared" si="3"/>
        <v>0</v>
      </c>
      <c r="P22">
        <f t="shared" si="4"/>
        <v>0.168888150000001</v>
      </c>
      <c r="Q22">
        <f t="shared" si="5"/>
        <v>0</v>
      </c>
      <c r="R22">
        <f t="shared" si="6"/>
        <v>0</v>
      </c>
      <c r="S22">
        <f t="shared" si="7"/>
        <v>0</v>
      </c>
      <c r="T22">
        <f t="shared" si="8"/>
        <v>0.985717049999977</v>
      </c>
      <c r="U22" s="52">
        <f t="shared" si="9"/>
        <v>0</v>
      </c>
      <c r="V22">
        <f t="shared" si="10"/>
        <v>0</v>
      </c>
      <c r="W22">
        <f t="shared" si="11"/>
        <v>0</v>
      </c>
      <c r="X22">
        <f t="shared" si="12"/>
        <v>64.401978</v>
      </c>
      <c r="Y22">
        <f t="shared" si="13"/>
        <v>0</v>
      </c>
      <c r="Z22">
        <f t="shared" si="14"/>
        <v>0</v>
      </c>
      <c r="AA22">
        <f t="shared" si="15"/>
        <v>0</v>
      </c>
      <c r="AB22">
        <f t="shared" si="16"/>
        <v>177.810913</v>
      </c>
      <c r="AC22">
        <f t="shared" si="17"/>
        <v>0</v>
      </c>
    </row>
    <row r="23" spans="2:29">
      <c r="B23" s="5">
        <v>4</v>
      </c>
      <c r="C23" s="6">
        <v>65.019051</v>
      </c>
      <c r="D23" s="6">
        <v>177.752319</v>
      </c>
      <c r="E23">
        <v>0.75</v>
      </c>
      <c r="F23">
        <f t="shared" si="18"/>
        <v>64.3597559625</v>
      </c>
      <c r="G23">
        <f t="shared" si="19"/>
        <v>177.5644837375</v>
      </c>
      <c r="L23">
        <f t="shared" ref="L23:L86" si="20">ABS(C23-F23)</f>
        <v>0.659295037500002</v>
      </c>
      <c r="M23">
        <f t="shared" ref="M23:M86" si="21">ABS(D23-G23)</f>
        <v>0.187835262500016</v>
      </c>
      <c r="N23" s="47">
        <f t="shared" si="2"/>
        <v>0</v>
      </c>
      <c r="O23">
        <f t="shared" si="3"/>
        <v>0</v>
      </c>
      <c r="P23">
        <f t="shared" si="4"/>
        <v>0</v>
      </c>
      <c r="Q23">
        <f t="shared" si="5"/>
        <v>0.659295037500002</v>
      </c>
      <c r="R23">
        <f t="shared" si="6"/>
        <v>0</v>
      </c>
      <c r="S23">
        <f t="shared" si="7"/>
        <v>0</v>
      </c>
      <c r="T23">
        <f t="shared" si="8"/>
        <v>0</v>
      </c>
      <c r="U23" s="52">
        <f t="shared" si="9"/>
        <v>0.187835262500016</v>
      </c>
      <c r="V23">
        <f t="shared" si="10"/>
        <v>0</v>
      </c>
      <c r="W23">
        <f t="shared" si="11"/>
        <v>0</v>
      </c>
      <c r="X23">
        <f t="shared" si="12"/>
        <v>0</v>
      </c>
      <c r="Y23">
        <f t="shared" si="13"/>
        <v>65.019051</v>
      </c>
      <c r="Z23">
        <f t="shared" si="14"/>
        <v>0</v>
      </c>
      <c r="AA23">
        <f t="shared" si="15"/>
        <v>0</v>
      </c>
      <c r="AB23">
        <f t="shared" si="16"/>
        <v>0</v>
      </c>
      <c r="AC23">
        <f t="shared" si="17"/>
        <v>177.752319</v>
      </c>
    </row>
    <row r="24" spans="2:29">
      <c r="B24" s="5">
        <v>5</v>
      </c>
      <c r="C24" s="6">
        <v>64.56916</v>
      </c>
      <c r="D24" s="6">
        <v>176.377808</v>
      </c>
      <c r="E24">
        <v>0.15</v>
      </c>
      <c r="F24">
        <f t="shared" si="18"/>
        <v>64.458650218125</v>
      </c>
      <c r="G24">
        <f t="shared" si="19"/>
        <v>177.592659026875</v>
      </c>
      <c r="L24">
        <f t="shared" si="20"/>
        <v>0.110509781874995</v>
      </c>
      <c r="M24">
        <f t="shared" si="21"/>
        <v>1.21485102687498</v>
      </c>
      <c r="N24" s="47">
        <f t="shared" si="2"/>
        <v>0.110509781874995</v>
      </c>
      <c r="O24">
        <f t="shared" si="3"/>
        <v>0</v>
      </c>
      <c r="P24">
        <f t="shared" si="4"/>
        <v>0</v>
      </c>
      <c r="Q24">
        <f t="shared" si="5"/>
        <v>0</v>
      </c>
      <c r="R24">
        <f t="shared" si="6"/>
        <v>1.21485102687498</v>
      </c>
      <c r="S24">
        <f t="shared" si="7"/>
        <v>0</v>
      </c>
      <c r="T24">
        <f t="shared" si="8"/>
        <v>0</v>
      </c>
      <c r="U24" s="52">
        <f t="shared" si="9"/>
        <v>0</v>
      </c>
      <c r="V24">
        <f t="shared" si="10"/>
        <v>64.56916</v>
      </c>
      <c r="W24">
        <f t="shared" si="11"/>
        <v>0</v>
      </c>
      <c r="X24">
        <f t="shared" si="12"/>
        <v>0</v>
      </c>
      <c r="Y24">
        <f t="shared" si="13"/>
        <v>0</v>
      </c>
      <c r="Z24">
        <f t="shared" si="14"/>
        <v>176.377808</v>
      </c>
      <c r="AA24">
        <f t="shared" si="15"/>
        <v>0</v>
      </c>
      <c r="AB24">
        <f t="shared" si="16"/>
        <v>0</v>
      </c>
      <c r="AC24">
        <f t="shared" si="17"/>
        <v>0</v>
      </c>
    </row>
    <row r="25" spans="2:29">
      <c r="B25" s="5">
        <v>6</v>
      </c>
      <c r="C25" s="6">
        <v>65.336212</v>
      </c>
      <c r="D25" s="6">
        <v>178.43956</v>
      </c>
      <c r="E25">
        <v>0.35</v>
      </c>
      <c r="F25">
        <f t="shared" si="18"/>
        <v>64.4973286417813</v>
      </c>
      <c r="G25">
        <f t="shared" si="19"/>
        <v>177.167461167469</v>
      </c>
      <c r="L25">
        <f t="shared" si="20"/>
        <v>0.838883358218752</v>
      </c>
      <c r="M25">
        <f t="shared" si="21"/>
        <v>1.27209883253127</v>
      </c>
      <c r="N25" s="47">
        <f t="shared" si="2"/>
        <v>0</v>
      </c>
      <c r="O25">
        <f t="shared" si="3"/>
        <v>0.838883358218752</v>
      </c>
      <c r="P25">
        <f t="shared" si="4"/>
        <v>0</v>
      </c>
      <c r="Q25">
        <f t="shared" si="5"/>
        <v>0</v>
      </c>
      <c r="R25">
        <f t="shared" si="6"/>
        <v>0</v>
      </c>
      <c r="S25">
        <f t="shared" si="7"/>
        <v>1.27209883253127</v>
      </c>
      <c r="T25">
        <f t="shared" si="8"/>
        <v>0</v>
      </c>
      <c r="U25" s="52">
        <f t="shared" si="9"/>
        <v>0</v>
      </c>
      <c r="V25">
        <f t="shared" si="10"/>
        <v>0</v>
      </c>
      <c r="W25">
        <f t="shared" si="11"/>
        <v>65.336212</v>
      </c>
      <c r="X25">
        <f t="shared" si="12"/>
        <v>0</v>
      </c>
      <c r="Y25">
        <f t="shared" si="13"/>
        <v>0</v>
      </c>
      <c r="Z25">
        <f t="shared" si="14"/>
        <v>0</v>
      </c>
      <c r="AA25">
        <f t="shared" si="15"/>
        <v>178.43956</v>
      </c>
      <c r="AB25">
        <f t="shared" si="16"/>
        <v>0</v>
      </c>
      <c r="AC25">
        <f t="shared" si="17"/>
        <v>0</v>
      </c>
    </row>
    <row r="26" spans="2:29">
      <c r="B26" s="5">
        <v>7</v>
      </c>
      <c r="C26" s="6">
        <v>65.665634</v>
      </c>
      <c r="D26" s="6">
        <v>176.52507</v>
      </c>
      <c r="E26">
        <v>0.55</v>
      </c>
      <c r="F26">
        <f t="shared" si="18"/>
        <v>64.9587144888016</v>
      </c>
      <c r="G26">
        <f t="shared" si="19"/>
        <v>177.867115525361</v>
      </c>
      <c r="L26">
        <f t="shared" si="20"/>
        <v>0.706919511198421</v>
      </c>
      <c r="M26">
        <f t="shared" si="21"/>
        <v>1.34204552536093</v>
      </c>
      <c r="N26" s="47">
        <f t="shared" si="2"/>
        <v>0</v>
      </c>
      <c r="O26">
        <f t="shared" si="3"/>
        <v>0</v>
      </c>
      <c r="P26">
        <f t="shared" si="4"/>
        <v>0.706919511198421</v>
      </c>
      <c r="Q26">
        <f t="shared" si="5"/>
        <v>0</v>
      </c>
      <c r="R26">
        <f t="shared" si="6"/>
        <v>0</v>
      </c>
      <c r="S26">
        <f t="shared" si="7"/>
        <v>0</v>
      </c>
      <c r="T26">
        <f t="shared" si="8"/>
        <v>1.34204552536093</v>
      </c>
      <c r="U26" s="52">
        <f t="shared" si="9"/>
        <v>0</v>
      </c>
      <c r="V26">
        <f t="shared" si="10"/>
        <v>0</v>
      </c>
      <c r="W26">
        <f t="shared" si="11"/>
        <v>0</v>
      </c>
      <c r="X26">
        <f t="shared" si="12"/>
        <v>65.665634</v>
      </c>
      <c r="Y26">
        <f t="shared" si="13"/>
        <v>0</v>
      </c>
      <c r="Z26">
        <f t="shared" si="14"/>
        <v>0</v>
      </c>
      <c r="AA26">
        <f t="shared" si="15"/>
        <v>0</v>
      </c>
      <c r="AB26">
        <f t="shared" si="16"/>
        <v>176.52507</v>
      </c>
      <c r="AC26">
        <f t="shared" si="17"/>
        <v>0</v>
      </c>
    </row>
    <row r="27" spans="2:29">
      <c r="B27" s="5">
        <v>8</v>
      </c>
      <c r="C27" s="6">
        <v>65.466507</v>
      </c>
      <c r="D27" s="6">
        <v>176.839249</v>
      </c>
      <c r="E27">
        <v>0.75</v>
      </c>
      <c r="F27">
        <f t="shared" si="18"/>
        <v>65.4889041222004</v>
      </c>
      <c r="G27">
        <f t="shared" si="19"/>
        <v>176.86058138134</v>
      </c>
      <c r="L27">
        <f t="shared" si="20"/>
        <v>0.022397122200374</v>
      </c>
      <c r="M27">
        <f t="shared" si="21"/>
        <v>0.021332381340244</v>
      </c>
      <c r="N27" s="47">
        <f t="shared" si="2"/>
        <v>0</v>
      </c>
      <c r="O27">
        <f t="shared" si="3"/>
        <v>0</v>
      </c>
      <c r="P27">
        <f t="shared" si="4"/>
        <v>0</v>
      </c>
      <c r="Q27">
        <f t="shared" si="5"/>
        <v>0.022397122200374</v>
      </c>
      <c r="R27">
        <f t="shared" si="6"/>
        <v>0</v>
      </c>
      <c r="S27">
        <f t="shared" si="7"/>
        <v>0</v>
      </c>
      <c r="T27">
        <f t="shared" si="8"/>
        <v>0</v>
      </c>
      <c r="U27" s="52">
        <f t="shared" si="9"/>
        <v>0.021332381340244</v>
      </c>
      <c r="V27">
        <f t="shared" si="10"/>
        <v>0</v>
      </c>
      <c r="W27">
        <f t="shared" si="11"/>
        <v>0</v>
      </c>
      <c r="X27">
        <f t="shared" si="12"/>
        <v>0</v>
      </c>
      <c r="Y27">
        <f t="shared" si="13"/>
        <v>65.466507</v>
      </c>
      <c r="Z27">
        <f t="shared" si="14"/>
        <v>0</v>
      </c>
      <c r="AA27">
        <f t="shared" si="15"/>
        <v>0</v>
      </c>
      <c r="AB27">
        <f t="shared" si="16"/>
        <v>0</v>
      </c>
      <c r="AC27">
        <f t="shared" si="17"/>
        <v>176.839249</v>
      </c>
    </row>
    <row r="28" spans="2:29">
      <c r="B28" s="5">
        <v>9</v>
      </c>
      <c r="C28" s="6">
        <v>64.704376</v>
      </c>
      <c r="D28" s="6">
        <v>173.992081</v>
      </c>
      <c r="E28" s="42">
        <v>0.15</v>
      </c>
      <c r="F28">
        <f t="shared" si="18"/>
        <v>65.4855445538703</v>
      </c>
      <c r="G28">
        <f t="shared" si="19"/>
        <v>176.857381524139</v>
      </c>
      <c r="L28">
        <f t="shared" si="20"/>
        <v>0.78116855387033</v>
      </c>
      <c r="M28">
        <f t="shared" si="21"/>
        <v>2.8653005241392</v>
      </c>
      <c r="N28" s="47">
        <f t="shared" si="2"/>
        <v>0.78116855387033</v>
      </c>
      <c r="O28">
        <f t="shared" si="3"/>
        <v>0</v>
      </c>
      <c r="P28">
        <f t="shared" si="4"/>
        <v>0</v>
      </c>
      <c r="Q28">
        <f t="shared" si="5"/>
        <v>0</v>
      </c>
      <c r="R28">
        <f t="shared" si="6"/>
        <v>2.8653005241392</v>
      </c>
      <c r="S28">
        <f t="shared" si="7"/>
        <v>0</v>
      </c>
      <c r="T28">
        <f t="shared" si="8"/>
        <v>0</v>
      </c>
      <c r="U28" s="52">
        <f t="shared" si="9"/>
        <v>0</v>
      </c>
      <c r="V28">
        <f t="shared" si="10"/>
        <v>64.704376</v>
      </c>
      <c r="W28">
        <f t="shared" si="11"/>
        <v>0</v>
      </c>
      <c r="X28">
        <f t="shared" si="12"/>
        <v>0</v>
      </c>
      <c r="Y28">
        <f t="shared" si="13"/>
        <v>0</v>
      </c>
      <c r="Z28">
        <f t="shared" si="14"/>
        <v>173.992081</v>
      </c>
      <c r="AA28">
        <f t="shared" si="15"/>
        <v>0</v>
      </c>
      <c r="AB28">
        <f t="shared" si="16"/>
        <v>0</v>
      </c>
      <c r="AC28">
        <f t="shared" si="17"/>
        <v>0</v>
      </c>
    </row>
    <row r="29" spans="2:29">
      <c r="B29" s="5">
        <v>10</v>
      </c>
      <c r="C29" s="6">
        <v>64.414268</v>
      </c>
      <c r="D29" s="6">
        <v>173.314636</v>
      </c>
      <c r="E29" s="42">
        <v>0.35</v>
      </c>
      <c r="F29">
        <f t="shared" si="18"/>
        <v>65.2121355600157</v>
      </c>
      <c r="G29">
        <f t="shared" si="19"/>
        <v>175.85452634069</v>
      </c>
      <c r="L29">
        <f t="shared" si="20"/>
        <v>0.797867560015703</v>
      </c>
      <c r="M29">
        <f t="shared" si="21"/>
        <v>2.53989034069048</v>
      </c>
      <c r="N29" s="47">
        <f t="shared" si="2"/>
        <v>0</v>
      </c>
      <c r="O29">
        <f t="shared" si="3"/>
        <v>0.797867560015703</v>
      </c>
      <c r="P29">
        <f t="shared" si="4"/>
        <v>0</v>
      </c>
      <c r="Q29">
        <f t="shared" si="5"/>
        <v>0</v>
      </c>
      <c r="R29">
        <f t="shared" si="6"/>
        <v>0</v>
      </c>
      <c r="S29">
        <f t="shared" si="7"/>
        <v>2.53989034069048</v>
      </c>
      <c r="T29">
        <f t="shared" si="8"/>
        <v>0</v>
      </c>
      <c r="U29" s="52">
        <f t="shared" si="9"/>
        <v>0</v>
      </c>
      <c r="V29">
        <f t="shared" si="10"/>
        <v>0</v>
      </c>
      <c r="W29">
        <f t="shared" si="11"/>
        <v>64.414268</v>
      </c>
      <c r="X29">
        <f t="shared" si="12"/>
        <v>0</v>
      </c>
      <c r="Y29">
        <f t="shared" si="13"/>
        <v>0</v>
      </c>
      <c r="Z29">
        <f t="shared" si="14"/>
        <v>0</v>
      </c>
      <c r="AA29">
        <f t="shared" si="15"/>
        <v>173.314636</v>
      </c>
      <c r="AB29">
        <f t="shared" si="16"/>
        <v>0</v>
      </c>
      <c r="AC29">
        <f t="shared" si="17"/>
        <v>0</v>
      </c>
    </row>
    <row r="30" spans="2:29">
      <c r="B30" s="5">
        <v>11</v>
      </c>
      <c r="C30" s="6">
        <v>64.357727</v>
      </c>
      <c r="D30" s="6">
        <v>173.569901</v>
      </c>
      <c r="E30" s="42">
        <v>0.55</v>
      </c>
      <c r="F30">
        <f t="shared" si="18"/>
        <v>64.7733084020071</v>
      </c>
      <c r="G30">
        <f t="shared" si="19"/>
        <v>174.457586653311</v>
      </c>
      <c r="L30">
        <f t="shared" si="20"/>
        <v>0.415581402007078</v>
      </c>
      <c r="M30">
        <f t="shared" si="21"/>
        <v>0.88768565331074</v>
      </c>
      <c r="N30" s="47">
        <f t="shared" si="2"/>
        <v>0</v>
      </c>
      <c r="O30">
        <f t="shared" si="3"/>
        <v>0</v>
      </c>
      <c r="P30">
        <f t="shared" si="4"/>
        <v>0.415581402007078</v>
      </c>
      <c r="Q30">
        <f t="shared" si="5"/>
        <v>0</v>
      </c>
      <c r="R30">
        <f t="shared" si="6"/>
        <v>0</v>
      </c>
      <c r="S30">
        <f t="shared" si="7"/>
        <v>0</v>
      </c>
      <c r="T30">
        <f t="shared" si="8"/>
        <v>0.88768565331074</v>
      </c>
      <c r="U30" s="52">
        <f t="shared" si="9"/>
        <v>0</v>
      </c>
      <c r="V30">
        <f t="shared" si="10"/>
        <v>0</v>
      </c>
      <c r="W30">
        <f t="shared" si="11"/>
        <v>0</v>
      </c>
      <c r="X30">
        <f t="shared" si="12"/>
        <v>64.357727</v>
      </c>
      <c r="Y30">
        <f t="shared" si="13"/>
        <v>0</v>
      </c>
      <c r="Z30">
        <f t="shared" si="14"/>
        <v>0</v>
      </c>
      <c r="AA30">
        <f t="shared" si="15"/>
        <v>0</v>
      </c>
      <c r="AB30">
        <f t="shared" si="16"/>
        <v>173.569901</v>
      </c>
      <c r="AC30">
        <f t="shared" si="17"/>
        <v>0</v>
      </c>
    </row>
    <row r="31" spans="2:29">
      <c r="B31" s="5">
        <v>12</v>
      </c>
      <c r="C31" s="6">
        <v>65.486168</v>
      </c>
      <c r="D31" s="6">
        <v>173.294998</v>
      </c>
      <c r="E31" s="42">
        <v>0.75</v>
      </c>
      <c r="F31">
        <f t="shared" si="18"/>
        <v>64.4616223505018</v>
      </c>
      <c r="G31">
        <f t="shared" si="19"/>
        <v>173.791822413328</v>
      </c>
      <c r="L31">
        <f t="shared" si="20"/>
        <v>1.02454564949825</v>
      </c>
      <c r="M31">
        <f t="shared" si="21"/>
        <v>0.496824413327687</v>
      </c>
      <c r="N31" s="47">
        <f t="shared" si="2"/>
        <v>0</v>
      </c>
      <c r="O31">
        <f t="shared" si="3"/>
        <v>0</v>
      </c>
      <c r="P31">
        <f t="shared" si="4"/>
        <v>0</v>
      </c>
      <c r="Q31">
        <f t="shared" si="5"/>
        <v>1.02454564949825</v>
      </c>
      <c r="R31">
        <f t="shared" si="6"/>
        <v>0</v>
      </c>
      <c r="S31">
        <f t="shared" si="7"/>
        <v>0</v>
      </c>
      <c r="T31">
        <f t="shared" si="8"/>
        <v>0</v>
      </c>
      <c r="U31" s="52">
        <f t="shared" si="9"/>
        <v>0.496824413327687</v>
      </c>
      <c r="V31">
        <f t="shared" si="10"/>
        <v>0</v>
      </c>
      <c r="W31">
        <f t="shared" si="11"/>
        <v>0</v>
      </c>
      <c r="X31">
        <f t="shared" si="12"/>
        <v>0</v>
      </c>
      <c r="Y31">
        <f t="shared" si="13"/>
        <v>65.486168</v>
      </c>
      <c r="Z31">
        <f t="shared" si="14"/>
        <v>0</v>
      </c>
      <c r="AA31">
        <f t="shared" si="15"/>
        <v>0</v>
      </c>
      <c r="AB31">
        <f t="shared" si="16"/>
        <v>0</v>
      </c>
      <c r="AC31">
        <f t="shared" si="17"/>
        <v>173.294998</v>
      </c>
    </row>
    <row r="32" spans="2:29">
      <c r="B32" s="5">
        <v>13</v>
      </c>
      <c r="C32" s="6">
        <v>64.974815</v>
      </c>
      <c r="D32" s="6">
        <v>175.268387</v>
      </c>
      <c r="E32" s="42">
        <v>0.15</v>
      </c>
      <c r="F32">
        <f t="shared" si="18"/>
        <v>64.6153041979265</v>
      </c>
      <c r="G32">
        <f t="shared" si="19"/>
        <v>173.717298751329</v>
      </c>
      <c r="L32">
        <f t="shared" si="20"/>
        <v>0.359510802073515</v>
      </c>
      <c r="M32">
        <f t="shared" si="21"/>
        <v>1.55108824867145</v>
      </c>
      <c r="N32" s="47">
        <f t="shared" si="2"/>
        <v>0.359510802073515</v>
      </c>
      <c r="O32">
        <f t="shared" si="3"/>
        <v>0</v>
      </c>
      <c r="P32">
        <f t="shared" si="4"/>
        <v>0</v>
      </c>
      <c r="Q32">
        <f t="shared" si="5"/>
        <v>0</v>
      </c>
      <c r="R32">
        <f t="shared" si="6"/>
        <v>1.55108824867145</v>
      </c>
      <c r="S32">
        <f t="shared" si="7"/>
        <v>0</v>
      </c>
      <c r="T32">
        <f t="shared" si="8"/>
        <v>0</v>
      </c>
      <c r="U32" s="52">
        <f t="shared" si="9"/>
        <v>0</v>
      </c>
      <c r="V32">
        <f t="shared" si="10"/>
        <v>64.974815</v>
      </c>
      <c r="W32">
        <f t="shared" si="11"/>
        <v>0</v>
      </c>
      <c r="X32">
        <f t="shared" si="12"/>
        <v>0</v>
      </c>
      <c r="Y32">
        <f t="shared" si="13"/>
        <v>0</v>
      </c>
      <c r="Z32">
        <f t="shared" si="14"/>
        <v>175.268387</v>
      </c>
      <c r="AA32">
        <f t="shared" si="15"/>
        <v>0</v>
      </c>
      <c r="AB32">
        <f t="shared" si="16"/>
        <v>0</v>
      </c>
      <c r="AC32">
        <f t="shared" si="17"/>
        <v>0</v>
      </c>
    </row>
    <row r="33" spans="2:29">
      <c r="B33" s="5">
        <v>14</v>
      </c>
      <c r="C33" s="6">
        <v>65.847565</v>
      </c>
      <c r="D33" s="6">
        <v>176.151993</v>
      </c>
      <c r="E33" s="42">
        <v>0.35</v>
      </c>
      <c r="F33">
        <f t="shared" si="18"/>
        <v>64.7411329786522</v>
      </c>
      <c r="G33">
        <f t="shared" si="19"/>
        <v>174.260179638364</v>
      </c>
      <c r="L33">
        <f t="shared" si="20"/>
        <v>1.10643202134779</v>
      </c>
      <c r="M33">
        <f t="shared" si="21"/>
        <v>1.89181336163648</v>
      </c>
      <c r="N33" s="47">
        <f t="shared" si="2"/>
        <v>0</v>
      </c>
      <c r="O33">
        <f t="shared" si="3"/>
        <v>1.10643202134779</v>
      </c>
      <c r="P33">
        <f t="shared" si="4"/>
        <v>0</v>
      </c>
      <c r="Q33">
        <f t="shared" si="5"/>
        <v>0</v>
      </c>
      <c r="R33">
        <f t="shared" si="6"/>
        <v>0</v>
      </c>
      <c r="S33">
        <f t="shared" si="7"/>
        <v>1.89181336163648</v>
      </c>
      <c r="T33">
        <f t="shared" si="8"/>
        <v>0</v>
      </c>
      <c r="U33" s="52">
        <f t="shared" si="9"/>
        <v>0</v>
      </c>
      <c r="V33">
        <f t="shared" si="10"/>
        <v>0</v>
      </c>
      <c r="W33">
        <f t="shared" si="11"/>
        <v>65.847565</v>
      </c>
      <c r="X33">
        <f t="shared" si="12"/>
        <v>0</v>
      </c>
      <c r="Y33">
        <f t="shared" si="13"/>
        <v>0</v>
      </c>
      <c r="Z33">
        <f t="shared" si="14"/>
        <v>0</v>
      </c>
      <c r="AA33">
        <f t="shared" si="15"/>
        <v>176.151993</v>
      </c>
      <c r="AB33">
        <f t="shared" si="16"/>
        <v>0</v>
      </c>
      <c r="AC33">
        <f t="shared" si="17"/>
        <v>0</v>
      </c>
    </row>
    <row r="34" spans="2:29">
      <c r="B34" s="5">
        <v>15</v>
      </c>
      <c r="C34" s="6">
        <v>65.702515</v>
      </c>
      <c r="D34" s="6">
        <v>175.297852</v>
      </c>
      <c r="E34" s="42">
        <v>0.55</v>
      </c>
      <c r="F34">
        <f t="shared" si="18"/>
        <v>65.3496705903935</v>
      </c>
      <c r="G34">
        <f t="shared" si="19"/>
        <v>175.300676987264</v>
      </c>
      <c r="L34">
        <f t="shared" si="20"/>
        <v>0.352844409606504</v>
      </c>
      <c r="M34">
        <f t="shared" si="21"/>
        <v>0.00282498726360814</v>
      </c>
      <c r="N34" s="47">
        <f t="shared" si="2"/>
        <v>0</v>
      </c>
      <c r="O34">
        <f t="shared" si="3"/>
        <v>0</v>
      </c>
      <c r="P34">
        <f t="shared" si="4"/>
        <v>0.352844409606504</v>
      </c>
      <c r="Q34">
        <f t="shared" si="5"/>
        <v>0</v>
      </c>
      <c r="R34">
        <f t="shared" si="6"/>
        <v>0</v>
      </c>
      <c r="S34">
        <f t="shared" si="7"/>
        <v>0</v>
      </c>
      <c r="T34">
        <f t="shared" si="8"/>
        <v>0.00282498726360814</v>
      </c>
      <c r="U34" s="52">
        <f t="shared" si="9"/>
        <v>0</v>
      </c>
      <c r="V34">
        <f t="shared" si="10"/>
        <v>0</v>
      </c>
      <c r="W34">
        <f t="shared" si="11"/>
        <v>0</v>
      </c>
      <c r="X34">
        <f t="shared" si="12"/>
        <v>65.702515</v>
      </c>
      <c r="Y34">
        <f t="shared" si="13"/>
        <v>0</v>
      </c>
      <c r="Z34">
        <f t="shared" si="14"/>
        <v>0</v>
      </c>
      <c r="AA34">
        <f t="shared" si="15"/>
        <v>0</v>
      </c>
      <c r="AB34">
        <f t="shared" si="16"/>
        <v>175.297852</v>
      </c>
      <c r="AC34">
        <f t="shared" si="17"/>
        <v>0</v>
      </c>
    </row>
    <row r="35" spans="2:29">
      <c r="B35" s="5">
        <v>16</v>
      </c>
      <c r="C35" s="6">
        <v>64.942841</v>
      </c>
      <c r="D35" s="6">
        <v>171.144913</v>
      </c>
      <c r="E35" s="42">
        <v>0.75</v>
      </c>
      <c r="F35">
        <f t="shared" si="18"/>
        <v>65.6143038975984</v>
      </c>
      <c r="G35">
        <f t="shared" si="19"/>
        <v>175.298558246816</v>
      </c>
      <c r="L35">
        <f t="shared" si="20"/>
        <v>0.671462897598374</v>
      </c>
      <c r="M35">
        <f t="shared" si="21"/>
        <v>4.1536452468159</v>
      </c>
      <c r="N35" s="47">
        <f t="shared" si="2"/>
        <v>0</v>
      </c>
      <c r="O35">
        <f t="shared" si="3"/>
        <v>0</v>
      </c>
      <c r="P35">
        <f t="shared" si="4"/>
        <v>0</v>
      </c>
      <c r="Q35">
        <f t="shared" si="5"/>
        <v>0.671462897598374</v>
      </c>
      <c r="R35">
        <f t="shared" si="6"/>
        <v>0</v>
      </c>
      <c r="S35">
        <f t="shared" si="7"/>
        <v>0</v>
      </c>
      <c r="T35">
        <f t="shared" si="8"/>
        <v>0</v>
      </c>
      <c r="U35" s="52">
        <f t="shared" si="9"/>
        <v>4.1536452468159</v>
      </c>
      <c r="V35">
        <f t="shared" si="10"/>
        <v>0</v>
      </c>
      <c r="W35">
        <f t="shared" si="11"/>
        <v>0</v>
      </c>
      <c r="X35">
        <f t="shared" si="12"/>
        <v>0</v>
      </c>
      <c r="Y35">
        <f t="shared" si="13"/>
        <v>64.942841</v>
      </c>
      <c r="Z35">
        <f t="shared" si="14"/>
        <v>0</v>
      </c>
      <c r="AA35">
        <f t="shared" si="15"/>
        <v>0</v>
      </c>
      <c r="AB35">
        <f t="shared" si="16"/>
        <v>0</v>
      </c>
      <c r="AC35">
        <f t="shared" si="17"/>
        <v>171.144913</v>
      </c>
    </row>
    <row r="36" spans="2:29">
      <c r="B36" s="5">
        <v>17</v>
      </c>
      <c r="C36" s="6">
        <v>63.784916</v>
      </c>
      <c r="D36" s="6">
        <v>169.407135</v>
      </c>
      <c r="E36" s="42">
        <v>0.15</v>
      </c>
      <c r="F36">
        <f t="shared" si="18"/>
        <v>65.5135844629586</v>
      </c>
      <c r="G36">
        <f t="shared" si="19"/>
        <v>174.675511459794</v>
      </c>
      <c r="L36">
        <f t="shared" si="20"/>
        <v>1.72866846295862</v>
      </c>
      <c r="M36">
        <f t="shared" si="21"/>
        <v>5.2683764597935</v>
      </c>
      <c r="N36" s="47">
        <f t="shared" si="2"/>
        <v>1.72866846295862</v>
      </c>
      <c r="O36">
        <f t="shared" si="3"/>
        <v>0</v>
      </c>
      <c r="P36">
        <f t="shared" si="4"/>
        <v>0</v>
      </c>
      <c r="Q36">
        <f t="shared" si="5"/>
        <v>0</v>
      </c>
      <c r="R36">
        <f t="shared" si="6"/>
        <v>5.2683764597935</v>
      </c>
      <c r="S36">
        <f t="shared" si="7"/>
        <v>0</v>
      </c>
      <c r="T36">
        <f t="shared" si="8"/>
        <v>0</v>
      </c>
      <c r="U36" s="52">
        <f t="shared" si="9"/>
        <v>0</v>
      </c>
      <c r="V36">
        <f t="shared" si="10"/>
        <v>63.784916</v>
      </c>
      <c r="W36">
        <f t="shared" si="11"/>
        <v>0</v>
      </c>
      <c r="X36">
        <f t="shared" si="12"/>
        <v>0</v>
      </c>
      <c r="Y36">
        <f t="shared" si="13"/>
        <v>0</v>
      </c>
      <c r="Z36">
        <f t="shared" si="14"/>
        <v>169.407135</v>
      </c>
      <c r="AA36">
        <f t="shared" si="15"/>
        <v>0</v>
      </c>
      <c r="AB36">
        <f t="shared" si="16"/>
        <v>0</v>
      </c>
      <c r="AC36">
        <f t="shared" si="17"/>
        <v>0</v>
      </c>
    </row>
    <row r="37" spans="2:29">
      <c r="B37" s="5">
        <v>18</v>
      </c>
      <c r="C37" s="6">
        <v>64.347893</v>
      </c>
      <c r="D37" s="6">
        <v>170.055115</v>
      </c>
      <c r="E37" s="42">
        <v>0.35</v>
      </c>
      <c r="F37">
        <f t="shared" si="18"/>
        <v>64.9085505009231</v>
      </c>
      <c r="G37">
        <f t="shared" si="19"/>
        <v>172.831579698866</v>
      </c>
      <c r="L37">
        <f t="shared" si="20"/>
        <v>0.560657500923099</v>
      </c>
      <c r="M37">
        <f t="shared" si="21"/>
        <v>2.77646469886577</v>
      </c>
      <c r="N37" s="47">
        <f t="shared" si="2"/>
        <v>0</v>
      </c>
      <c r="O37">
        <f t="shared" si="3"/>
        <v>0.560657500923099</v>
      </c>
      <c r="P37">
        <f t="shared" si="4"/>
        <v>0</v>
      </c>
      <c r="Q37">
        <f t="shared" si="5"/>
        <v>0</v>
      </c>
      <c r="R37">
        <f t="shared" si="6"/>
        <v>0</v>
      </c>
      <c r="S37">
        <f t="shared" si="7"/>
        <v>2.77646469886577</v>
      </c>
      <c r="T37">
        <f t="shared" si="8"/>
        <v>0</v>
      </c>
      <c r="U37" s="52">
        <f t="shared" si="9"/>
        <v>0</v>
      </c>
      <c r="V37">
        <f t="shared" si="10"/>
        <v>0</v>
      </c>
      <c r="W37">
        <f t="shared" si="11"/>
        <v>64.347893</v>
      </c>
      <c r="X37">
        <f t="shared" si="12"/>
        <v>0</v>
      </c>
      <c r="Y37">
        <f t="shared" si="13"/>
        <v>0</v>
      </c>
      <c r="Z37">
        <f t="shared" si="14"/>
        <v>0</v>
      </c>
      <c r="AA37">
        <f t="shared" si="15"/>
        <v>170.055115</v>
      </c>
      <c r="AB37">
        <f t="shared" si="16"/>
        <v>0</v>
      </c>
      <c r="AC37">
        <f t="shared" si="17"/>
        <v>0</v>
      </c>
    </row>
    <row r="38" spans="2:29">
      <c r="B38" s="5">
        <v>19</v>
      </c>
      <c r="C38" s="6">
        <v>65.291946</v>
      </c>
      <c r="D38" s="6">
        <v>170.84053</v>
      </c>
      <c r="E38" s="42">
        <v>0.55</v>
      </c>
      <c r="F38">
        <f t="shared" si="18"/>
        <v>64.6001888754154</v>
      </c>
      <c r="G38">
        <f t="shared" si="19"/>
        <v>171.30452411449</v>
      </c>
      <c r="L38">
        <f t="shared" si="20"/>
        <v>0.691757124584598</v>
      </c>
      <c r="M38">
        <f t="shared" si="21"/>
        <v>0.463994114489594</v>
      </c>
      <c r="N38" s="47">
        <f t="shared" si="2"/>
        <v>0</v>
      </c>
      <c r="O38">
        <f t="shared" si="3"/>
        <v>0</v>
      </c>
      <c r="P38">
        <f t="shared" si="4"/>
        <v>0.691757124584598</v>
      </c>
      <c r="Q38">
        <f t="shared" si="5"/>
        <v>0</v>
      </c>
      <c r="R38">
        <f t="shared" si="6"/>
        <v>0</v>
      </c>
      <c r="S38">
        <f t="shared" si="7"/>
        <v>0</v>
      </c>
      <c r="T38">
        <f t="shared" si="8"/>
        <v>0.463994114489594</v>
      </c>
      <c r="U38" s="52">
        <f t="shared" si="9"/>
        <v>0</v>
      </c>
      <c r="V38">
        <f t="shared" si="10"/>
        <v>0</v>
      </c>
      <c r="W38">
        <f t="shared" si="11"/>
        <v>0</v>
      </c>
      <c r="X38">
        <f t="shared" si="12"/>
        <v>65.291946</v>
      </c>
      <c r="Y38">
        <f t="shared" si="13"/>
        <v>0</v>
      </c>
      <c r="Z38">
        <f t="shared" si="14"/>
        <v>0</v>
      </c>
      <c r="AA38">
        <f t="shared" si="15"/>
        <v>0</v>
      </c>
      <c r="AB38">
        <f t="shared" si="16"/>
        <v>170.84053</v>
      </c>
      <c r="AC38">
        <f t="shared" si="17"/>
        <v>0</v>
      </c>
    </row>
    <row r="39" spans="2:29">
      <c r="B39" s="5">
        <v>20</v>
      </c>
      <c r="C39" s="6">
        <v>66.553131</v>
      </c>
      <c r="D39" s="6">
        <v>172.264145</v>
      </c>
      <c r="E39" s="42">
        <v>0.75</v>
      </c>
      <c r="F39">
        <f t="shared" si="18"/>
        <v>65.1190067188539</v>
      </c>
      <c r="G39">
        <f t="shared" si="19"/>
        <v>170.956528528622</v>
      </c>
      <c r="L39">
        <f t="shared" si="20"/>
        <v>1.43412428114614</v>
      </c>
      <c r="M39">
        <f t="shared" si="21"/>
        <v>1.3076164713776</v>
      </c>
      <c r="N39" s="47">
        <f t="shared" si="2"/>
        <v>0</v>
      </c>
      <c r="O39">
        <f t="shared" si="3"/>
        <v>0</v>
      </c>
      <c r="P39">
        <f t="shared" si="4"/>
        <v>0</v>
      </c>
      <c r="Q39">
        <f t="shared" si="5"/>
        <v>1.43412428114614</v>
      </c>
      <c r="R39">
        <f t="shared" si="6"/>
        <v>0</v>
      </c>
      <c r="S39">
        <f t="shared" si="7"/>
        <v>0</v>
      </c>
      <c r="T39">
        <f t="shared" si="8"/>
        <v>0</v>
      </c>
      <c r="U39" s="52">
        <f t="shared" si="9"/>
        <v>1.3076164713776</v>
      </c>
      <c r="V39">
        <f t="shared" si="10"/>
        <v>0</v>
      </c>
      <c r="W39">
        <f t="shared" si="11"/>
        <v>0</v>
      </c>
      <c r="X39">
        <f t="shared" si="12"/>
        <v>0</v>
      </c>
      <c r="Y39">
        <f t="shared" si="13"/>
        <v>66.553131</v>
      </c>
      <c r="Z39">
        <f t="shared" si="14"/>
        <v>0</v>
      </c>
      <c r="AA39">
        <f t="shared" si="15"/>
        <v>0</v>
      </c>
      <c r="AB39">
        <f t="shared" si="16"/>
        <v>0</v>
      </c>
      <c r="AC39">
        <f t="shared" si="17"/>
        <v>172.264145</v>
      </c>
    </row>
    <row r="40" spans="2:29">
      <c r="B40" s="5">
        <v>21</v>
      </c>
      <c r="C40" s="6">
        <v>65.621384</v>
      </c>
      <c r="D40" s="6">
        <v>171.311798</v>
      </c>
      <c r="E40" s="42">
        <v>0.15</v>
      </c>
      <c r="F40">
        <f t="shared" si="18"/>
        <v>65.3341253610258</v>
      </c>
      <c r="G40">
        <f t="shared" si="19"/>
        <v>171.152670999329</v>
      </c>
      <c r="L40">
        <f t="shared" si="20"/>
        <v>0.287258638974237</v>
      </c>
      <c r="M40">
        <f t="shared" si="21"/>
        <v>0.159127000670964</v>
      </c>
      <c r="N40" s="47">
        <f t="shared" si="2"/>
        <v>0.287258638974237</v>
      </c>
      <c r="O40">
        <f t="shared" si="3"/>
        <v>0</v>
      </c>
      <c r="P40">
        <f t="shared" si="4"/>
        <v>0</v>
      </c>
      <c r="Q40">
        <f t="shared" si="5"/>
        <v>0</v>
      </c>
      <c r="R40">
        <f t="shared" si="6"/>
        <v>0.159127000670964</v>
      </c>
      <c r="S40">
        <f t="shared" si="7"/>
        <v>0</v>
      </c>
      <c r="T40">
        <f t="shared" si="8"/>
        <v>0</v>
      </c>
      <c r="U40" s="52">
        <f t="shared" si="9"/>
        <v>0</v>
      </c>
      <c r="V40">
        <f t="shared" si="10"/>
        <v>65.621384</v>
      </c>
      <c r="W40">
        <f t="shared" si="11"/>
        <v>0</v>
      </c>
      <c r="X40">
        <f t="shared" si="12"/>
        <v>0</v>
      </c>
      <c r="Y40">
        <f t="shared" si="13"/>
        <v>0</v>
      </c>
      <c r="Z40">
        <f t="shared" si="14"/>
        <v>171.311798</v>
      </c>
      <c r="AA40">
        <f t="shared" si="15"/>
        <v>0</v>
      </c>
      <c r="AB40">
        <f t="shared" si="16"/>
        <v>0</v>
      </c>
      <c r="AC40">
        <f t="shared" si="17"/>
        <v>0</v>
      </c>
    </row>
    <row r="41" spans="2:29">
      <c r="B41" s="5">
        <v>22</v>
      </c>
      <c r="C41" s="6">
        <v>66.004898</v>
      </c>
      <c r="D41" s="6">
        <v>170.86998</v>
      </c>
      <c r="E41" s="42">
        <v>0.35</v>
      </c>
      <c r="F41">
        <f t="shared" si="18"/>
        <v>65.4346658846668</v>
      </c>
      <c r="G41">
        <f t="shared" si="19"/>
        <v>171.208365449564</v>
      </c>
      <c r="L41">
        <f t="shared" si="20"/>
        <v>0.570232115333241</v>
      </c>
      <c r="M41">
        <f t="shared" si="21"/>
        <v>0.338385449563873</v>
      </c>
      <c r="N41" s="47">
        <f t="shared" si="2"/>
        <v>0</v>
      </c>
      <c r="O41">
        <f t="shared" si="3"/>
        <v>0.570232115333241</v>
      </c>
      <c r="P41">
        <f t="shared" si="4"/>
        <v>0</v>
      </c>
      <c r="Q41">
        <f t="shared" si="5"/>
        <v>0</v>
      </c>
      <c r="R41">
        <f t="shared" si="6"/>
        <v>0</v>
      </c>
      <c r="S41">
        <f t="shared" si="7"/>
        <v>0.338385449563873</v>
      </c>
      <c r="T41">
        <f t="shared" si="8"/>
        <v>0</v>
      </c>
      <c r="U41" s="52">
        <f t="shared" si="9"/>
        <v>0</v>
      </c>
      <c r="V41">
        <f t="shared" si="10"/>
        <v>0</v>
      </c>
      <c r="W41">
        <f t="shared" si="11"/>
        <v>66.004898</v>
      </c>
      <c r="X41">
        <f t="shared" si="12"/>
        <v>0</v>
      </c>
      <c r="Y41">
        <f t="shared" si="13"/>
        <v>0</v>
      </c>
      <c r="Z41">
        <f t="shared" si="14"/>
        <v>0</v>
      </c>
      <c r="AA41">
        <f t="shared" si="15"/>
        <v>170.86998</v>
      </c>
      <c r="AB41">
        <f t="shared" si="16"/>
        <v>0</v>
      </c>
      <c r="AC41">
        <f t="shared" si="17"/>
        <v>0</v>
      </c>
    </row>
    <row r="42" spans="2:29">
      <c r="B42" s="5">
        <v>23</v>
      </c>
      <c r="C42" s="6">
        <v>66.567886</v>
      </c>
      <c r="D42" s="6">
        <v>172.804092</v>
      </c>
      <c r="E42" s="42">
        <v>0.55</v>
      </c>
      <c r="F42">
        <f t="shared" si="18"/>
        <v>65.7482935481</v>
      </c>
      <c r="G42">
        <f t="shared" si="19"/>
        <v>171.022253452304</v>
      </c>
      <c r="L42">
        <f t="shared" si="20"/>
        <v>0.819592451899965</v>
      </c>
      <c r="M42">
        <f t="shared" si="21"/>
        <v>1.78183854769625</v>
      </c>
      <c r="N42" s="47">
        <f t="shared" si="2"/>
        <v>0</v>
      </c>
      <c r="O42">
        <f t="shared" si="3"/>
        <v>0</v>
      </c>
      <c r="P42">
        <f t="shared" si="4"/>
        <v>0.819592451899965</v>
      </c>
      <c r="Q42">
        <f t="shared" si="5"/>
        <v>0</v>
      </c>
      <c r="R42">
        <f t="shared" si="6"/>
        <v>0</v>
      </c>
      <c r="S42">
        <f t="shared" si="7"/>
        <v>0</v>
      </c>
      <c r="T42">
        <f t="shared" si="8"/>
        <v>1.78183854769625</v>
      </c>
      <c r="U42" s="52">
        <f t="shared" si="9"/>
        <v>0</v>
      </c>
      <c r="V42">
        <f t="shared" si="10"/>
        <v>0</v>
      </c>
      <c r="W42">
        <f t="shared" si="11"/>
        <v>0</v>
      </c>
      <c r="X42">
        <f t="shared" si="12"/>
        <v>66.567886</v>
      </c>
      <c r="Y42">
        <f t="shared" si="13"/>
        <v>0</v>
      </c>
      <c r="Z42">
        <f t="shared" si="14"/>
        <v>0</v>
      </c>
      <c r="AA42">
        <f t="shared" si="15"/>
        <v>0</v>
      </c>
      <c r="AB42">
        <f t="shared" si="16"/>
        <v>172.804092</v>
      </c>
      <c r="AC42">
        <f t="shared" si="17"/>
        <v>0</v>
      </c>
    </row>
    <row r="43" spans="2:29">
      <c r="B43" s="5">
        <v>24</v>
      </c>
      <c r="C43" s="6">
        <v>66.737518</v>
      </c>
      <c r="D43" s="6">
        <v>174.158981</v>
      </c>
      <c r="E43" s="42">
        <v>0.75</v>
      </c>
      <c r="F43">
        <f t="shared" si="18"/>
        <v>66.362987887025</v>
      </c>
      <c r="G43">
        <f t="shared" si="19"/>
        <v>172.358632363076</v>
      </c>
      <c r="L43">
        <f t="shared" si="20"/>
        <v>0.374530112974981</v>
      </c>
      <c r="M43">
        <f t="shared" si="21"/>
        <v>1.80034863692407</v>
      </c>
      <c r="N43" s="47">
        <f t="shared" si="2"/>
        <v>0</v>
      </c>
      <c r="O43">
        <f t="shared" si="3"/>
        <v>0</v>
      </c>
      <c r="P43">
        <f t="shared" si="4"/>
        <v>0</v>
      </c>
      <c r="Q43">
        <f t="shared" si="5"/>
        <v>0.374530112974981</v>
      </c>
      <c r="R43">
        <f t="shared" si="6"/>
        <v>0</v>
      </c>
      <c r="S43">
        <f t="shared" si="7"/>
        <v>0</v>
      </c>
      <c r="T43">
        <f t="shared" si="8"/>
        <v>0</v>
      </c>
      <c r="U43" s="52">
        <f t="shared" si="9"/>
        <v>1.80034863692407</v>
      </c>
      <c r="V43">
        <f t="shared" si="10"/>
        <v>0</v>
      </c>
      <c r="W43">
        <f t="shared" si="11"/>
        <v>0</v>
      </c>
      <c r="X43">
        <f t="shared" si="12"/>
        <v>0</v>
      </c>
      <c r="Y43">
        <f t="shared" si="13"/>
        <v>66.737518</v>
      </c>
      <c r="Z43">
        <f t="shared" si="14"/>
        <v>0</v>
      </c>
      <c r="AA43">
        <f t="shared" si="15"/>
        <v>0</v>
      </c>
      <c r="AB43">
        <f t="shared" si="16"/>
        <v>0</v>
      </c>
      <c r="AC43">
        <f t="shared" si="17"/>
        <v>174.158981</v>
      </c>
    </row>
    <row r="44" spans="2:29">
      <c r="B44" s="5">
        <v>25</v>
      </c>
      <c r="C44" s="6">
        <v>67.644707</v>
      </c>
      <c r="D44" s="6">
        <v>173.756439</v>
      </c>
      <c r="E44" s="42">
        <v>0.15</v>
      </c>
      <c r="F44">
        <f t="shared" si="18"/>
        <v>66.4191674039713</v>
      </c>
      <c r="G44">
        <f t="shared" si="19"/>
        <v>172.628684658615</v>
      </c>
      <c r="L44">
        <f t="shared" si="20"/>
        <v>1.22553959602874</v>
      </c>
      <c r="M44">
        <f t="shared" si="21"/>
        <v>1.12775434138547</v>
      </c>
      <c r="N44" s="47">
        <f t="shared" si="2"/>
        <v>1.22553959602874</v>
      </c>
      <c r="O44">
        <f t="shared" si="3"/>
        <v>0</v>
      </c>
      <c r="P44">
        <f t="shared" si="4"/>
        <v>0</v>
      </c>
      <c r="Q44">
        <f t="shared" si="5"/>
        <v>0</v>
      </c>
      <c r="R44">
        <f t="shared" si="6"/>
        <v>1.12775434138547</v>
      </c>
      <c r="S44">
        <f t="shared" si="7"/>
        <v>0</v>
      </c>
      <c r="T44">
        <f t="shared" si="8"/>
        <v>0</v>
      </c>
      <c r="U44" s="52">
        <f t="shared" si="9"/>
        <v>0</v>
      </c>
      <c r="V44">
        <f t="shared" si="10"/>
        <v>67.644707</v>
      </c>
      <c r="W44">
        <f t="shared" si="11"/>
        <v>0</v>
      </c>
      <c r="X44">
        <f t="shared" si="12"/>
        <v>0</v>
      </c>
      <c r="Y44">
        <f t="shared" si="13"/>
        <v>0</v>
      </c>
      <c r="Z44">
        <f t="shared" si="14"/>
        <v>173.756439</v>
      </c>
      <c r="AA44">
        <f t="shared" si="15"/>
        <v>0</v>
      </c>
      <c r="AB44">
        <f t="shared" si="16"/>
        <v>0</v>
      </c>
      <c r="AC44">
        <f t="shared" si="17"/>
        <v>0</v>
      </c>
    </row>
    <row r="45" spans="2:29">
      <c r="B45" s="5">
        <v>26</v>
      </c>
      <c r="C45" s="6">
        <v>68.802635</v>
      </c>
      <c r="D45" s="6">
        <v>173.186996</v>
      </c>
      <c r="E45" s="42">
        <v>0.35</v>
      </c>
      <c r="F45">
        <f t="shared" si="18"/>
        <v>66.8481062625813</v>
      </c>
      <c r="G45">
        <f t="shared" si="19"/>
        <v>173.023398678099</v>
      </c>
      <c r="L45">
        <f t="shared" si="20"/>
        <v>1.95452873741868</v>
      </c>
      <c r="M45">
        <f t="shared" si="21"/>
        <v>0.163597321900539</v>
      </c>
      <c r="N45" s="47">
        <f t="shared" si="2"/>
        <v>0</v>
      </c>
      <c r="O45">
        <f t="shared" si="3"/>
        <v>1.95452873741868</v>
      </c>
      <c r="P45">
        <f t="shared" si="4"/>
        <v>0</v>
      </c>
      <c r="Q45">
        <f t="shared" si="5"/>
        <v>0</v>
      </c>
      <c r="R45">
        <f t="shared" si="6"/>
        <v>0</v>
      </c>
      <c r="S45">
        <f t="shared" si="7"/>
        <v>0.163597321900539</v>
      </c>
      <c r="T45">
        <f t="shared" si="8"/>
        <v>0</v>
      </c>
      <c r="U45" s="52">
        <f t="shared" si="9"/>
        <v>0</v>
      </c>
      <c r="V45">
        <f t="shared" si="10"/>
        <v>0</v>
      </c>
      <c r="W45">
        <f t="shared" si="11"/>
        <v>68.802635</v>
      </c>
      <c r="X45">
        <f t="shared" si="12"/>
        <v>0</v>
      </c>
      <c r="Y45">
        <f t="shared" si="13"/>
        <v>0</v>
      </c>
      <c r="Z45">
        <f t="shared" si="14"/>
        <v>0</v>
      </c>
      <c r="AA45">
        <f t="shared" si="15"/>
        <v>173.186996</v>
      </c>
      <c r="AB45">
        <f t="shared" si="16"/>
        <v>0</v>
      </c>
      <c r="AC45">
        <f t="shared" si="17"/>
        <v>0</v>
      </c>
    </row>
    <row r="46" spans="2:29">
      <c r="B46" s="5">
        <v>27</v>
      </c>
      <c r="C46" s="6">
        <v>68.937851</v>
      </c>
      <c r="D46" s="6">
        <v>173.481537</v>
      </c>
      <c r="E46" s="42">
        <v>0.55</v>
      </c>
      <c r="F46">
        <f t="shared" si="18"/>
        <v>67.9230970681616</v>
      </c>
      <c r="G46">
        <f t="shared" si="19"/>
        <v>173.113377205145</v>
      </c>
      <c r="L46">
        <f t="shared" si="20"/>
        <v>1.0147539318384</v>
      </c>
      <c r="M46">
        <f t="shared" si="21"/>
        <v>0.368159794855274</v>
      </c>
      <c r="N46" s="47">
        <f t="shared" si="2"/>
        <v>0</v>
      </c>
      <c r="O46">
        <f t="shared" si="3"/>
        <v>0</v>
      </c>
      <c r="P46">
        <f t="shared" si="4"/>
        <v>1.0147539318384</v>
      </c>
      <c r="Q46">
        <f t="shared" si="5"/>
        <v>0</v>
      </c>
      <c r="R46">
        <f t="shared" si="6"/>
        <v>0</v>
      </c>
      <c r="S46">
        <f t="shared" si="7"/>
        <v>0</v>
      </c>
      <c r="T46">
        <f t="shared" si="8"/>
        <v>0.368159794855274</v>
      </c>
      <c r="U46" s="52">
        <f t="shared" si="9"/>
        <v>0</v>
      </c>
      <c r="V46">
        <f t="shared" si="10"/>
        <v>0</v>
      </c>
      <c r="W46">
        <f t="shared" si="11"/>
        <v>0</v>
      </c>
      <c r="X46">
        <f t="shared" si="12"/>
        <v>68.937851</v>
      </c>
      <c r="Y46">
        <f t="shared" si="13"/>
        <v>0</v>
      </c>
      <c r="Z46">
        <f t="shared" si="14"/>
        <v>0</v>
      </c>
      <c r="AA46">
        <f t="shared" si="15"/>
        <v>0</v>
      </c>
      <c r="AB46">
        <f t="shared" si="16"/>
        <v>173.481537</v>
      </c>
      <c r="AC46">
        <f t="shared" si="17"/>
        <v>0</v>
      </c>
    </row>
    <row r="47" spans="2:29">
      <c r="B47" s="5">
        <v>28</v>
      </c>
      <c r="C47" s="6">
        <v>68.773132</v>
      </c>
      <c r="D47" s="6">
        <v>171.459061</v>
      </c>
      <c r="E47" s="42">
        <v>0.75</v>
      </c>
      <c r="F47">
        <f t="shared" si="18"/>
        <v>68.6841625170404</v>
      </c>
      <c r="G47">
        <f t="shared" si="19"/>
        <v>173.389497051286</v>
      </c>
      <c r="L47">
        <f t="shared" si="20"/>
        <v>0.0889694829596124</v>
      </c>
      <c r="M47">
        <f t="shared" si="21"/>
        <v>1.93043605128619</v>
      </c>
      <c r="N47" s="47">
        <f t="shared" si="2"/>
        <v>0</v>
      </c>
      <c r="O47">
        <f t="shared" si="3"/>
        <v>0</v>
      </c>
      <c r="P47">
        <f t="shared" si="4"/>
        <v>0</v>
      </c>
      <c r="Q47">
        <f t="shared" si="5"/>
        <v>0.0889694829596124</v>
      </c>
      <c r="R47">
        <f t="shared" si="6"/>
        <v>0</v>
      </c>
      <c r="S47">
        <f t="shared" si="7"/>
        <v>0</v>
      </c>
      <c r="T47">
        <f t="shared" si="8"/>
        <v>0</v>
      </c>
      <c r="U47" s="52">
        <f t="shared" si="9"/>
        <v>1.93043605128619</v>
      </c>
      <c r="V47">
        <f t="shared" si="10"/>
        <v>0</v>
      </c>
      <c r="W47">
        <f t="shared" si="11"/>
        <v>0</v>
      </c>
      <c r="X47">
        <f t="shared" si="12"/>
        <v>0</v>
      </c>
      <c r="Y47">
        <f t="shared" si="13"/>
        <v>68.773132</v>
      </c>
      <c r="Z47">
        <f t="shared" si="14"/>
        <v>0</v>
      </c>
      <c r="AA47">
        <f t="shared" si="15"/>
        <v>0</v>
      </c>
      <c r="AB47">
        <f t="shared" si="16"/>
        <v>0</v>
      </c>
      <c r="AC47">
        <f t="shared" si="17"/>
        <v>171.459061</v>
      </c>
    </row>
    <row r="48" spans="2:29">
      <c r="B48" s="5">
        <v>29</v>
      </c>
      <c r="C48" s="6">
        <v>68.841965</v>
      </c>
      <c r="D48" s="6">
        <v>173.285187</v>
      </c>
      <c r="E48" s="42">
        <v>0.15</v>
      </c>
      <c r="F48">
        <f t="shared" si="18"/>
        <v>68.6975079394843</v>
      </c>
      <c r="G48">
        <f t="shared" si="19"/>
        <v>173.099931643593</v>
      </c>
      <c r="L48">
        <f t="shared" si="20"/>
        <v>0.144457060515663</v>
      </c>
      <c r="M48">
        <f t="shared" si="21"/>
        <v>0.18525535640677</v>
      </c>
      <c r="N48" s="47">
        <f t="shared" si="2"/>
        <v>0.144457060515663</v>
      </c>
      <c r="O48">
        <f t="shared" si="3"/>
        <v>0</v>
      </c>
      <c r="P48">
        <f t="shared" si="4"/>
        <v>0</v>
      </c>
      <c r="Q48">
        <f t="shared" si="5"/>
        <v>0</v>
      </c>
      <c r="R48">
        <f t="shared" si="6"/>
        <v>0.18525535640677</v>
      </c>
      <c r="S48">
        <f t="shared" si="7"/>
        <v>0</v>
      </c>
      <c r="T48">
        <f t="shared" si="8"/>
        <v>0</v>
      </c>
      <c r="U48" s="52">
        <f t="shared" si="9"/>
        <v>0</v>
      </c>
      <c r="V48">
        <f t="shared" si="10"/>
        <v>68.841965</v>
      </c>
      <c r="W48">
        <f t="shared" si="11"/>
        <v>0</v>
      </c>
      <c r="X48">
        <f t="shared" si="12"/>
        <v>0</v>
      </c>
      <c r="Y48">
        <f t="shared" si="13"/>
        <v>0</v>
      </c>
      <c r="Z48">
        <f t="shared" si="14"/>
        <v>173.285187</v>
      </c>
      <c r="AA48">
        <f t="shared" si="15"/>
        <v>0</v>
      </c>
      <c r="AB48">
        <f t="shared" si="16"/>
        <v>0</v>
      </c>
      <c r="AC48">
        <f t="shared" si="17"/>
        <v>0</v>
      </c>
    </row>
    <row r="49" spans="2:29">
      <c r="B49" s="5">
        <v>30</v>
      </c>
      <c r="C49" s="6">
        <v>68.699387</v>
      </c>
      <c r="D49" s="6">
        <v>173.196823</v>
      </c>
      <c r="E49" s="42">
        <v>0.35</v>
      </c>
      <c r="F49">
        <f t="shared" si="18"/>
        <v>68.7480679106648</v>
      </c>
      <c r="G49">
        <f t="shared" si="19"/>
        <v>173.164771018336</v>
      </c>
      <c r="L49">
        <f t="shared" si="20"/>
        <v>0.0486809106648138</v>
      </c>
      <c r="M49">
        <f t="shared" si="21"/>
        <v>0.0320519816643809</v>
      </c>
      <c r="N49" s="47">
        <f t="shared" si="2"/>
        <v>0</v>
      </c>
      <c r="O49">
        <f t="shared" si="3"/>
        <v>0.0486809106648138</v>
      </c>
      <c r="P49">
        <f t="shared" si="4"/>
        <v>0</v>
      </c>
      <c r="Q49">
        <f t="shared" si="5"/>
        <v>0</v>
      </c>
      <c r="R49">
        <f t="shared" si="6"/>
        <v>0</v>
      </c>
      <c r="S49">
        <f t="shared" si="7"/>
        <v>0.0320519816643809</v>
      </c>
      <c r="T49">
        <f t="shared" si="8"/>
        <v>0</v>
      </c>
      <c r="U49" s="52">
        <f t="shared" si="9"/>
        <v>0</v>
      </c>
      <c r="V49">
        <f t="shared" si="10"/>
        <v>0</v>
      </c>
      <c r="W49">
        <f t="shared" si="11"/>
        <v>68.699387</v>
      </c>
      <c r="X49">
        <f t="shared" si="12"/>
        <v>0</v>
      </c>
      <c r="Y49">
        <f t="shared" si="13"/>
        <v>0</v>
      </c>
      <c r="Z49">
        <f t="shared" si="14"/>
        <v>0</v>
      </c>
      <c r="AA49">
        <f t="shared" si="15"/>
        <v>173.196823</v>
      </c>
      <c r="AB49">
        <f t="shared" si="16"/>
        <v>0</v>
      </c>
      <c r="AC49">
        <f t="shared" si="17"/>
        <v>0</v>
      </c>
    </row>
    <row r="50" spans="2:29">
      <c r="B50" s="5">
        <v>31</v>
      </c>
      <c r="C50" s="6">
        <v>69.820442</v>
      </c>
      <c r="D50" s="6">
        <v>173.216461</v>
      </c>
      <c r="E50" s="42">
        <v>0.55</v>
      </c>
      <c r="F50">
        <f t="shared" si="18"/>
        <v>68.7212934097992</v>
      </c>
      <c r="G50">
        <f t="shared" si="19"/>
        <v>173.182399608251</v>
      </c>
      <c r="L50">
        <f t="shared" si="20"/>
        <v>1.09914859020084</v>
      </c>
      <c r="M50">
        <f t="shared" si="21"/>
        <v>0.0340613917489918</v>
      </c>
      <c r="N50" s="47">
        <f t="shared" si="2"/>
        <v>0</v>
      </c>
      <c r="O50">
        <f t="shared" si="3"/>
        <v>0</v>
      </c>
      <c r="P50">
        <f t="shared" si="4"/>
        <v>1.09914859020084</v>
      </c>
      <c r="Q50">
        <f t="shared" si="5"/>
        <v>0</v>
      </c>
      <c r="R50">
        <f t="shared" si="6"/>
        <v>0</v>
      </c>
      <c r="S50">
        <f t="shared" si="7"/>
        <v>0</v>
      </c>
      <c r="T50">
        <f t="shared" si="8"/>
        <v>0.0340613917489918</v>
      </c>
      <c r="U50" s="52">
        <f t="shared" si="9"/>
        <v>0</v>
      </c>
      <c r="V50">
        <f t="shared" si="10"/>
        <v>0</v>
      </c>
      <c r="W50">
        <f t="shared" si="11"/>
        <v>0</v>
      </c>
      <c r="X50">
        <f t="shared" si="12"/>
        <v>69.820442</v>
      </c>
      <c r="Y50">
        <f t="shared" si="13"/>
        <v>0</v>
      </c>
      <c r="Z50">
        <f t="shared" si="14"/>
        <v>0</v>
      </c>
      <c r="AA50">
        <f t="shared" si="15"/>
        <v>0</v>
      </c>
      <c r="AB50">
        <f t="shared" si="16"/>
        <v>173.216461</v>
      </c>
      <c r="AC50">
        <f t="shared" si="17"/>
        <v>0</v>
      </c>
    </row>
    <row r="51" spans="2:29">
      <c r="B51" s="5">
        <v>32</v>
      </c>
      <c r="C51" s="6">
        <v>69.886818</v>
      </c>
      <c r="D51" s="6">
        <v>173.098648</v>
      </c>
      <c r="E51" s="42">
        <v>0.75</v>
      </c>
      <c r="F51">
        <f t="shared" si="18"/>
        <v>69.5456548524498</v>
      </c>
      <c r="G51">
        <f t="shared" si="19"/>
        <v>173.207945652063</v>
      </c>
      <c r="L51">
        <f t="shared" si="20"/>
        <v>0.341163147550219</v>
      </c>
      <c r="M51">
        <f t="shared" si="21"/>
        <v>0.109297652062764</v>
      </c>
      <c r="N51" s="47">
        <f t="shared" si="2"/>
        <v>0</v>
      </c>
      <c r="O51">
        <f t="shared" si="3"/>
        <v>0</v>
      </c>
      <c r="P51">
        <f t="shared" si="4"/>
        <v>0</v>
      </c>
      <c r="Q51">
        <f t="shared" si="5"/>
        <v>0.341163147550219</v>
      </c>
      <c r="R51">
        <f t="shared" si="6"/>
        <v>0</v>
      </c>
      <c r="S51">
        <f t="shared" si="7"/>
        <v>0</v>
      </c>
      <c r="T51">
        <f t="shared" si="8"/>
        <v>0</v>
      </c>
      <c r="U51" s="52">
        <f t="shared" si="9"/>
        <v>0.109297652062764</v>
      </c>
      <c r="V51">
        <f t="shared" si="10"/>
        <v>0</v>
      </c>
      <c r="W51">
        <f t="shared" si="11"/>
        <v>0</v>
      </c>
      <c r="X51">
        <f t="shared" si="12"/>
        <v>0</v>
      </c>
      <c r="Y51">
        <f t="shared" si="13"/>
        <v>69.886818</v>
      </c>
      <c r="Z51">
        <f t="shared" si="14"/>
        <v>0</v>
      </c>
      <c r="AA51">
        <f t="shared" si="15"/>
        <v>0</v>
      </c>
      <c r="AB51">
        <f t="shared" si="16"/>
        <v>0</v>
      </c>
      <c r="AC51">
        <f t="shared" si="17"/>
        <v>173.098648</v>
      </c>
    </row>
    <row r="52" spans="2:29">
      <c r="B52" s="5">
        <v>33</v>
      </c>
      <c r="C52" s="6">
        <v>71.273392</v>
      </c>
      <c r="D52" s="6">
        <v>173.658264</v>
      </c>
      <c r="E52" s="42">
        <v>0.15</v>
      </c>
      <c r="F52">
        <f t="shared" si="18"/>
        <v>69.5968293245823</v>
      </c>
      <c r="G52">
        <f t="shared" si="19"/>
        <v>173.191551004253</v>
      </c>
      <c r="L52">
        <f t="shared" si="20"/>
        <v>1.67656267541768</v>
      </c>
      <c r="M52">
        <f t="shared" si="21"/>
        <v>0.466712995746661</v>
      </c>
      <c r="N52" s="47">
        <f t="shared" si="2"/>
        <v>1.67656267541768</v>
      </c>
      <c r="O52">
        <f t="shared" si="3"/>
        <v>0</v>
      </c>
      <c r="P52">
        <f t="shared" si="4"/>
        <v>0</v>
      </c>
      <c r="Q52">
        <f t="shared" si="5"/>
        <v>0</v>
      </c>
      <c r="R52">
        <f t="shared" si="6"/>
        <v>0.466712995746661</v>
      </c>
      <c r="S52">
        <f t="shared" si="7"/>
        <v>0</v>
      </c>
      <c r="T52">
        <f t="shared" si="8"/>
        <v>0</v>
      </c>
      <c r="U52" s="52">
        <f t="shared" si="9"/>
        <v>0</v>
      </c>
      <c r="V52">
        <f t="shared" si="10"/>
        <v>71.273392</v>
      </c>
      <c r="W52">
        <f t="shared" si="11"/>
        <v>0</v>
      </c>
      <c r="X52">
        <f t="shared" si="12"/>
        <v>0</v>
      </c>
      <c r="Y52">
        <f t="shared" si="13"/>
        <v>0</v>
      </c>
      <c r="Z52">
        <f t="shared" si="14"/>
        <v>173.658264</v>
      </c>
      <c r="AA52">
        <f t="shared" si="15"/>
        <v>0</v>
      </c>
      <c r="AB52">
        <f t="shared" si="16"/>
        <v>0</v>
      </c>
      <c r="AC52">
        <f t="shared" si="17"/>
        <v>0</v>
      </c>
    </row>
    <row r="53" spans="2:29">
      <c r="B53" s="5">
        <v>34</v>
      </c>
      <c r="C53" s="6">
        <v>71.246353</v>
      </c>
      <c r="D53" s="6">
        <v>173.265564</v>
      </c>
      <c r="E53" s="42">
        <v>0.35</v>
      </c>
      <c r="F53">
        <f t="shared" si="18"/>
        <v>70.1836262609785</v>
      </c>
      <c r="G53">
        <f t="shared" si="19"/>
        <v>173.354900552765</v>
      </c>
      <c r="L53">
        <f t="shared" si="20"/>
        <v>1.0627267390215</v>
      </c>
      <c r="M53">
        <f t="shared" si="21"/>
        <v>0.0893365527646495</v>
      </c>
      <c r="N53" s="47">
        <f t="shared" si="2"/>
        <v>0</v>
      </c>
      <c r="O53">
        <f t="shared" si="3"/>
        <v>1.0627267390215</v>
      </c>
      <c r="P53">
        <f t="shared" si="4"/>
        <v>0</v>
      </c>
      <c r="Q53">
        <f t="shared" si="5"/>
        <v>0</v>
      </c>
      <c r="R53">
        <f t="shared" si="6"/>
        <v>0</v>
      </c>
      <c r="S53">
        <f t="shared" si="7"/>
        <v>0.0893365527646495</v>
      </c>
      <c r="T53">
        <f t="shared" si="8"/>
        <v>0</v>
      </c>
      <c r="U53" s="52">
        <f t="shared" si="9"/>
        <v>0</v>
      </c>
      <c r="V53">
        <f t="shared" si="10"/>
        <v>0</v>
      </c>
      <c r="W53">
        <f t="shared" si="11"/>
        <v>71.246353</v>
      </c>
      <c r="X53">
        <f t="shared" si="12"/>
        <v>0</v>
      </c>
      <c r="Y53">
        <f t="shared" si="13"/>
        <v>0</v>
      </c>
      <c r="Z53">
        <f t="shared" si="14"/>
        <v>0</v>
      </c>
      <c r="AA53">
        <f t="shared" si="15"/>
        <v>173.265564</v>
      </c>
      <c r="AB53">
        <f t="shared" si="16"/>
        <v>0</v>
      </c>
      <c r="AC53">
        <f t="shared" si="17"/>
        <v>0</v>
      </c>
    </row>
    <row r="54" spans="2:29">
      <c r="B54" s="5">
        <v>35</v>
      </c>
      <c r="C54" s="6">
        <v>71.669212</v>
      </c>
      <c r="D54" s="6">
        <v>173.206619</v>
      </c>
      <c r="E54" s="42">
        <v>0.55</v>
      </c>
      <c r="F54">
        <f t="shared" si="18"/>
        <v>70.7681259674403</v>
      </c>
      <c r="G54">
        <f t="shared" si="19"/>
        <v>173.305765448744</v>
      </c>
      <c r="L54">
        <f t="shared" si="20"/>
        <v>0.901086032559675</v>
      </c>
      <c r="M54">
        <f t="shared" si="21"/>
        <v>0.0991464487441078</v>
      </c>
      <c r="N54" s="47">
        <f t="shared" si="2"/>
        <v>0</v>
      </c>
      <c r="O54">
        <f t="shared" si="3"/>
        <v>0</v>
      </c>
      <c r="P54">
        <f t="shared" si="4"/>
        <v>0.901086032559675</v>
      </c>
      <c r="Q54">
        <f t="shared" si="5"/>
        <v>0</v>
      </c>
      <c r="R54">
        <f t="shared" si="6"/>
        <v>0</v>
      </c>
      <c r="S54">
        <f t="shared" si="7"/>
        <v>0</v>
      </c>
      <c r="T54">
        <f t="shared" si="8"/>
        <v>0.0991464487441078</v>
      </c>
      <c r="U54" s="52">
        <f t="shared" si="9"/>
        <v>0</v>
      </c>
      <c r="V54">
        <f t="shared" si="10"/>
        <v>0</v>
      </c>
      <c r="W54">
        <f t="shared" si="11"/>
        <v>0</v>
      </c>
      <c r="X54">
        <f t="shared" si="12"/>
        <v>71.669212</v>
      </c>
      <c r="Y54">
        <f t="shared" si="13"/>
        <v>0</v>
      </c>
      <c r="Z54">
        <f t="shared" si="14"/>
        <v>0</v>
      </c>
      <c r="AA54">
        <f t="shared" si="15"/>
        <v>0</v>
      </c>
      <c r="AB54">
        <f t="shared" si="16"/>
        <v>173.206619</v>
      </c>
      <c r="AC54">
        <f t="shared" si="17"/>
        <v>0</v>
      </c>
    </row>
    <row r="55" spans="2:29">
      <c r="B55" s="5">
        <v>36</v>
      </c>
      <c r="C55" s="6">
        <v>72.192863</v>
      </c>
      <c r="D55" s="6">
        <v>173.776062</v>
      </c>
      <c r="E55" s="42">
        <v>0.75</v>
      </c>
      <c r="F55">
        <f t="shared" si="18"/>
        <v>71.4439404918601</v>
      </c>
      <c r="G55">
        <f t="shared" si="19"/>
        <v>173.231405612186</v>
      </c>
      <c r="L55">
        <f t="shared" si="20"/>
        <v>0.748922508139927</v>
      </c>
      <c r="M55">
        <f t="shared" si="21"/>
        <v>0.544656387814001</v>
      </c>
      <c r="N55" s="47">
        <f t="shared" si="2"/>
        <v>0</v>
      </c>
      <c r="O55">
        <f t="shared" si="3"/>
        <v>0</v>
      </c>
      <c r="P55">
        <f t="shared" si="4"/>
        <v>0</v>
      </c>
      <c r="Q55">
        <f t="shared" si="5"/>
        <v>0.748922508139927</v>
      </c>
      <c r="R55">
        <f t="shared" si="6"/>
        <v>0</v>
      </c>
      <c r="S55">
        <f t="shared" si="7"/>
        <v>0</v>
      </c>
      <c r="T55">
        <f t="shared" si="8"/>
        <v>0</v>
      </c>
      <c r="U55" s="52">
        <f t="shared" si="9"/>
        <v>0.544656387814001</v>
      </c>
      <c r="V55">
        <f t="shared" si="10"/>
        <v>0</v>
      </c>
      <c r="W55">
        <f t="shared" si="11"/>
        <v>0</v>
      </c>
      <c r="X55">
        <f t="shared" si="12"/>
        <v>0</v>
      </c>
      <c r="Y55">
        <f t="shared" si="13"/>
        <v>72.192863</v>
      </c>
      <c r="Z55">
        <f t="shared" si="14"/>
        <v>0</v>
      </c>
      <c r="AA55">
        <f t="shared" si="15"/>
        <v>0</v>
      </c>
      <c r="AB55">
        <f t="shared" si="16"/>
        <v>0</v>
      </c>
      <c r="AC55">
        <f t="shared" si="17"/>
        <v>173.776062</v>
      </c>
    </row>
    <row r="56" spans="2:29">
      <c r="B56" s="5">
        <v>37</v>
      </c>
      <c r="C56" s="6">
        <v>73.840042</v>
      </c>
      <c r="D56" s="6">
        <v>177.49704</v>
      </c>
      <c r="E56" s="42">
        <v>0.15</v>
      </c>
      <c r="F56">
        <f t="shared" si="18"/>
        <v>71.5562788680811</v>
      </c>
      <c r="G56">
        <f t="shared" si="19"/>
        <v>173.313104070358</v>
      </c>
      <c r="L56">
        <f t="shared" si="20"/>
        <v>2.28376313191893</v>
      </c>
      <c r="M56">
        <f t="shared" si="21"/>
        <v>4.1839359296419</v>
      </c>
      <c r="N56" s="47">
        <f t="shared" si="2"/>
        <v>2.28376313191893</v>
      </c>
      <c r="O56">
        <f t="shared" si="3"/>
        <v>0</v>
      </c>
      <c r="P56">
        <f t="shared" si="4"/>
        <v>0</v>
      </c>
      <c r="Q56">
        <f t="shared" si="5"/>
        <v>0</v>
      </c>
      <c r="R56">
        <f t="shared" si="6"/>
        <v>4.1839359296419</v>
      </c>
      <c r="S56">
        <f t="shared" si="7"/>
        <v>0</v>
      </c>
      <c r="T56">
        <f t="shared" si="8"/>
        <v>0</v>
      </c>
      <c r="U56" s="52">
        <f t="shared" si="9"/>
        <v>0</v>
      </c>
      <c r="V56">
        <f t="shared" si="10"/>
        <v>73.840042</v>
      </c>
      <c r="W56">
        <f t="shared" si="11"/>
        <v>0</v>
      </c>
      <c r="X56">
        <f t="shared" si="12"/>
        <v>0</v>
      </c>
      <c r="Y56">
        <f t="shared" si="13"/>
        <v>0</v>
      </c>
      <c r="Z56">
        <f t="shared" si="14"/>
        <v>177.49704</v>
      </c>
      <c r="AA56">
        <f t="shared" si="15"/>
        <v>0</v>
      </c>
      <c r="AB56">
        <f t="shared" si="16"/>
        <v>0</v>
      </c>
      <c r="AC56">
        <f t="shared" si="17"/>
        <v>0</v>
      </c>
    </row>
    <row r="57" spans="2:29">
      <c r="B57" s="5">
        <v>38</v>
      </c>
      <c r="C57" s="6">
        <v>73.122154</v>
      </c>
      <c r="D57" s="6">
        <v>175.602203</v>
      </c>
      <c r="E57" s="42">
        <v>0.35</v>
      </c>
      <c r="F57">
        <f t="shared" si="18"/>
        <v>72.3555959642527</v>
      </c>
      <c r="G57">
        <f t="shared" si="19"/>
        <v>174.777481645733</v>
      </c>
      <c r="L57">
        <f t="shared" si="20"/>
        <v>0.766558035747295</v>
      </c>
      <c r="M57">
        <f t="shared" si="21"/>
        <v>0.82472135426724</v>
      </c>
      <c r="N57" s="47">
        <f t="shared" si="2"/>
        <v>0</v>
      </c>
      <c r="O57">
        <f t="shared" si="3"/>
        <v>0.766558035747295</v>
      </c>
      <c r="P57">
        <f t="shared" si="4"/>
        <v>0</v>
      </c>
      <c r="Q57">
        <f t="shared" si="5"/>
        <v>0</v>
      </c>
      <c r="R57">
        <f t="shared" si="6"/>
        <v>0</v>
      </c>
      <c r="S57">
        <f t="shared" si="7"/>
        <v>0.82472135426724</v>
      </c>
      <c r="T57">
        <f t="shared" si="8"/>
        <v>0</v>
      </c>
      <c r="U57" s="52">
        <f t="shared" si="9"/>
        <v>0</v>
      </c>
      <c r="V57">
        <f t="shared" si="10"/>
        <v>0</v>
      </c>
      <c r="W57">
        <f t="shared" si="11"/>
        <v>73.122154</v>
      </c>
      <c r="X57">
        <f t="shared" si="12"/>
        <v>0</v>
      </c>
      <c r="Y57">
        <f t="shared" si="13"/>
        <v>0</v>
      </c>
      <c r="Z57">
        <f t="shared" si="14"/>
        <v>0</v>
      </c>
      <c r="AA57">
        <f t="shared" si="15"/>
        <v>175.602203</v>
      </c>
      <c r="AB57">
        <f t="shared" si="16"/>
        <v>0</v>
      </c>
      <c r="AC57">
        <f t="shared" si="17"/>
        <v>0</v>
      </c>
    </row>
    <row r="58" spans="2:29">
      <c r="B58" s="5">
        <v>39</v>
      </c>
      <c r="C58" s="6">
        <v>73.704819</v>
      </c>
      <c r="D58" s="6">
        <v>174.276794</v>
      </c>
      <c r="E58" s="42">
        <v>0.55</v>
      </c>
      <c r="F58">
        <f t="shared" si="18"/>
        <v>72.7772028839137</v>
      </c>
      <c r="G58">
        <f t="shared" si="19"/>
        <v>175.23107839058</v>
      </c>
      <c r="L58">
        <f t="shared" si="20"/>
        <v>0.927616116086298</v>
      </c>
      <c r="M58">
        <f t="shared" si="21"/>
        <v>0.954284390579744</v>
      </c>
      <c r="N58" s="47">
        <f t="shared" si="2"/>
        <v>0</v>
      </c>
      <c r="O58">
        <f t="shared" si="3"/>
        <v>0</v>
      </c>
      <c r="P58">
        <f t="shared" si="4"/>
        <v>0.927616116086298</v>
      </c>
      <c r="Q58">
        <f t="shared" si="5"/>
        <v>0</v>
      </c>
      <c r="R58">
        <f t="shared" si="6"/>
        <v>0</v>
      </c>
      <c r="S58">
        <f t="shared" si="7"/>
        <v>0</v>
      </c>
      <c r="T58">
        <f t="shared" si="8"/>
        <v>0.954284390579744</v>
      </c>
      <c r="U58" s="52">
        <f t="shared" si="9"/>
        <v>0</v>
      </c>
      <c r="V58">
        <f t="shared" si="10"/>
        <v>0</v>
      </c>
      <c r="W58">
        <f t="shared" si="11"/>
        <v>0</v>
      </c>
      <c r="X58">
        <f t="shared" si="12"/>
        <v>73.704819</v>
      </c>
      <c r="Y58">
        <f t="shared" si="13"/>
        <v>0</v>
      </c>
      <c r="Z58">
        <f t="shared" si="14"/>
        <v>0</v>
      </c>
      <c r="AA58">
        <f t="shared" si="15"/>
        <v>0</v>
      </c>
      <c r="AB58">
        <f t="shared" si="16"/>
        <v>174.276794</v>
      </c>
      <c r="AC58">
        <f t="shared" si="17"/>
        <v>0</v>
      </c>
    </row>
    <row r="59" spans="2:29">
      <c r="B59" s="5">
        <v>40</v>
      </c>
      <c r="C59" s="6">
        <v>73.358185</v>
      </c>
      <c r="D59" s="6">
        <v>174.374969</v>
      </c>
      <c r="E59" s="42">
        <v>0.75</v>
      </c>
      <c r="F59">
        <f t="shared" si="18"/>
        <v>73.4729149709784</v>
      </c>
      <c r="G59">
        <f t="shared" si="19"/>
        <v>174.515365097645</v>
      </c>
      <c r="L59">
        <f t="shared" si="20"/>
        <v>0.114729970978416</v>
      </c>
      <c r="M59">
        <f t="shared" si="21"/>
        <v>0.140396097644924</v>
      </c>
      <c r="N59" s="47">
        <f t="shared" si="2"/>
        <v>0</v>
      </c>
      <c r="O59">
        <f t="shared" si="3"/>
        <v>0</v>
      </c>
      <c r="P59">
        <f t="shared" si="4"/>
        <v>0</v>
      </c>
      <c r="Q59">
        <f t="shared" si="5"/>
        <v>0.114729970978416</v>
      </c>
      <c r="R59">
        <f t="shared" si="6"/>
        <v>0</v>
      </c>
      <c r="S59">
        <f t="shared" si="7"/>
        <v>0</v>
      </c>
      <c r="T59">
        <f t="shared" si="8"/>
        <v>0</v>
      </c>
      <c r="U59" s="52">
        <f t="shared" si="9"/>
        <v>0.140396097644924</v>
      </c>
      <c r="V59">
        <f t="shared" si="10"/>
        <v>0</v>
      </c>
      <c r="W59">
        <f t="shared" si="11"/>
        <v>0</v>
      </c>
      <c r="X59">
        <f t="shared" si="12"/>
        <v>0</v>
      </c>
      <c r="Y59">
        <f t="shared" si="13"/>
        <v>73.358185</v>
      </c>
      <c r="Z59">
        <f t="shared" si="14"/>
        <v>0</v>
      </c>
      <c r="AA59">
        <f t="shared" si="15"/>
        <v>0</v>
      </c>
      <c r="AB59">
        <f t="shared" si="16"/>
        <v>0</v>
      </c>
      <c r="AC59">
        <f t="shared" si="17"/>
        <v>174.374969</v>
      </c>
    </row>
    <row r="60" spans="2:29">
      <c r="B60" s="5">
        <v>41</v>
      </c>
      <c r="C60" s="6">
        <v>74.538239</v>
      </c>
      <c r="D60" s="6">
        <v>174.522232</v>
      </c>
      <c r="E60" s="42">
        <v>0.15</v>
      </c>
      <c r="F60">
        <f t="shared" si="18"/>
        <v>73.4557054753317</v>
      </c>
      <c r="G60">
        <f t="shared" si="19"/>
        <v>174.494305682998</v>
      </c>
      <c r="L60">
        <f t="shared" si="20"/>
        <v>1.08253352466835</v>
      </c>
      <c r="M60">
        <f t="shared" si="21"/>
        <v>0.0279263170018282</v>
      </c>
      <c r="N60" s="47">
        <f t="shared" si="2"/>
        <v>1.08253352466835</v>
      </c>
      <c r="O60">
        <f t="shared" si="3"/>
        <v>0</v>
      </c>
      <c r="P60">
        <f t="shared" si="4"/>
        <v>0</v>
      </c>
      <c r="Q60">
        <f t="shared" si="5"/>
        <v>0</v>
      </c>
      <c r="R60">
        <f t="shared" si="6"/>
        <v>0.0279263170018282</v>
      </c>
      <c r="S60">
        <f t="shared" si="7"/>
        <v>0</v>
      </c>
      <c r="T60">
        <f t="shared" si="8"/>
        <v>0</v>
      </c>
      <c r="U60" s="52">
        <f t="shared" si="9"/>
        <v>0</v>
      </c>
      <c r="V60">
        <f t="shared" si="10"/>
        <v>74.538239</v>
      </c>
      <c r="W60">
        <f t="shared" si="11"/>
        <v>0</v>
      </c>
      <c r="X60">
        <f t="shared" si="12"/>
        <v>0</v>
      </c>
      <c r="Y60">
        <f t="shared" si="13"/>
        <v>0</v>
      </c>
      <c r="Z60">
        <f t="shared" si="14"/>
        <v>174.522232</v>
      </c>
      <c r="AA60">
        <f t="shared" si="15"/>
        <v>0</v>
      </c>
      <c r="AB60">
        <f t="shared" si="16"/>
        <v>0</v>
      </c>
      <c r="AC60">
        <f t="shared" si="17"/>
        <v>0</v>
      </c>
    </row>
    <row r="61" spans="2:29">
      <c r="B61" s="5">
        <v>42</v>
      </c>
      <c r="C61" s="6">
        <v>76.121498</v>
      </c>
      <c r="D61" s="6">
        <v>175.80838</v>
      </c>
      <c r="E61" s="42">
        <v>0.35</v>
      </c>
      <c r="F61">
        <f t="shared" si="18"/>
        <v>73.8345922089656</v>
      </c>
      <c r="G61">
        <f t="shared" si="19"/>
        <v>174.504079893949</v>
      </c>
      <c r="L61">
        <f t="shared" si="20"/>
        <v>2.28690579103443</v>
      </c>
      <c r="M61">
        <f t="shared" si="21"/>
        <v>1.30430010605119</v>
      </c>
      <c r="N61" s="47">
        <f t="shared" si="2"/>
        <v>0</v>
      </c>
      <c r="O61">
        <f t="shared" si="3"/>
        <v>2.28690579103443</v>
      </c>
      <c r="P61">
        <f t="shared" si="4"/>
        <v>0</v>
      </c>
      <c r="Q61">
        <f t="shared" si="5"/>
        <v>0</v>
      </c>
      <c r="R61">
        <f t="shared" si="6"/>
        <v>0</v>
      </c>
      <c r="S61">
        <f t="shared" si="7"/>
        <v>1.30430010605119</v>
      </c>
      <c r="T61">
        <f t="shared" si="8"/>
        <v>0</v>
      </c>
      <c r="U61" s="52">
        <f t="shared" si="9"/>
        <v>0</v>
      </c>
      <c r="V61">
        <f t="shared" si="10"/>
        <v>0</v>
      </c>
      <c r="W61">
        <f t="shared" si="11"/>
        <v>76.121498</v>
      </c>
      <c r="X61">
        <f t="shared" si="12"/>
        <v>0</v>
      </c>
      <c r="Y61">
        <f t="shared" si="13"/>
        <v>0</v>
      </c>
      <c r="Z61">
        <f t="shared" si="14"/>
        <v>0</v>
      </c>
      <c r="AA61">
        <f t="shared" si="15"/>
        <v>175.80838</v>
      </c>
      <c r="AB61">
        <f t="shared" si="16"/>
        <v>0</v>
      </c>
      <c r="AC61">
        <f t="shared" si="17"/>
        <v>0</v>
      </c>
    </row>
    <row r="62" spans="2:29">
      <c r="B62" s="5">
        <v>43</v>
      </c>
      <c r="C62" s="6">
        <v>76.293579</v>
      </c>
      <c r="D62" s="6">
        <v>175.425461</v>
      </c>
      <c r="E62" s="42">
        <v>0.55</v>
      </c>
      <c r="F62">
        <f t="shared" si="18"/>
        <v>75.0923903940345</v>
      </c>
      <c r="G62">
        <f t="shared" si="19"/>
        <v>175.221444952277</v>
      </c>
      <c r="L62">
        <f t="shared" si="20"/>
        <v>1.20118860596548</v>
      </c>
      <c r="M62">
        <f t="shared" si="21"/>
        <v>0.204016047723059</v>
      </c>
      <c r="N62" s="47">
        <f t="shared" si="2"/>
        <v>0</v>
      </c>
      <c r="O62">
        <f t="shared" si="3"/>
        <v>0</v>
      </c>
      <c r="P62">
        <f t="shared" si="4"/>
        <v>1.20118860596548</v>
      </c>
      <c r="Q62">
        <f t="shared" si="5"/>
        <v>0</v>
      </c>
      <c r="R62">
        <f t="shared" si="6"/>
        <v>0</v>
      </c>
      <c r="S62">
        <f t="shared" si="7"/>
        <v>0</v>
      </c>
      <c r="T62">
        <f t="shared" si="8"/>
        <v>0.204016047723059</v>
      </c>
      <c r="U62" s="52">
        <f t="shared" si="9"/>
        <v>0</v>
      </c>
      <c r="V62">
        <f t="shared" si="10"/>
        <v>0</v>
      </c>
      <c r="W62">
        <f t="shared" si="11"/>
        <v>0</v>
      </c>
      <c r="X62">
        <f t="shared" si="12"/>
        <v>76.293579</v>
      </c>
      <c r="Y62">
        <f t="shared" si="13"/>
        <v>0</v>
      </c>
      <c r="Z62">
        <f t="shared" si="14"/>
        <v>0</v>
      </c>
      <c r="AA62">
        <f t="shared" si="15"/>
        <v>0</v>
      </c>
      <c r="AB62">
        <f t="shared" si="16"/>
        <v>175.425461</v>
      </c>
      <c r="AC62">
        <f t="shared" si="17"/>
        <v>0</v>
      </c>
    </row>
    <row r="63" spans="2:29">
      <c r="B63" s="5">
        <v>44</v>
      </c>
      <c r="C63" s="6">
        <v>77.923538</v>
      </c>
      <c r="D63" s="6">
        <v>177.968292</v>
      </c>
      <c r="E63" s="42">
        <v>0.75</v>
      </c>
      <c r="F63">
        <f t="shared" si="18"/>
        <v>75.9932818485086</v>
      </c>
      <c r="G63">
        <f t="shared" si="19"/>
        <v>175.374456988069</v>
      </c>
      <c r="L63">
        <f t="shared" si="20"/>
        <v>1.93025615149138</v>
      </c>
      <c r="M63">
        <f t="shared" si="21"/>
        <v>2.59383501193074</v>
      </c>
      <c r="N63" s="47">
        <f t="shared" si="2"/>
        <v>0</v>
      </c>
      <c r="O63">
        <f t="shared" si="3"/>
        <v>0</v>
      </c>
      <c r="P63">
        <f t="shared" si="4"/>
        <v>0</v>
      </c>
      <c r="Q63">
        <f t="shared" si="5"/>
        <v>1.93025615149138</v>
      </c>
      <c r="R63">
        <f t="shared" si="6"/>
        <v>0</v>
      </c>
      <c r="S63">
        <f t="shared" si="7"/>
        <v>0</v>
      </c>
      <c r="T63">
        <f t="shared" si="8"/>
        <v>0</v>
      </c>
      <c r="U63" s="52">
        <f t="shared" si="9"/>
        <v>2.59383501193074</v>
      </c>
      <c r="V63">
        <f t="shared" si="10"/>
        <v>0</v>
      </c>
      <c r="W63">
        <f t="shared" si="11"/>
        <v>0</v>
      </c>
      <c r="X63">
        <f t="shared" si="12"/>
        <v>0</v>
      </c>
      <c r="Y63">
        <f t="shared" si="13"/>
        <v>77.923538</v>
      </c>
      <c r="Z63">
        <f t="shared" si="14"/>
        <v>0</v>
      </c>
      <c r="AA63">
        <f t="shared" si="15"/>
        <v>0</v>
      </c>
      <c r="AB63">
        <f t="shared" si="16"/>
        <v>0</v>
      </c>
      <c r="AC63">
        <f t="shared" si="17"/>
        <v>177.968292</v>
      </c>
    </row>
    <row r="64" spans="2:29">
      <c r="B64" s="5">
        <v>45</v>
      </c>
      <c r="C64" s="6">
        <v>76.871323</v>
      </c>
      <c r="D64" s="6">
        <v>177.163223</v>
      </c>
      <c r="E64" s="42">
        <v>0.15</v>
      </c>
      <c r="F64">
        <f t="shared" si="18"/>
        <v>76.2828202712323</v>
      </c>
      <c r="G64">
        <f t="shared" si="19"/>
        <v>175.763532239859</v>
      </c>
      <c r="L64">
        <f t="shared" si="20"/>
        <v>0.588502728767679</v>
      </c>
      <c r="M64">
        <f t="shared" si="21"/>
        <v>1.39969076014114</v>
      </c>
      <c r="N64" s="47">
        <f t="shared" si="2"/>
        <v>0.588502728767679</v>
      </c>
      <c r="O64">
        <f t="shared" si="3"/>
        <v>0</v>
      </c>
      <c r="P64">
        <f t="shared" si="4"/>
        <v>0</v>
      </c>
      <c r="Q64">
        <f t="shared" si="5"/>
        <v>0</v>
      </c>
      <c r="R64">
        <f t="shared" si="6"/>
        <v>1.39969076014114</v>
      </c>
      <c r="S64">
        <f t="shared" si="7"/>
        <v>0</v>
      </c>
      <c r="T64">
        <f t="shared" si="8"/>
        <v>0</v>
      </c>
      <c r="U64" s="52">
        <f t="shared" si="9"/>
        <v>0</v>
      </c>
      <c r="V64">
        <f t="shared" si="10"/>
        <v>76.871323</v>
      </c>
      <c r="W64">
        <f t="shared" si="11"/>
        <v>0</v>
      </c>
      <c r="X64">
        <f t="shared" si="12"/>
        <v>0</v>
      </c>
      <c r="Y64">
        <f t="shared" si="13"/>
        <v>0</v>
      </c>
      <c r="Z64">
        <f t="shared" si="14"/>
        <v>177.163223</v>
      </c>
      <c r="AA64">
        <f t="shared" si="15"/>
        <v>0</v>
      </c>
      <c r="AB64">
        <f t="shared" si="16"/>
        <v>0</v>
      </c>
      <c r="AC64">
        <f t="shared" si="17"/>
        <v>0</v>
      </c>
    </row>
    <row r="65" spans="2:29">
      <c r="B65" s="5">
        <v>46</v>
      </c>
      <c r="C65" s="6">
        <v>76.541885</v>
      </c>
      <c r="D65" s="6">
        <v>177.438126</v>
      </c>
      <c r="E65" s="42">
        <v>0.35</v>
      </c>
      <c r="F65">
        <f t="shared" si="18"/>
        <v>76.488796226301</v>
      </c>
      <c r="G65">
        <f t="shared" si="19"/>
        <v>176.253424005908</v>
      </c>
      <c r="L65">
        <f t="shared" si="20"/>
        <v>0.053088773698974</v>
      </c>
      <c r="M65">
        <f t="shared" si="21"/>
        <v>1.18470199409177</v>
      </c>
      <c r="N65" s="47">
        <f t="shared" si="2"/>
        <v>0</v>
      </c>
      <c r="O65">
        <f t="shared" si="3"/>
        <v>0.053088773698974</v>
      </c>
      <c r="P65">
        <f t="shared" si="4"/>
        <v>0</v>
      </c>
      <c r="Q65">
        <f t="shared" si="5"/>
        <v>0</v>
      </c>
      <c r="R65">
        <f t="shared" si="6"/>
        <v>0</v>
      </c>
      <c r="S65">
        <f t="shared" si="7"/>
        <v>1.18470199409177</v>
      </c>
      <c r="T65">
        <f t="shared" si="8"/>
        <v>0</v>
      </c>
      <c r="U65" s="52">
        <f t="shared" si="9"/>
        <v>0</v>
      </c>
      <c r="V65">
        <f t="shared" si="10"/>
        <v>0</v>
      </c>
      <c r="W65">
        <f t="shared" si="11"/>
        <v>76.541885</v>
      </c>
      <c r="X65">
        <f t="shared" si="12"/>
        <v>0</v>
      </c>
      <c r="Y65">
        <f t="shared" si="13"/>
        <v>0</v>
      </c>
      <c r="Z65">
        <f t="shared" si="14"/>
        <v>0</v>
      </c>
      <c r="AA65">
        <f t="shared" si="15"/>
        <v>177.438126</v>
      </c>
      <c r="AB65">
        <f t="shared" si="16"/>
        <v>0</v>
      </c>
      <c r="AC65">
        <f t="shared" si="17"/>
        <v>0</v>
      </c>
    </row>
    <row r="66" spans="2:29">
      <c r="B66" s="5">
        <v>47</v>
      </c>
      <c r="C66" s="6">
        <v>77.500694</v>
      </c>
      <c r="D66" s="6">
        <v>178.940262</v>
      </c>
      <c r="E66" s="42">
        <v>0.55</v>
      </c>
      <c r="F66">
        <f t="shared" si="18"/>
        <v>76.5179950518355</v>
      </c>
      <c r="G66">
        <f t="shared" si="19"/>
        <v>176.905010102659</v>
      </c>
      <c r="L66">
        <f t="shared" si="20"/>
        <v>0.98269894816454</v>
      </c>
      <c r="M66">
        <f t="shared" si="21"/>
        <v>2.03525189734128</v>
      </c>
      <c r="N66" s="47">
        <f t="shared" si="2"/>
        <v>0</v>
      </c>
      <c r="O66">
        <f t="shared" si="3"/>
        <v>0</v>
      </c>
      <c r="P66">
        <f t="shared" si="4"/>
        <v>0.98269894816454</v>
      </c>
      <c r="Q66">
        <f t="shared" si="5"/>
        <v>0</v>
      </c>
      <c r="R66">
        <f t="shared" si="6"/>
        <v>0</v>
      </c>
      <c r="S66">
        <f t="shared" si="7"/>
        <v>0</v>
      </c>
      <c r="T66">
        <f t="shared" si="8"/>
        <v>2.03525189734128</v>
      </c>
      <c r="U66" s="52">
        <f t="shared" si="9"/>
        <v>0</v>
      </c>
      <c r="V66">
        <f t="shared" si="10"/>
        <v>0</v>
      </c>
      <c r="W66">
        <f t="shared" si="11"/>
        <v>0</v>
      </c>
      <c r="X66">
        <f t="shared" si="12"/>
        <v>77.500694</v>
      </c>
      <c r="Y66">
        <f t="shared" si="13"/>
        <v>0</v>
      </c>
      <c r="Z66">
        <f t="shared" si="14"/>
        <v>0</v>
      </c>
      <c r="AA66">
        <f t="shared" si="15"/>
        <v>0</v>
      </c>
      <c r="AB66">
        <f t="shared" si="16"/>
        <v>178.940262</v>
      </c>
      <c r="AC66">
        <f t="shared" si="17"/>
        <v>0</v>
      </c>
    </row>
    <row r="67" spans="2:29">
      <c r="B67" s="5">
        <v>48</v>
      </c>
      <c r="C67" s="6">
        <v>78.358696</v>
      </c>
      <c r="D67" s="6">
        <v>179.892593</v>
      </c>
      <c r="E67" s="42">
        <v>0.75</v>
      </c>
      <c r="F67">
        <f t="shared" si="18"/>
        <v>77.2550192629589</v>
      </c>
      <c r="G67">
        <f t="shared" si="19"/>
        <v>178.431449025665</v>
      </c>
      <c r="L67">
        <f t="shared" si="20"/>
        <v>1.10367673704114</v>
      </c>
      <c r="M67">
        <f t="shared" si="21"/>
        <v>1.46114397433533</v>
      </c>
      <c r="N67" s="47">
        <f t="shared" si="2"/>
        <v>0</v>
      </c>
      <c r="O67">
        <f t="shared" si="3"/>
        <v>0</v>
      </c>
      <c r="P67">
        <f t="shared" si="4"/>
        <v>0</v>
      </c>
      <c r="Q67">
        <f t="shared" si="5"/>
        <v>1.10367673704114</v>
      </c>
      <c r="R67">
        <f t="shared" si="6"/>
        <v>0</v>
      </c>
      <c r="S67">
        <f t="shared" si="7"/>
        <v>0</v>
      </c>
      <c r="T67">
        <f t="shared" si="8"/>
        <v>0</v>
      </c>
      <c r="U67" s="52">
        <f t="shared" si="9"/>
        <v>1.46114397433533</v>
      </c>
      <c r="V67">
        <f t="shared" si="10"/>
        <v>0</v>
      </c>
      <c r="W67">
        <f t="shared" si="11"/>
        <v>0</v>
      </c>
      <c r="X67">
        <f t="shared" si="12"/>
        <v>0</v>
      </c>
      <c r="Y67">
        <f t="shared" si="13"/>
        <v>78.358696</v>
      </c>
      <c r="Z67">
        <f t="shared" si="14"/>
        <v>0</v>
      </c>
      <c r="AA67">
        <f t="shared" si="15"/>
        <v>0</v>
      </c>
      <c r="AB67">
        <f t="shared" si="16"/>
        <v>0</v>
      </c>
      <c r="AC67">
        <f t="shared" si="17"/>
        <v>179.892593</v>
      </c>
    </row>
    <row r="68" spans="2:29">
      <c r="B68" s="5">
        <v>49</v>
      </c>
      <c r="C68" s="6">
        <v>77.827667</v>
      </c>
      <c r="D68" s="6">
        <v>177.634491</v>
      </c>
      <c r="E68" s="42">
        <v>0.15</v>
      </c>
      <c r="F68">
        <f t="shared" si="18"/>
        <v>77.420570773515</v>
      </c>
      <c r="G68">
        <f t="shared" si="19"/>
        <v>178.650620621815</v>
      </c>
      <c r="L68">
        <f t="shared" si="20"/>
        <v>0.407096226484995</v>
      </c>
      <c r="M68">
        <f t="shared" si="21"/>
        <v>1.01612962181497</v>
      </c>
      <c r="N68" s="47">
        <f t="shared" si="2"/>
        <v>0.407096226484995</v>
      </c>
      <c r="O68">
        <f t="shared" si="3"/>
        <v>0</v>
      </c>
      <c r="P68">
        <f t="shared" si="4"/>
        <v>0</v>
      </c>
      <c r="Q68">
        <f t="shared" si="5"/>
        <v>0</v>
      </c>
      <c r="R68">
        <f t="shared" si="6"/>
        <v>1.01612962181497</v>
      </c>
      <c r="S68">
        <f t="shared" si="7"/>
        <v>0</v>
      </c>
      <c r="T68">
        <f t="shared" si="8"/>
        <v>0</v>
      </c>
      <c r="U68" s="52">
        <f t="shared" si="9"/>
        <v>0</v>
      </c>
      <c r="V68">
        <f t="shared" si="10"/>
        <v>77.827667</v>
      </c>
      <c r="W68">
        <f t="shared" si="11"/>
        <v>0</v>
      </c>
      <c r="X68">
        <f t="shared" si="12"/>
        <v>0</v>
      </c>
      <c r="Y68">
        <f t="shared" si="13"/>
        <v>0</v>
      </c>
      <c r="Z68">
        <f t="shared" si="14"/>
        <v>177.634491</v>
      </c>
      <c r="AA68">
        <f t="shared" si="15"/>
        <v>0</v>
      </c>
      <c r="AB68">
        <f t="shared" si="16"/>
        <v>0</v>
      </c>
      <c r="AC68">
        <f t="shared" si="17"/>
        <v>0</v>
      </c>
    </row>
    <row r="69" spans="2:29">
      <c r="B69" s="5">
        <v>50</v>
      </c>
      <c r="C69" s="6">
        <v>78.105476</v>
      </c>
      <c r="D69" s="6">
        <v>176.770523</v>
      </c>
      <c r="E69" s="42">
        <v>0.35</v>
      </c>
      <c r="F69">
        <f t="shared" si="18"/>
        <v>77.5630544527848</v>
      </c>
      <c r="G69">
        <f t="shared" si="19"/>
        <v>178.29497525418</v>
      </c>
      <c r="L69">
        <f t="shared" si="20"/>
        <v>0.542421547215227</v>
      </c>
      <c r="M69">
        <f t="shared" si="21"/>
        <v>1.52445225417975</v>
      </c>
      <c r="N69" s="47">
        <f t="shared" si="2"/>
        <v>0</v>
      </c>
      <c r="O69">
        <f t="shared" si="3"/>
        <v>0.542421547215227</v>
      </c>
      <c r="P69">
        <f t="shared" si="4"/>
        <v>0</v>
      </c>
      <c r="Q69">
        <f t="shared" si="5"/>
        <v>0</v>
      </c>
      <c r="R69">
        <f t="shared" si="6"/>
        <v>0</v>
      </c>
      <c r="S69">
        <f t="shared" si="7"/>
        <v>1.52445225417975</v>
      </c>
      <c r="T69">
        <f t="shared" si="8"/>
        <v>0</v>
      </c>
      <c r="U69" s="52">
        <f t="shared" si="9"/>
        <v>0</v>
      </c>
      <c r="V69">
        <f t="shared" si="10"/>
        <v>0</v>
      </c>
      <c r="W69">
        <f t="shared" si="11"/>
        <v>78.105476</v>
      </c>
      <c r="X69">
        <f t="shared" si="12"/>
        <v>0</v>
      </c>
      <c r="Y69">
        <f t="shared" si="13"/>
        <v>0</v>
      </c>
      <c r="Z69">
        <f t="shared" si="14"/>
        <v>0</v>
      </c>
      <c r="AA69">
        <f t="shared" si="15"/>
        <v>176.770523</v>
      </c>
      <c r="AB69">
        <f t="shared" si="16"/>
        <v>0</v>
      </c>
      <c r="AC69">
        <f t="shared" si="17"/>
        <v>0</v>
      </c>
    </row>
    <row r="70" spans="2:29">
      <c r="B70" s="5">
        <v>51</v>
      </c>
      <c r="C70" s="6">
        <v>78.481621</v>
      </c>
      <c r="D70" s="6">
        <v>176.309097</v>
      </c>
      <c r="E70" s="42">
        <v>0.55</v>
      </c>
      <c r="F70">
        <f t="shared" si="18"/>
        <v>77.8613863037531</v>
      </c>
      <c r="G70">
        <f t="shared" si="19"/>
        <v>177.456526514381</v>
      </c>
      <c r="L70">
        <f t="shared" si="20"/>
        <v>0.620234696246868</v>
      </c>
      <c r="M70">
        <f t="shared" si="21"/>
        <v>1.14742951438086</v>
      </c>
      <c r="N70" s="47">
        <f t="shared" si="2"/>
        <v>0</v>
      </c>
      <c r="O70">
        <f t="shared" si="3"/>
        <v>0</v>
      </c>
      <c r="P70">
        <f t="shared" si="4"/>
        <v>0.620234696246868</v>
      </c>
      <c r="Q70">
        <f t="shared" si="5"/>
        <v>0</v>
      </c>
      <c r="R70">
        <f t="shared" si="6"/>
        <v>0</v>
      </c>
      <c r="S70">
        <f t="shared" si="7"/>
        <v>0</v>
      </c>
      <c r="T70">
        <f t="shared" si="8"/>
        <v>1.14742951438086</v>
      </c>
      <c r="U70" s="52">
        <f t="shared" si="9"/>
        <v>0</v>
      </c>
      <c r="V70">
        <f t="shared" si="10"/>
        <v>0</v>
      </c>
      <c r="W70">
        <f t="shared" si="11"/>
        <v>0</v>
      </c>
      <c r="X70">
        <f t="shared" si="12"/>
        <v>78.481621</v>
      </c>
      <c r="Y70">
        <f t="shared" si="13"/>
        <v>0</v>
      </c>
      <c r="Z70">
        <f t="shared" si="14"/>
        <v>0</v>
      </c>
      <c r="AA70">
        <f t="shared" si="15"/>
        <v>0</v>
      </c>
      <c r="AB70">
        <f t="shared" si="16"/>
        <v>176.309097</v>
      </c>
      <c r="AC70">
        <f t="shared" si="17"/>
        <v>0</v>
      </c>
    </row>
    <row r="71" spans="2:29">
      <c r="B71" s="5">
        <v>52</v>
      </c>
      <c r="C71" s="6">
        <v>78.25544</v>
      </c>
      <c r="D71" s="6">
        <v>173.903717</v>
      </c>
      <c r="E71" s="42">
        <v>0.75</v>
      </c>
      <c r="F71">
        <f t="shared" si="18"/>
        <v>78.3265623259383</v>
      </c>
      <c r="G71">
        <f t="shared" si="19"/>
        <v>176.595954378595</v>
      </c>
      <c r="L71">
        <f t="shared" si="20"/>
        <v>0.0711223259382905</v>
      </c>
      <c r="M71">
        <f t="shared" si="21"/>
        <v>2.69223737859519</v>
      </c>
      <c r="N71" s="47">
        <f t="shared" si="2"/>
        <v>0</v>
      </c>
      <c r="O71">
        <f t="shared" si="3"/>
        <v>0</v>
      </c>
      <c r="P71">
        <f t="shared" si="4"/>
        <v>0</v>
      </c>
      <c r="Q71">
        <f t="shared" si="5"/>
        <v>0.0711223259382905</v>
      </c>
      <c r="R71">
        <f t="shared" si="6"/>
        <v>0</v>
      </c>
      <c r="S71">
        <f t="shared" si="7"/>
        <v>0</v>
      </c>
      <c r="T71">
        <f t="shared" si="8"/>
        <v>0</v>
      </c>
      <c r="U71" s="52">
        <f t="shared" si="9"/>
        <v>2.69223737859519</v>
      </c>
      <c r="V71">
        <f t="shared" si="10"/>
        <v>0</v>
      </c>
      <c r="W71">
        <f t="shared" si="11"/>
        <v>0</v>
      </c>
      <c r="X71">
        <f t="shared" si="12"/>
        <v>0</v>
      </c>
      <c r="Y71">
        <f t="shared" si="13"/>
        <v>78.25544</v>
      </c>
      <c r="Z71">
        <f t="shared" si="14"/>
        <v>0</v>
      </c>
      <c r="AA71">
        <f t="shared" si="15"/>
        <v>0</v>
      </c>
      <c r="AB71">
        <f t="shared" si="16"/>
        <v>0</v>
      </c>
      <c r="AC71">
        <f t="shared" si="17"/>
        <v>173.903717</v>
      </c>
    </row>
    <row r="72" spans="2:29">
      <c r="B72" s="5">
        <v>53</v>
      </c>
      <c r="C72" s="6">
        <v>75.954315</v>
      </c>
      <c r="D72" s="6">
        <v>170.379089</v>
      </c>
      <c r="E72" s="42">
        <v>0.15</v>
      </c>
      <c r="F72">
        <f t="shared" si="18"/>
        <v>78.3158939770475</v>
      </c>
      <c r="G72">
        <f t="shared" si="19"/>
        <v>176.192118771806</v>
      </c>
      <c r="L72">
        <f t="shared" si="20"/>
        <v>2.36157897704754</v>
      </c>
      <c r="M72">
        <f t="shared" si="21"/>
        <v>5.81302977180593</v>
      </c>
      <c r="N72" s="47">
        <f t="shared" si="2"/>
        <v>2.36157897704754</v>
      </c>
      <c r="O72">
        <f t="shared" si="3"/>
        <v>0</v>
      </c>
      <c r="P72">
        <f t="shared" si="4"/>
        <v>0</v>
      </c>
      <c r="Q72">
        <f t="shared" si="5"/>
        <v>0</v>
      </c>
      <c r="R72">
        <f t="shared" si="6"/>
        <v>5.81302977180593</v>
      </c>
      <c r="S72">
        <f t="shared" si="7"/>
        <v>0</v>
      </c>
      <c r="T72">
        <f t="shared" si="8"/>
        <v>0</v>
      </c>
      <c r="U72" s="52">
        <f t="shared" si="9"/>
        <v>0</v>
      </c>
      <c r="V72">
        <f t="shared" si="10"/>
        <v>75.954315</v>
      </c>
      <c r="W72">
        <f t="shared" si="11"/>
        <v>0</v>
      </c>
      <c r="X72">
        <f t="shared" si="12"/>
        <v>0</v>
      </c>
      <c r="Y72">
        <f t="shared" si="13"/>
        <v>0</v>
      </c>
      <c r="Z72">
        <f t="shared" si="14"/>
        <v>170.379089</v>
      </c>
      <c r="AA72">
        <f t="shared" si="15"/>
        <v>0</v>
      </c>
      <c r="AB72">
        <f t="shared" si="16"/>
        <v>0</v>
      </c>
      <c r="AC72">
        <f t="shared" si="17"/>
        <v>0</v>
      </c>
    </row>
    <row r="73" spans="2:29">
      <c r="B73" s="5">
        <v>54</v>
      </c>
      <c r="C73" s="6">
        <v>78.103012</v>
      </c>
      <c r="D73" s="6">
        <v>172.264145</v>
      </c>
      <c r="E73" s="42">
        <v>0.35</v>
      </c>
      <c r="F73">
        <f t="shared" si="18"/>
        <v>77.4893413350809</v>
      </c>
      <c r="G73">
        <f t="shared" si="19"/>
        <v>174.157558351674</v>
      </c>
      <c r="L73">
        <f t="shared" si="20"/>
        <v>0.613670664919113</v>
      </c>
      <c r="M73">
        <f t="shared" si="21"/>
        <v>1.89341335167384</v>
      </c>
      <c r="N73" s="47">
        <f t="shared" si="2"/>
        <v>0</v>
      </c>
      <c r="O73">
        <f t="shared" si="3"/>
        <v>0.613670664919113</v>
      </c>
      <c r="P73">
        <f t="shared" si="4"/>
        <v>0</v>
      </c>
      <c r="Q73">
        <f t="shared" si="5"/>
        <v>0</v>
      </c>
      <c r="R73">
        <f t="shared" si="6"/>
        <v>0</v>
      </c>
      <c r="S73">
        <f t="shared" si="7"/>
        <v>1.89341335167384</v>
      </c>
      <c r="T73">
        <f t="shared" si="8"/>
        <v>0</v>
      </c>
      <c r="U73" s="52">
        <f t="shared" si="9"/>
        <v>0</v>
      </c>
      <c r="V73">
        <f t="shared" si="10"/>
        <v>0</v>
      </c>
      <c r="W73">
        <f t="shared" si="11"/>
        <v>78.103012</v>
      </c>
      <c r="X73">
        <f t="shared" si="12"/>
        <v>0</v>
      </c>
      <c r="Y73">
        <f t="shared" si="13"/>
        <v>0</v>
      </c>
      <c r="Z73">
        <f t="shared" si="14"/>
        <v>0</v>
      </c>
      <c r="AA73">
        <f t="shared" si="15"/>
        <v>172.264145</v>
      </c>
      <c r="AB73">
        <f t="shared" si="16"/>
        <v>0</v>
      </c>
      <c r="AC73">
        <f t="shared" si="17"/>
        <v>0</v>
      </c>
    </row>
    <row r="74" spans="2:29">
      <c r="B74" s="5">
        <v>55</v>
      </c>
      <c r="C74" s="6">
        <v>79.7379</v>
      </c>
      <c r="D74" s="6">
        <v>172.470306</v>
      </c>
      <c r="E74" s="42">
        <v>0.55</v>
      </c>
      <c r="F74">
        <f t="shared" si="18"/>
        <v>77.8268602007864</v>
      </c>
      <c r="G74">
        <f t="shared" si="19"/>
        <v>173.116181008253</v>
      </c>
      <c r="L74">
        <f t="shared" si="20"/>
        <v>1.9110397992136</v>
      </c>
      <c r="M74">
        <f t="shared" si="21"/>
        <v>0.645875008253256</v>
      </c>
      <c r="N74" s="47">
        <f t="shared" si="2"/>
        <v>0</v>
      </c>
      <c r="O74">
        <f t="shared" si="3"/>
        <v>0</v>
      </c>
      <c r="P74">
        <f t="shared" si="4"/>
        <v>1.9110397992136</v>
      </c>
      <c r="Q74">
        <f t="shared" si="5"/>
        <v>0</v>
      </c>
      <c r="R74">
        <f t="shared" si="6"/>
        <v>0</v>
      </c>
      <c r="S74">
        <f t="shared" si="7"/>
        <v>0</v>
      </c>
      <c r="T74">
        <f t="shared" si="8"/>
        <v>0.645875008253256</v>
      </c>
      <c r="U74" s="52">
        <f t="shared" si="9"/>
        <v>0</v>
      </c>
      <c r="V74">
        <f t="shared" si="10"/>
        <v>0</v>
      </c>
      <c r="W74">
        <f t="shared" si="11"/>
        <v>0</v>
      </c>
      <c r="X74">
        <f t="shared" si="12"/>
        <v>79.7379</v>
      </c>
      <c r="Y74">
        <f t="shared" si="13"/>
        <v>0</v>
      </c>
      <c r="Z74">
        <f t="shared" si="14"/>
        <v>0</v>
      </c>
      <c r="AA74">
        <f t="shared" si="15"/>
        <v>0</v>
      </c>
      <c r="AB74">
        <f t="shared" si="16"/>
        <v>172.470306</v>
      </c>
      <c r="AC74">
        <f t="shared" si="17"/>
        <v>0</v>
      </c>
    </row>
    <row r="75" spans="2:29">
      <c r="B75" s="5">
        <v>56</v>
      </c>
      <c r="C75" s="6">
        <v>79.622337</v>
      </c>
      <c r="D75" s="6">
        <v>175.09166</v>
      </c>
      <c r="E75" s="42">
        <v>0.75</v>
      </c>
      <c r="F75">
        <f t="shared" si="18"/>
        <v>79.2601400501966</v>
      </c>
      <c r="G75">
        <f t="shared" si="19"/>
        <v>172.631774752063</v>
      </c>
      <c r="L75">
        <f t="shared" si="20"/>
        <v>0.362196949803405</v>
      </c>
      <c r="M75">
        <f t="shared" si="21"/>
        <v>2.45988524793665</v>
      </c>
      <c r="N75" s="47">
        <f t="shared" si="2"/>
        <v>0</v>
      </c>
      <c r="O75">
        <f t="shared" si="3"/>
        <v>0</v>
      </c>
      <c r="P75">
        <f t="shared" si="4"/>
        <v>0</v>
      </c>
      <c r="Q75">
        <f t="shared" si="5"/>
        <v>0.362196949803405</v>
      </c>
      <c r="R75">
        <f t="shared" si="6"/>
        <v>0</v>
      </c>
      <c r="S75">
        <f t="shared" si="7"/>
        <v>0</v>
      </c>
      <c r="T75">
        <f t="shared" si="8"/>
        <v>0</v>
      </c>
      <c r="U75" s="52">
        <f t="shared" si="9"/>
        <v>2.45988524793665</v>
      </c>
      <c r="V75">
        <f t="shared" si="10"/>
        <v>0</v>
      </c>
      <c r="W75">
        <f t="shared" si="11"/>
        <v>0</v>
      </c>
      <c r="X75">
        <f t="shared" si="12"/>
        <v>0</v>
      </c>
      <c r="Y75">
        <f t="shared" si="13"/>
        <v>79.622337</v>
      </c>
      <c r="Z75">
        <f t="shared" si="14"/>
        <v>0</v>
      </c>
      <c r="AA75">
        <f t="shared" si="15"/>
        <v>0</v>
      </c>
      <c r="AB75">
        <f t="shared" si="16"/>
        <v>0</v>
      </c>
      <c r="AC75">
        <f t="shared" si="17"/>
        <v>175.09166</v>
      </c>
    </row>
    <row r="76" spans="2:29">
      <c r="B76" s="5">
        <v>57</v>
      </c>
      <c r="C76" s="6">
        <v>76.091995</v>
      </c>
      <c r="D76" s="6">
        <v>170.064926</v>
      </c>
      <c r="E76" s="42">
        <v>0.15</v>
      </c>
      <c r="F76">
        <f t="shared" si="18"/>
        <v>79.3144695926671</v>
      </c>
      <c r="G76">
        <f t="shared" si="19"/>
        <v>173.000757539254</v>
      </c>
      <c r="L76">
        <f t="shared" si="20"/>
        <v>3.22247459266711</v>
      </c>
      <c r="M76">
        <f t="shared" si="21"/>
        <v>2.9358315392538</v>
      </c>
      <c r="N76" s="47">
        <f t="shared" si="2"/>
        <v>3.22247459266711</v>
      </c>
      <c r="O76">
        <f t="shared" si="3"/>
        <v>0</v>
      </c>
      <c r="P76">
        <f t="shared" si="4"/>
        <v>0</v>
      </c>
      <c r="Q76">
        <f t="shared" si="5"/>
        <v>0</v>
      </c>
      <c r="R76">
        <f t="shared" si="6"/>
        <v>2.9358315392538</v>
      </c>
      <c r="S76">
        <f t="shared" si="7"/>
        <v>0</v>
      </c>
      <c r="T76">
        <f t="shared" si="8"/>
        <v>0</v>
      </c>
      <c r="U76" s="52">
        <f t="shared" si="9"/>
        <v>0</v>
      </c>
      <c r="V76">
        <f t="shared" si="10"/>
        <v>76.091995</v>
      </c>
      <c r="W76">
        <f t="shared" si="11"/>
        <v>0</v>
      </c>
      <c r="X76">
        <f t="shared" si="12"/>
        <v>0</v>
      </c>
      <c r="Y76">
        <f t="shared" si="13"/>
        <v>0</v>
      </c>
      <c r="Z76">
        <f t="shared" si="14"/>
        <v>170.064926</v>
      </c>
      <c r="AA76">
        <f t="shared" si="15"/>
        <v>0</v>
      </c>
      <c r="AB76">
        <f t="shared" si="16"/>
        <v>0</v>
      </c>
      <c r="AC76">
        <f t="shared" si="17"/>
        <v>0</v>
      </c>
    </row>
    <row r="77" spans="2:29">
      <c r="B77" s="5">
        <v>58</v>
      </c>
      <c r="C77" s="6">
        <v>75.883018</v>
      </c>
      <c r="D77" s="6">
        <v>168.199554</v>
      </c>
      <c r="E77" s="42">
        <v>0.35</v>
      </c>
      <c r="F77">
        <f t="shared" si="18"/>
        <v>78.1866034852336</v>
      </c>
      <c r="G77">
        <f t="shared" si="19"/>
        <v>171.973216500515</v>
      </c>
      <c r="L77">
        <f t="shared" si="20"/>
        <v>2.30358548523361</v>
      </c>
      <c r="M77">
        <f t="shared" si="21"/>
        <v>3.77366250051497</v>
      </c>
      <c r="N77" s="47">
        <f t="shared" si="2"/>
        <v>0</v>
      </c>
      <c r="O77">
        <f t="shared" si="3"/>
        <v>2.30358548523361</v>
      </c>
      <c r="P77">
        <f t="shared" si="4"/>
        <v>0</v>
      </c>
      <c r="Q77">
        <f t="shared" si="5"/>
        <v>0</v>
      </c>
      <c r="R77">
        <f t="shared" si="6"/>
        <v>0</v>
      </c>
      <c r="S77">
        <f t="shared" si="7"/>
        <v>3.77366250051497</v>
      </c>
      <c r="T77">
        <f t="shared" si="8"/>
        <v>0</v>
      </c>
      <c r="U77" s="52">
        <f t="shared" si="9"/>
        <v>0</v>
      </c>
      <c r="V77">
        <f t="shared" si="10"/>
        <v>0</v>
      </c>
      <c r="W77">
        <f t="shared" si="11"/>
        <v>75.883018</v>
      </c>
      <c r="X77">
        <f t="shared" si="12"/>
        <v>0</v>
      </c>
      <c r="Y77">
        <f t="shared" si="13"/>
        <v>0</v>
      </c>
      <c r="Z77">
        <f t="shared" si="14"/>
        <v>0</v>
      </c>
      <c r="AA77">
        <f t="shared" si="15"/>
        <v>168.199554</v>
      </c>
      <c r="AB77">
        <f t="shared" si="16"/>
        <v>0</v>
      </c>
      <c r="AC77">
        <f t="shared" si="17"/>
        <v>0</v>
      </c>
    </row>
    <row r="78" spans="2:29">
      <c r="B78" s="5">
        <v>59</v>
      </c>
      <c r="C78" s="6">
        <v>78.388199</v>
      </c>
      <c r="D78" s="6">
        <v>172.018692</v>
      </c>
      <c r="E78" s="42">
        <v>0.55</v>
      </c>
      <c r="F78">
        <f t="shared" si="18"/>
        <v>76.9196314683551</v>
      </c>
      <c r="G78">
        <f t="shared" si="19"/>
        <v>169.897702125232</v>
      </c>
      <c r="L78">
        <f t="shared" si="20"/>
        <v>1.46856753164487</v>
      </c>
      <c r="M78">
        <f t="shared" si="21"/>
        <v>2.12098987476824</v>
      </c>
      <c r="N78" s="47">
        <f t="shared" si="2"/>
        <v>0</v>
      </c>
      <c r="O78">
        <f t="shared" si="3"/>
        <v>0</v>
      </c>
      <c r="P78">
        <f t="shared" si="4"/>
        <v>1.46856753164487</v>
      </c>
      <c r="Q78">
        <f t="shared" si="5"/>
        <v>0</v>
      </c>
      <c r="R78">
        <f t="shared" si="6"/>
        <v>0</v>
      </c>
      <c r="S78">
        <f t="shared" si="7"/>
        <v>0</v>
      </c>
      <c r="T78">
        <f t="shared" si="8"/>
        <v>2.12098987476824</v>
      </c>
      <c r="U78" s="52">
        <f t="shared" si="9"/>
        <v>0</v>
      </c>
      <c r="V78">
        <f t="shared" si="10"/>
        <v>0</v>
      </c>
      <c r="W78">
        <f t="shared" si="11"/>
        <v>0</v>
      </c>
      <c r="X78">
        <f t="shared" si="12"/>
        <v>78.388199</v>
      </c>
      <c r="Y78">
        <f t="shared" si="13"/>
        <v>0</v>
      </c>
      <c r="Z78">
        <f t="shared" si="14"/>
        <v>0</v>
      </c>
      <c r="AA78">
        <f t="shared" si="15"/>
        <v>0</v>
      </c>
      <c r="AB78">
        <f t="shared" si="16"/>
        <v>172.018692</v>
      </c>
      <c r="AC78">
        <f t="shared" si="17"/>
        <v>0</v>
      </c>
    </row>
    <row r="79" spans="2:29">
      <c r="B79" s="5">
        <v>60</v>
      </c>
      <c r="C79" s="6">
        <v>79.027405</v>
      </c>
      <c r="D79" s="6">
        <v>173.677887</v>
      </c>
      <c r="E79" s="42">
        <v>0.75</v>
      </c>
      <c r="F79">
        <f t="shared" si="18"/>
        <v>78.0210571170888</v>
      </c>
      <c r="G79">
        <f t="shared" si="19"/>
        <v>171.488444531308</v>
      </c>
      <c r="L79">
        <f t="shared" si="20"/>
        <v>1.00634788291121</v>
      </c>
      <c r="M79">
        <f t="shared" si="21"/>
        <v>2.18944246869208</v>
      </c>
      <c r="N79" s="47">
        <f t="shared" si="2"/>
        <v>0</v>
      </c>
      <c r="O79">
        <f t="shared" si="3"/>
        <v>0</v>
      </c>
      <c r="P79">
        <f t="shared" si="4"/>
        <v>0</v>
      </c>
      <c r="Q79">
        <f t="shared" si="5"/>
        <v>1.00634788291121</v>
      </c>
      <c r="R79">
        <f t="shared" si="6"/>
        <v>0</v>
      </c>
      <c r="S79">
        <f t="shared" si="7"/>
        <v>0</v>
      </c>
      <c r="T79">
        <f t="shared" si="8"/>
        <v>0</v>
      </c>
      <c r="U79" s="52">
        <f t="shared" si="9"/>
        <v>2.18944246869208</v>
      </c>
      <c r="V79">
        <f t="shared" si="10"/>
        <v>0</v>
      </c>
      <c r="W79">
        <f t="shared" si="11"/>
        <v>0</v>
      </c>
      <c r="X79">
        <f t="shared" si="12"/>
        <v>0</v>
      </c>
      <c r="Y79">
        <f t="shared" si="13"/>
        <v>79.027405</v>
      </c>
      <c r="Z79">
        <f t="shared" si="14"/>
        <v>0</v>
      </c>
      <c r="AA79">
        <f t="shared" si="15"/>
        <v>0</v>
      </c>
      <c r="AB79">
        <f t="shared" si="16"/>
        <v>0</v>
      </c>
      <c r="AC79">
        <f t="shared" si="17"/>
        <v>173.677887</v>
      </c>
    </row>
    <row r="80" spans="2:29">
      <c r="B80" s="5">
        <v>61</v>
      </c>
      <c r="C80" s="6">
        <v>79.951775</v>
      </c>
      <c r="D80" s="6">
        <v>173.137924</v>
      </c>
      <c r="E80" s="42">
        <v>0.15</v>
      </c>
      <c r="F80">
        <f t="shared" si="18"/>
        <v>78.1720092995255</v>
      </c>
      <c r="G80">
        <f t="shared" si="19"/>
        <v>171.816860901612</v>
      </c>
      <c r="L80">
        <f t="shared" si="20"/>
        <v>1.77976570047453</v>
      </c>
      <c r="M80">
        <f t="shared" si="21"/>
        <v>1.32106309838827</v>
      </c>
      <c r="N80" s="47">
        <f t="shared" si="2"/>
        <v>1.77976570047453</v>
      </c>
      <c r="O80">
        <f t="shared" si="3"/>
        <v>0</v>
      </c>
      <c r="P80">
        <f t="shared" si="4"/>
        <v>0</v>
      </c>
      <c r="Q80">
        <f t="shared" si="5"/>
        <v>0</v>
      </c>
      <c r="R80">
        <f t="shared" si="6"/>
        <v>1.32106309838827</v>
      </c>
      <c r="S80">
        <f t="shared" si="7"/>
        <v>0</v>
      </c>
      <c r="T80">
        <f t="shared" si="8"/>
        <v>0</v>
      </c>
      <c r="U80" s="52">
        <f t="shared" si="9"/>
        <v>0</v>
      </c>
      <c r="V80">
        <f t="shared" si="10"/>
        <v>79.951775</v>
      </c>
      <c r="W80">
        <f t="shared" si="11"/>
        <v>0</v>
      </c>
      <c r="X80">
        <f t="shared" si="12"/>
        <v>0</v>
      </c>
      <c r="Y80">
        <f t="shared" si="13"/>
        <v>0</v>
      </c>
      <c r="Z80">
        <f t="shared" si="14"/>
        <v>173.137924</v>
      </c>
      <c r="AA80">
        <f t="shared" si="15"/>
        <v>0</v>
      </c>
      <c r="AB80">
        <f t="shared" si="16"/>
        <v>0</v>
      </c>
      <c r="AC80">
        <f t="shared" si="17"/>
        <v>0</v>
      </c>
    </row>
    <row r="81" spans="2:29">
      <c r="B81" s="5">
        <v>62</v>
      </c>
      <c r="C81" s="6">
        <v>78.865021</v>
      </c>
      <c r="D81" s="6">
        <v>172.087387</v>
      </c>
      <c r="E81" s="42">
        <v>0.35</v>
      </c>
      <c r="F81">
        <f t="shared" si="18"/>
        <v>78.7949272946915</v>
      </c>
      <c r="G81">
        <f t="shared" si="19"/>
        <v>172.279232986048</v>
      </c>
      <c r="L81">
        <f t="shared" si="20"/>
        <v>0.0700937053084516</v>
      </c>
      <c r="M81">
        <f t="shared" si="21"/>
        <v>0.191845986047639</v>
      </c>
      <c r="N81" s="47">
        <f t="shared" si="2"/>
        <v>0</v>
      </c>
      <c r="O81">
        <f t="shared" si="3"/>
        <v>0.0700937053084516</v>
      </c>
      <c r="P81">
        <f t="shared" si="4"/>
        <v>0</v>
      </c>
      <c r="Q81">
        <f t="shared" si="5"/>
        <v>0</v>
      </c>
      <c r="R81">
        <f t="shared" si="6"/>
        <v>0</v>
      </c>
      <c r="S81">
        <f t="shared" si="7"/>
        <v>0.191845986047639</v>
      </c>
      <c r="T81">
        <f t="shared" si="8"/>
        <v>0</v>
      </c>
      <c r="U81" s="52">
        <f t="shared" si="9"/>
        <v>0</v>
      </c>
      <c r="V81">
        <f t="shared" si="10"/>
        <v>0</v>
      </c>
      <c r="W81">
        <f t="shared" si="11"/>
        <v>78.865021</v>
      </c>
      <c r="X81">
        <f t="shared" si="12"/>
        <v>0</v>
      </c>
      <c r="Y81">
        <f t="shared" si="13"/>
        <v>0</v>
      </c>
      <c r="Z81">
        <f t="shared" si="14"/>
        <v>0</v>
      </c>
      <c r="AA81">
        <f t="shared" si="15"/>
        <v>172.087387</v>
      </c>
      <c r="AB81">
        <f t="shared" si="16"/>
        <v>0</v>
      </c>
      <c r="AC81">
        <f t="shared" si="17"/>
        <v>0</v>
      </c>
    </row>
    <row r="82" spans="2:29">
      <c r="B82" s="5">
        <v>63</v>
      </c>
      <c r="C82" s="6">
        <v>79.239594</v>
      </c>
      <c r="D82" s="6">
        <v>173.72699</v>
      </c>
      <c r="E82" s="42">
        <v>0.55</v>
      </c>
      <c r="F82">
        <f t="shared" si="18"/>
        <v>78.8334788326112</v>
      </c>
      <c r="G82">
        <f t="shared" si="19"/>
        <v>172.173717693721</v>
      </c>
      <c r="L82">
        <f t="shared" si="20"/>
        <v>0.406115167388805</v>
      </c>
      <c r="M82">
        <f t="shared" si="21"/>
        <v>1.55327230627856</v>
      </c>
      <c r="N82" s="47">
        <f t="shared" si="2"/>
        <v>0</v>
      </c>
      <c r="O82">
        <f t="shared" si="3"/>
        <v>0</v>
      </c>
      <c r="P82">
        <f t="shared" si="4"/>
        <v>0.406115167388805</v>
      </c>
      <c r="Q82">
        <f t="shared" si="5"/>
        <v>0</v>
      </c>
      <c r="R82">
        <f t="shared" si="6"/>
        <v>0</v>
      </c>
      <c r="S82">
        <f t="shared" si="7"/>
        <v>0</v>
      </c>
      <c r="T82">
        <f t="shared" si="8"/>
        <v>1.55327230627856</v>
      </c>
      <c r="U82" s="52">
        <f t="shared" si="9"/>
        <v>0</v>
      </c>
      <c r="V82">
        <f t="shared" si="10"/>
        <v>0</v>
      </c>
      <c r="W82">
        <f t="shared" si="11"/>
        <v>0</v>
      </c>
      <c r="X82">
        <f t="shared" si="12"/>
        <v>79.239594</v>
      </c>
      <c r="Y82">
        <f t="shared" si="13"/>
        <v>0</v>
      </c>
      <c r="Z82">
        <f t="shared" si="14"/>
        <v>0</v>
      </c>
      <c r="AA82">
        <f t="shared" si="15"/>
        <v>0</v>
      </c>
      <c r="AB82">
        <f t="shared" si="16"/>
        <v>173.72699</v>
      </c>
      <c r="AC82">
        <f t="shared" si="17"/>
        <v>0</v>
      </c>
    </row>
    <row r="83" spans="2:29">
      <c r="B83" s="5">
        <v>64</v>
      </c>
      <c r="C83" s="6">
        <v>78.76152</v>
      </c>
      <c r="D83" s="6">
        <v>175.886917</v>
      </c>
      <c r="E83" s="42">
        <v>0.75</v>
      </c>
      <c r="F83">
        <f t="shared" si="18"/>
        <v>79.1380652081528</v>
      </c>
      <c r="G83">
        <f t="shared" si="19"/>
        <v>173.33867192343</v>
      </c>
      <c r="L83">
        <f t="shared" si="20"/>
        <v>0.376545208152791</v>
      </c>
      <c r="M83">
        <f t="shared" si="21"/>
        <v>2.54824507656966</v>
      </c>
      <c r="N83" s="47">
        <f t="shared" si="2"/>
        <v>0</v>
      </c>
      <c r="O83">
        <f t="shared" si="3"/>
        <v>0</v>
      </c>
      <c r="P83">
        <f t="shared" si="4"/>
        <v>0</v>
      </c>
      <c r="Q83">
        <f t="shared" si="5"/>
        <v>0.376545208152791</v>
      </c>
      <c r="R83">
        <f t="shared" si="6"/>
        <v>0</v>
      </c>
      <c r="S83">
        <f t="shared" si="7"/>
        <v>0</v>
      </c>
      <c r="T83">
        <f t="shared" si="8"/>
        <v>0</v>
      </c>
      <c r="U83" s="52">
        <f t="shared" si="9"/>
        <v>2.54824507656966</v>
      </c>
      <c r="V83">
        <f t="shared" si="10"/>
        <v>0</v>
      </c>
      <c r="W83">
        <f t="shared" si="11"/>
        <v>0</v>
      </c>
      <c r="X83">
        <f t="shared" si="12"/>
        <v>0</v>
      </c>
      <c r="Y83">
        <f t="shared" si="13"/>
        <v>78.76152</v>
      </c>
      <c r="Z83">
        <f t="shared" si="14"/>
        <v>0</v>
      </c>
      <c r="AA83">
        <f t="shared" si="15"/>
        <v>0</v>
      </c>
      <c r="AB83">
        <f t="shared" si="16"/>
        <v>0</v>
      </c>
      <c r="AC83">
        <f t="shared" si="17"/>
        <v>175.886917</v>
      </c>
    </row>
    <row r="84" spans="2:29">
      <c r="B84" s="5">
        <v>65</v>
      </c>
      <c r="C84" s="6">
        <v>80.631927</v>
      </c>
      <c r="D84" s="6">
        <v>177.879929</v>
      </c>
      <c r="E84" s="42">
        <v>0.15</v>
      </c>
      <c r="F84">
        <f t="shared" si="18"/>
        <v>79.0815834269299</v>
      </c>
      <c r="G84">
        <f t="shared" si="19"/>
        <v>173.720908684916</v>
      </c>
      <c r="L84">
        <f t="shared" si="20"/>
        <v>1.55034357307014</v>
      </c>
      <c r="M84">
        <f t="shared" si="21"/>
        <v>4.15902031508421</v>
      </c>
      <c r="N84" s="47">
        <f t="shared" si="2"/>
        <v>1.55034357307014</v>
      </c>
      <c r="O84">
        <f t="shared" si="3"/>
        <v>0</v>
      </c>
      <c r="P84">
        <f t="shared" si="4"/>
        <v>0</v>
      </c>
      <c r="Q84">
        <f t="shared" si="5"/>
        <v>0</v>
      </c>
      <c r="R84">
        <f t="shared" si="6"/>
        <v>4.15902031508421</v>
      </c>
      <c r="S84">
        <f t="shared" si="7"/>
        <v>0</v>
      </c>
      <c r="T84">
        <f t="shared" si="8"/>
        <v>0</v>
      </c>
      <c r="U84" s="52">
        <f t="shared" si="9"/>
        <v>0</v>
      </c>
      <c r="V84">
        <f t="shared" si="10"/>
        <v>80.631927</v>
      </c>
      <c r="W84">
        <f t="shared" si="11"/>
        <v>0</v>
      </c>
      <c r="X84">
        <f t="shared" si="12"/>
        <v>0</v>
      </c>
      <c r="Y84">
        <f t="shared" si="13"/>
        <v>0</v>
      </c>
      <c r="Z84">
        <f t="shared" si="14"/>
        <v>177.879929</v>
      </c>
      <c r="AA84">
        <f t="shared" si="15"/>
        <v>0</v>
      </c>
      <c r="AB84">
        <f t="shared" si="16"/>
        <v>0</v>
      </c>
      <c r="AC84">
        <f t="shared" si="17"/>
        <v>0</v>
      </c>
    </row>
    <row r="85" spans="2:29">
      <c r="B85" s="5">
        <v>66</v>
      </c>
      <c r="C85" s="6">
        <v>80.057739</v>
      </c>
      <c r="D85" s="6">
        <v>176.839249</v>
      </c>
      <c r="E85" s="42">
        <v>0.35</v>
      </c>
      <c r="F85">
        <f t="shared" si="18"/>
        <v>79.6242036775044</v>
      </c>
      <c r="G85">
        <f t="shared" si="19"/>
        <v>175.176565795195</v>
      </c>
      <c r="L85">
        <f t="shared" si="20"/>
        <v>0.433535322495572</v>
      </c>
      <c r="M85">
        <f t="shared" si="21"/>
        <v>1.66268320480472</v>
      </c>
      <c r="N85" s="47">
        <f t="shared" ref="N85:N148" si="22">IF(E85=0.15,L85,0)</f>
        <v>0</v>
      </c>
      <c r="O85">
        <f t="shared" ref="O85:O148" si="23">IF(E85=0.35,L85,0)</f>
        <v>0.433535322495572</v>
      </c>
      <c r="P85">
        <f t="shared" ref="P85:P148" si="24">IF(E85=0.55,L85,0)</f>
        <v>0</v>
      </c>
      <c r="Q85">
        <f t="shared" ref="Q85:Q148" si="25">IF(E85=0.75,L85,0)</f>
        <v>0</v>
      </c>
      <c r="R85">
        <f t="shared" ref="R85:R148" si="26">IF(E85=0.15,M85,0)</f>
        <v>0</v>
      </c>
      <c r="S85">
        <f t="shared" ref="S85:S148" si="27">IF(E85=0.35,M85,0)</f>
        <v>1.66268320480472</v>
      </c>
      <c r="T85">
        <f t="shared" ref="T85:T148" si="28">IF(E85=0.55,M85,0)</f>
        <v>0</v>
      </c>
      <c r="U85" s="52">
        <f t="shared" ref="U85:U148" si="29">IF(E85=0.75,M85,0)</f>
        <v>0</v>
      </c>
      <c r="V85">
        <f t="shared" ref="V85:V148" si="30">IF(E85=0.15,C85,0)</f>
        <v>0</v>
      </c>
      <c r="W85">
        <f t="shared" ref="W85:W148" si="31">IF(E85=0.35,C85,0)</f>
        <v>80.057739</v>
      </c>
      <c r="X85">
        <f t="shared" ref="X85:X148" si="32">IF(E85=0.55,C85,0)</f>
        <v>0</v>
      </c>
      <c r="Y85">
        <f t="shared" ref="Y85:Y148" si="33">IF(E85=0.75,C85,0)</f>
        <v>0</v>
      </c>
      <c r="Z85">
        <f t="shared" ref="Z85:Z148" si="34">IF(E85=0.15,D85,0)</f>
        <v>0</v>
      </c>
      <c r="AA85">
        <f t="shared" ref="AA85:AA148" si="35">IF(E85=0.35,D85,0)</f>
        <v>176.839249</v>
      </c>
      <c r="AB85">
        <f t="shared" ref="AB85:AB148" si="36">IF(E85=0.55,D85,0)</f>
        <v>0</v>
      </c>
      <c r="AC85">
        <f t="shared" ref="AC85:AC148" si="37">IF(E85=0.75,D85,0)</f>
        <v>0</v>
      </c>
    </row>
    <row r="86" spans="2:29">
      <c r="B86" s="5">
        <v>67</v>
      </c>
      <c r="C86" s="6">
        <v>80.077461</v>
      </c>
      <c r="D86" s="6">
        <v>177.516693</v>
      </c>
      <c r="E86" s="42">
        <v>0.55</v>
      </c>
      <c r="F86">
        <f t="shared" ref="F86:F149" si="38">(E86*C85)+((1-E86)*F85)</f>
        <v>79.862648104877</v>
      </c>
      <c r="G86">
        <f t="shared" ref="G86:G149" si="39">(E86*D85)+((1-E86)*G85)</f>
        <v>176.091041557838</v>
      </c>
      <c r="L86">
        <f t="shared" si="20"/>
        <v>0.214812895123003</v>
      </c>
      <c r="M86">
        <f t="shared" si="21"/>
        <v>1.42565144216215</v>
      </c>
      <c r="N86" s="47">
        <f t="shared" si="22"/>
        <v>0</v>
      </c>
      <c r="O86">
        <f t="shared" si="23"/>
        <v>0</v>
      </c>
      <c r="P86">
        <f t="shared" si="24"/>
        <v>0.214812895123003</v>
      </c>
      <c r="Q86">
        <f t="shared" si="25"/>
        <v>0</v>
      </c>
      <c r="R86">
        <f t="shared" si="26"/>
        <v>0</v>
      </c>
      <c r="S86">
        <f t="shared" si="27"/>
        <v>0</v>
      </c>
      <c r="T86">
        <f t="shared" si="28"/>
        <v>1.42565144216215</v>
      </c>
      <c r="U86" s="52">
        <f t="shared" si="29"/>
        <v>0</v>
      </c>
      <c r="V86">
        <f t="shared" si="30"/>
        <v>0</v>
      </c>
      <c r="W86">
        <f t="shared" si="31"/>
        <v>0</v>
      </c>
      <c r="X86">
        <f t="shared" si="32"/>
        <v>80.077461</v>
      </c>
      <c r="Y86">
        <f t="shared" si="33"/>
        <v>0</v>
      </c>
      <c r="Z86">
        <f t="shared" si="34"/>
        <v>0</v>
      </c>
      <c r="AA86">
        <f t="shared" si="35"/>
        <v>0</v>
      </c>
      <c r="AB86">
        <f t="shared" si="36"/>
        <v>177.516693</v>
      </c>
      <c r="AC86">
        <f t="shared" si="37"/>
        <v>0</v>
      </c>
    </row>
    <row r="87" spans="2:29">
      <c r="B87" s="5">
        <v>68</v>
      </c>
      <c r="C87" s="6">
        <v>78.611198</v>
      </c>
      <c r="D87" s="6">
        <v>176.151993</v>
      </c>
      <c r="E87" s="42">
        <v>0.75</v>
      </c>
      <c r="F87">
        <f t="shared" si="38"/>
        <v>80.0237577762192</v>
      </c>
      <c r="G87">
        <f t="shared" si="39"/>
        <v>177.160280139459</v>
      </c>
      <c r="L87">
        <f t="shared" ref="L87:L150" si="40">ABS(C87-F87)</f>
        <v>1.41255977621924</v>
      </c>
      <c r="M87">
        <f t="shared" ref="M87:M150" si="41">ABS(D87-G87)</f>
        <v>1.00828713945947</v>
      </c>
      <c r="N87" s="47">
        <f t="shared" si="22"/>
        <v>0</v>
      </c>
      <c r="O87">
        <f t="shared" si="23"/>
        <v>0</v>
      </c>
      <c r="P87">
        <f t="shared" si="24"/>
        <v>0</v>
      </c>
      <c r="Q87">
        <f t="shared" si="25"/>
        <v>1.41255977621924</v>
      </c>
      <c r="R87">
        <f t="shared" si="26"/>
        <v>0</v>
      </c>
      <c r="S87">
        <f t="shared" si="27"/>
        <v>0</v>
      </c>
      <c r="T87">
        <f t="shared" si="28"/>
        <v>0</v>
      </c>
      <c r="U87" s="52">
        <f t="shared" si="29"/>
        <v>1.00828713945947</v>
      </c>
      <c r="V87">
        <f t="shared" si="30"/>
        <v>0</v>
      </c>
      <c r="W87">
        <f t="shared" si="31"/>
        <v>0</v>
      </c>
      <c r="X87">
        <f t="shared" si="32"/>
        <v>0</v>
      </c>
      <c r="Y87">
        <f t="shared" si="33"/>
        <v>78.611198</v>
      </c>
      <c r="Z87">
        <f t="shared" si="34"/>
        <v>0</v>
      </c>
      <c r="AA87">
        <f t="shared" si="35"/>
        <v>0</v>
      </c>
      <c r="AB87">
        <f t="shared" si="36"/>
        <v>0</v>
      </c>
      <c r="AC87">
        <f t="shared" si="37"/>
        <v>176.151993</v>
      </c>
    </row>
    <row r="88" spans="2:29">
      <c r="B88" s="5">
        <v>69</v>
      </c>
      <c r="C88" s="6">
        <v>79.749702</v>
      </c>
      <c r="D88" s="6">
        <v>177.565765</v>
      </c>
      <c r="E88" s="42">
        <v>0.15</v>
      </c>
      <c r="F88">
        <f t="shared" si="38"/>
        <v>79.8118738097864</v>
      </c>
      <c r="G88">
        <f t="shared" si="39"/>
        <v>177.009037068541</v>
      </c>
      <c r="L88">
        <f t="shared" si="40"/>
        <v>0.0621718097863635</v>
      </c>
      <c r="M88">
        <f t="shared" si="41"/>
        <v>0.556727931459477</v>
      </c>
      <c r="N88" s="47">
        <f t="shared" si="22"/>
        <v>0.0621718097863635</v>
      </c>
      <c r="O88">
        <f t="shared" si="23"/>
        <v>0</v>
      </c>
      <c r="P88">
        <f t="shared" si="24"/>
        <v>0</v>
      </c>
      <c r="Q88">
        <f t="shared" si="25"/>
        <v>0</v>
      </c>
      <c r="R88">
        <f t="shared" si="26"/>
        <v>0.556727931459477</v>
      </c>
      <c r="S88">
        <f t="shared" si="27"/>
        <v>0</v>
      </c>
      <c r="T88">
        <f t="shared" si="28"/>
        <v>0</v>
      </c>
      <c r="U88" s="52">
        <f t="shared" si="29"/>
        <v>0</v>
      </c>
      <c r="V88">
        <f t="shared" si="30"/>
        <v>79.749702</v>
      </c>
      <c r="W88">
        <f t="shared" si="31"/>
        <v>0</v>
      </c>
      <c r="X88">
        <f t="shared" si="32"/>
        <v>0</v>
      </c>
      <c r="Y88">
        <f t="shared" si="33"/>
        <v>0</v>
      </c>
      <c r="Z88">
        <f t="shared" si="34"/>
        <v>177.565765</v>
      </c>
      <c r="AA88">
        <f t="shared" si="35"/>
        <v>0</v>
      </c>
      <c r="AB88">
        <f t="shared" si="36"/>
        <v>0</v>
      </c>
      <c r="AC88">
        <f t="shared" si="37"/>
        <v>0</v>
      </c>
    </row>
    <row r="89" spans="2:29">
      <c r="B89" s="5">
        <v>70</v>
      </c>
      <c r="C89" s="6">
        <v>78.931564</v>
      </c>
      <c r="D89" s="6">
        <v>177.408691</v>
      </c>
      <c r="E89" s="42">
        <v>0.35</v>
      </c>
      <c r="F89">
        <f t="shared" si="38"/>
        <v>79.7901136763611</v>
      </c>
      <c r="G89">
        <f t="shared" si="39"/>
        <v>177.203891844551</v>
      </c>
      <c r="L89">
        <f t="shared" si="40"/>
        <v>0.858549676361136</v>
      </c>
      <c r="M89">
        <f t="shared" si="41"/>
        <v>0.204799155448683</v>
      </c>
      <c r="N89" s="47">
        <f t="shared" si="22"/>
        <v>0</v>
      </c>
      <c r="O89">
        <f t="shared" si="23"/>
        <v>0.858549676361136</v>
      </c>
      <c r="P89">
        <f t="shared" si="24"/>
        <v>0</v>
      </c>
      <c r="Q89">
        <f t="shared" si="25"/>
        <v>0</v>
      </c>
      <c r="R89">
        <f t="shared" si="26"/>
        <v>0</v>
      </c>
      <c r="S89">
        <f t="shared" si="27"/>
        <v>0.204799155448683</v>
      </c>
      <c r="T89">
        <f t="shared" si="28"/>
        <v>0</v>
      </c>
      <c r="U89" s="52">
        <f t="shared" si="29"/>
        <v>0</v>
      </c>
      <c r="V89">
        <f t="shared" si="30"/>
        <v>0</v>
      </c>
      <c r="W89">
        <f t="shared" si="31"/>
        <v>78.931564</v>
      </c>
      <c r="X89">
        <f t="shared" si="32"/>
        <v>0</v>
      </c>
      <c r="Y89">
        <f t="shared" si="33"/>
        <v>0</v>
      </c>
      <c r="Z89">
        <f t="shared" si="34"/>
        <v>0</v>
      </c>
      <c r="AA89">
        <f t="shared" si="35"/>
        <v>177.408691</v>
      </c>
      <c r="AB89">
        <f t="shared" si="36"/>
        <v>0</v>
      </c>
      <c r="AC89">
        <f t="shared" si="37"/>
        <v>0</v>
      </c>
    </row>
    <row r="90" spans="2:29">
      <c r="B90" s="5">
        <v>71</v>
      </c>
      <c r="C90" s="6">
        <v>77.144943</v>
      </c>
      <c r="D90" s="6">
        <v>176.603622</v>
      </c>
      <c r="E90" s="42">
        <v>0.55</v>
      </c>
      <c r="F90">
        <f t="shared" si="38"/>
        <v>79.3179113543625</v>
      </c>
      <c r="G90">
        <f t="shared" si="39"/>
        <v>177.316531380048</v>
      </c>
      <c r="L90">
        <f t="shared" si="40"/>
        <v>2.17296835436251</v>
      </c>
      <c r="M90">
        <f t="shared" si="41"/>
        <v>0.712909380048103</v>
      </c>
      <c r="N90" s="47">
        <f t="shared" si="22"/>
        <v>0</v>
      </c>
      <c r="O90">
        <f t="shared" si="23"/>
        <v>0</v>
      </c>
      <c r="P90">
        <f t="shared" si="24"/>
        <v>2.17296835436251</v>
      </c>
      <c r="Q90">
        <f t="shared" si="25"/>
        <v>0</v>
      </c>
      <c r="R90">
        <f t="shared" si="26"/>
        <v>0</v>
      </c>
      <c r="S90">
        <f t="shared" si="27"/>
        <v>0</v>
      </c>
      <c r="T90">
        <f t="shared" si="28"/>
        <v>0.712909380048103</v>
      </c>
      <c r="U90" s="52">
        <f t="shared" si="29"/>
        <v>0</v>
      </c>
      <c r="V90">
        <f t="shared" si="30"/>
        <v>0</v>
      </c>
      <c r="W90">
        <f t="shared" si="31"/>
        <v>0</v>
      </c>
      <c r="X90">
        <f t="shared" si="32"/>
        <v>77.144943</v>
      </c>
      <c r="Y90">
        <f t="shared" si="33"/>
        <v>0</v>
      </c>
      <c r="Z90">
        <f t="shared" si="34"/>
        <v>0</v>
      </c>
      <c r="AA90">
        <f t="shared" si="35"/>
        <v>0</v>
      </c>
      <c r="AB90">
        <f t="shared" si="36"/>
        <v>176.603622</v>
      </c>
      <c r="AC90">
        <f t="shared" si="37"/>
        <v>0</v>
      </c>
    </row>
    <row r="91" spans="2:29">
      <c r="B91" s="5">
        <v>72</v>
      </c>
      <c r="C91" s="6">
        <v>73.480522</v>
      </c>
      <c r="D91" s="6">
        <v>172.077591</v>
      </c>
      <c r="E91" s="42">
        <v>0.75</v>
      </c>
      <c r="F91">
        <f t="shared" si="38"/>
        <v>77.6881850885906</v>
      </c>
      <c r="G91">
        <f t="shared" si="39"/>
        <v>176.781849345012</v>
      </c>
      <c r="L91">
        <f t="shared" si="40"/>
        <v>4.20766308859062</v>
      </c>
      <c r="M91">
        <f t="shared" si="41"/>
        <v>4.70425834501202</v>
      </c>
      <c r="N91" s="47">
        <f t="shared" si="22"/>
        <v>0</v>
      </c>
      <c r="O91">
        <f t="shared" si="23"/>
        <v>0</v>
      </c>
      <c r="P91">
        <f t="shared" si="24"/>
        <v>0</v>
      </c>
      <c r="Q91">
        <f t="shared" si="25"/>
        <v>4.20766308859062</v>
      </c>
      <c r="R91">
        <f t="shared" si="26"/>
        <v>0</v>
      </c>
      <c r="S91">
        <f t="shared" si="27"/>
        <v>0</v>
      </c>
      <c r="T91">
        <f t="shared" si="28"/>
        <v>0</v>
      </c>
      <c r="U91" s="52">
        <f t="shared" si="29"/>
        <v>4.70425834501202</v>
      </c>
      <c r="V91">
        <f t="shared" si="30"/>
        <v>0</v>
      </c>
      <c r="W91">
        <f t="shared" si="31"/>
        <v>0</v>
      </c>
      <c r="X91">
        <f t="shared" si="32"/>
        <v>0</v>
      </c>
      <c r="Y91">
        <f t="shared" si="33"/>
        <v>73.480522</v>
      </c>
      <c r="Z91">
        <f t="shared" si="34"/>
        <v>0</v>
      </c>
      <c r="AA91">
        <f t="shared" si="35"/>
        <v>0</v>
      </c>
      <c r="AB91">
        <f t="shared" si="36"/>
        <v>0</v>
      </c>
      <c r="AC91">
        <f t="shared" si="37"/>
        <v>172.077591</v>
      </c>
    </row>
    <row r="92" spans="2:29">
      <c r="B92" s="5">
        <v>73</v>
      </c>
      <c r="C92" s="6">
        <v>70.991577</v>
      </c>
      <c r="D92" s="6">
        <v>164.743652</v>
      </c>
      <c r="E92" s="42">
        <v>0.15</v>
      </c>
      <c r="F92">
        <f t="shared" si="38"/>
        <v>77.057035625302</v>
      </c>
      <c r="G92">
        <f t="shared" si="39"/>
        <v>176.07621059326</v>
      </c>
      <c r="L92">
        <f t="shared" si="40"/>
        <v>6.06545862530201</v>
      </c>
      <c r="M92">
        <f t="shared" si="41"/>
        <v>11.3325585932602</v>
      </c>
      <c r="N92" s="47">
        <f t="shared" si="22"/>
        <v>6.06545862530201</v>
      </c>
      <c r="O92">
        <f t="shared" si="23"/>
        <v>0</v>
      </c>
      <c r="P92">
        <f t="shared" si="24"/>
        <v>0</v>
      </c>
      <c r="Q92">
        <f t="shared" si="25"/>
        <v>0</v>
      </c>
      <c r="R92">
        <f t="shared" si="26"/>
        <v>11.3325585932602</v>
      </c>
      <c r="S92">
        <f t="shared" si="27"/>
        <v>0</v>
      </c>
      <c r="T92">
        <f t="shared" si="28"/>
        <v>0</v>
      </c>
      <c r="U92" s="52">
        <f t="shared" si="29"/>
        <v>0</v>
      </c>
      <c r="V92">
        <f t="shared" si="30"/>
        <v>70.991577</v>
      </c>
      <c r="W92">
        <f t="shared" si="31"/>
        <v>0</v>
      </c>
      <c r="X92">
        <f t="shared" si="32"/>
        <v>0</v>
      </c>
      <c r="Y92">
        <f t="shared" si="33"/>
        <v>0</v>
      </c>
      <c r="Z92">
        <f t="shared" si="34"/>
        <v>164.743652</v>
      </c>
      <c r="AA92">
        <f t="shared" si="35"/>
        <v>0</v>
      </c>
      <c r="AB92">
        <f t="shared" si="36"/>
        <v>0</v>
      </c>
      <c r="AC92">
        <f t="shared" si="37"/>
        <v>0</v>
      </c>
    </row>
    <row r="93" spans="2:29">
      <c r="B93" s="5">
        <v>74</v>
      </c>
      <c r="C93" s="6">
        <v>72.117767</v>
      </c>
      <c r="D93" s="6">
        <v>164.134918</v>
      </c>
      <c r="E93" s="42">
        <v>0.35</v>
      </c>
      <c r="F93">
        <f t="shared" si="38"/>
        <v>74.9341251064463</v>
      </c>
      <c r="G93">
        <f t="shared" si="39"/>
        <v>172.109815085619</v>
      </c>
      <c r="L93">
        <f t="shared" si="40"/>
        <v>2.81635810644632</v>
      </c>
      <c r="M93">
        <f t="shared" si="41"/>
        <v>7.97489708561912</v>
      </c>
      <c r="N93" s="47">
        <f t="shared" si="22"/>
        <v>0</v>
      </c>
      <c r="O93">
        <f t="shared" si="23"/>
        <v>2.81635810644632</v>
      </c>
      <c r="P93">
        <f t="shared" si="24"/>
        <v>0</v>
      </c>
      <c r="Q93">
        <f t="shared" si="25"/>
        <v>0</v>
      </c>
      <c r="R93">
        <f t="shared" si="26"/>
        <v>0</v>
      </c>
      <c r="S93">
        <f t="shared" si="27"/>
        <v>7.97489708561912</v>
      </c>
      <c r="T93">
        <f t="shared" si="28"/>
        <v>0</v>
      </c>
      <c r="U93" s="52">
        <f t="shared" si="29"/>
        <v>0</v>
      </c>
      <c r="V93">
        <f t="shared" si="30"/>
        <v>0</v>
      </c>
      <c r="W93">
        <f t="shared" si="31"/>
        <v>72.117767</v>
      </c>
      <c r="X93">
        <f t="shared" si="32"/>
        <v>0</v>
      </c>
      <c r="Y93">
        <f t="shared" si="33"/>
        <v>0</v>
      </c>
      <c r="Z93">
        <f t="shared" si="34"/>
        <v>0</v>
      </c>
      <c r="AA93">
        <f t="shared" si="35"/>
        <v>164.134918</v>
      </c>
      <c r="AB93">
        <f t="shared" si="36"/>
        <v>0</v>
      </c>
      <c r="AC93">
        <f t="shared" si="37"/>
        <v>0</v>
      </c>
    </row>
    <row r="94" spans="2:29">
      <c r="B94" s="5">
        <v>75</v>
      </c>
      <c r="C94" s="6">
        <v>67.403557</v>
      </c>
      <c r="D94" s="6">
        <v>157.49176</v>
      </c>
      <c r="E94" s="42">
        <v>0.55</v>
      </c>
      <c r="F94">
        <f t="shared" si="38"/>
        <v>73.3851281479008</v>
      </c>
      <c r="G94">
        <f t="shared" si="39"/>
        <v>167.723621688529</v>
      </c>
      <c r="L94">
        <f t="shared" si="40"/>
        <v>5.98157114790084</v>
      </c>
      <c r="M94">
        <f t="shared" si="41"/>
        <v>10.2318616885286</v>
      </c>
      <c r="N94" s="47">
        <f t="shared" si="22"/>
        <v>0</v>
      </c>
      <c r="O94">
        <f t="shared" si="23"/>
        <v>0</v>
      </c>
      <c r="P94">
        <f t="shared" si="24"/>
        <v>5.98157114790084</v>
      </c>
      <c r="Q94">
        <f t="shared" si="25"/>
        <v>0</v>
      </c>
      <c r="R94">
        <f t="shared" si="26"/>
        <v>0</v>
      </c>
      <c r="S94">
        <f t="shared" si="27"/>
        <v>0</v>
      </c>
      <c r="T94">
        <f t="shared" si="28"/>
        <v>10.2318616885286</v>
      </c>
      <c r="U94" s="52">
        <f t="shared" si="29"/>
        <v>0</v>
      </c>
      <c r="V94">
        <f t="shared" si="30"/>
        <v>0</v>
      </c>
      <c r="W94">
        <f t="shared" si="31"/>
        <v>0</v>
      </c>
      <c r="X94">
        <f t="shared" si="32"/>
        <v>67.403557</v>
      </c>
      <c r="Y94">
        <f t="shared" si="33"/>
        <v>0</v>
      </c>
      <c r="Z94">
        <f t="shared" si="34"/>
        <v>0</v>
      </c>
      <c r="AA94">
        <f t="shared" si="35"/>
        <v>0</v>
      </c>
      <c r="AB94">
        <f t="shared" si="36"/>
        <v>157.49176</v>
      </c>
      <c r="AC94">
        <f t="shared" si="37"/>
        <v>0</v>
      </c>
    </row>
    <row r="95" spans="2:29">
      <c r="B95" s="5">
        <v>76</v>
      </c>
      <c r="C95" s="6">
        <v>67.364128</v>
      </c>
      <c r="D95" s="6">
        <v>160.077957</v>
      </c>
      <c r="E95" s="42">
        <v>0.75</v>
      </c>
      <c r="F95">
        <f t="shared" si="38"/>
        <v>68.8989497869752</v>
      </c>
      <c r="G95">
        <f t="shared" si="39"/>
        <v>160.049725422132</v>
      </c>
      <c r="L95">
        <f t="shared" si="40"/>
        <v>1.53482178697521</v>
      </c>
      <c r="M95">
        <f t="shared" si="41"/>
        <v>0.0282315778678424</v>
      </c>
      <c r="N95" s="47">
        <f t="shared" si="22"/>
        <v>0</v>
      </c>
      <c r="O95">
        <f t="shared" si="23"/>
        <v>0</v>
      </c>
      <c r="P95">
        <f t="shared" si="24"/>
        <v>0</v>
      </c>
      <c r="Q95">
        <f t="shared" si="25"/>
        <v>1.53482178697521</v>
      </c>
      <c r="R95">
        <f t="shared" si="26"/>
        <v>0</v>
      </c>
      <c r="S95">
        <f t="shared" si="27"/>
        <v>0</v>
      </c>
      <c r="T95">
        <f t="shared" si="28"/>
        <v>0</v>
      </c>
      <c r="U95" s="52">
        <f t="shared" si="29"/>
        <v>0.0282315778678424</v>
      </c>
      <c r="V95">
        <f t="shared" si="30"/>
        <v>0</v>
      </c>
      <c r="W95">
        <f t="shared" si="31"/>
        <v>0</v>
      </c>
      <c r="X95">
        <f t="shared" si="32"/>
        <v>0</v>
      </c>
      <c r="Y95">
        <f t="shared" si="33"/>
        <v>67.364128</v>
      </c>
      <c r="Z95">
        <f t="shared" si="34"/>
        <v>0</v>
      </c>
      <c r="AA95">
        <f t="shared" si="35"/>
        <v>0</v>
      </c>
      <c r="AB95">
        <f t="shared" si="36"/>
        <v>0</v>
      </c>
      <c r="AC95">
        <f t="shared" si="37"/>
        <v>160.077957</v>
      </c>
    </row>
    <row r="96" spans="2:29">
      <c r="B96" s="5">
        <v>77</v>
      </c>
      <c r="C96" s="6">
        <v>73.635773</v>
      </c>
      <c r="D96" s="6">
        <v>162.121277</v>
      </c>
      <c r="E96" s="42">
        <v>0.15</v>
      </c>
      <c r="F96">
        <f t="shared" si="38"/>
        <v>68.6687265189289</v>
      </c>
      <c r="G96">
        <f t="shared" si="39"/>
        <v>160.053960158812</v>
      </c>
      <c r="L96">
        <f t="shared" si="40"/>
        <v>4.96704648107108</v>
      </c>
      <c r="M96">
        <f t="shared" si="41"/>
        <v>2.06731684118768</v>
      </c>
      <c r="N96" s="47">
        <f t="shared" si="22"/>
        <v>4.96704648107108</v>
      </c>
      <c r="O96">
        <f t="shared" si="23"/>
        <v>0</v>
      </c>
      <c r="P96">
        <f t="shared" si="24"/>
        <v>0</v>
      </c>
      <c r="Q96">
        <f t="shared" si="25"/>
        <v>0</v>
      </c>
      <c r="R96">
        <f t="shared" si="26"/>
        <v>2.06731684118768</v>
      </c>
      <c r="S96">
        <f t="shared" si="27"/>
        <v>0</v>
      </c>
      <c r="T96">
        <f t="shared" si="28"/>
        <v>0</v>
      </c>
      <c r="U96" s="52">
        <f t="shared" si="29"/>
        <v>0</v>
      </c>
      <c r="V96">
        <f t="shared" si="30"/>
        <v>73.635773</v>
      </c>
      <c r="W96">
        <f t="shared" si="31"/>
        <v>0</v>
      </c>
      <c r="X96">
        <f t="shared" si="32"/>
        <v>0</v>
      </c>
      <c r="Y96">
        <f t="shared" si="33"/>
        <v>0</v>
      </c>
      <c r="Z96">
        <f t="shared" si="34"/>
        <v>162.121277</v>
      </c>
      <c r="AA96">
        <f t="shared" si="35"/>
        <v>0</v>
      </c>
      <c r="AB96">
        <f t="shared" si="36"/>
        <v>0</v>
      </c>
      <c r="AC96">
        <f t="shared" si="37"/>
        <v>0</v>
      </c>
    </row>
    <row r="97" spans="2:29">
      <c r="B97" s="5">
        <v>78</v>
      </c>
      <c r="C97" s="6">
        <v>71.297157</v>
      </c>
      <c r="D97" s="6">
        <v>159.801575</v>
      </c>
      <c r="E97" s="42">
        <v>0.35</v>
      </c>
      <c r="F97">
        <f t="shared" si="38"/>
        <v>70.4071927873038</v>
      </c>
      <c r="G97">
        <f t="shared" si="39"/>
        <v>160.777521053228</v>
      </c>
      <c r="L97">
        <f t="shared" si="40"/>
        <v>0.889964212696199</v>
      </c>
      <c r="M97">
        <f t="shared" si="41"/>
        <v>0.975946053228</v>
      </c>
      <c r="N97" s="47">
        <f t="shared" si="22"/>
        <v>0</v>
      </c>
      <c r="O97">
        <f t="shared" si="23"/>
        <v>0.889964212696199</v>
      </c>
      <c r="P97">
        <f t="shared" si="24"/>
        <v>0</v>
      </c>
      <c r="Q97">
        <f t="shared" si="25"/>
        <v>0</v>
      </c>
      <c r="R97">
        <f t="shared" si="26"/>
        <v>0</v>
      </c>
      <c r="S97">
        <f t="shared" si="27"/>
        <v>0.975946053228</v>
      </c>
      <c r="T97">
        <f t="shared" si="28"/>
        <v>0</v>
      </c>
      <c r="U97" s="52">
        <f t="shared" si="29"/>
        <v>0</v>
      </c>
      <c r="V97">
        <f t="shared" si="30"/>
        <v>0</v>
      </c>
      <c r="W97">
        <f t="shared" si="31"/>
        <v>71.297157</v>
      </c>
      <c r="X97">
        <f t="shared" si="32"/>
        <v>0</v>
      </c>
      <c r="Y97">
        <f t="shared" si="33"/>
        <v>0</v>
      </c>
      <c r="Z97">
        <f t="shared" si="34"/>
        <v>0</v>
      </c>
      <c r="AA97">
        <f t="shared" si="35"/>
        <v>159.801575</v>
      </c>
      <c r="AB97">
        <f t="shared" si="36"/>
        <v>0</v>
      </c>
      <c r="AC97">
        <f t="shared" si="37"/>
        <v>0</v>
      </c>
    </row>
    <row r="98" spans="2:29">
      <c r="B98" s="5">
        <v>79</v>
      </c>
      <c r="C98" s="6">
        <v>74.60424</v>
      </c>
      <c r="D98" s="6">
        <v>168.981613</v>
      </c>
      <c r="E98" s="42">
        <v>0.55</v>
      </c>
      <c r="F98">
        <f t="shared" si="38"/>
        <v>70.8966731042867</v>
      </c>
      <c r="G98">
        <f t="shared" si="39"/>
        <v>160.240750723953</v>
      </c>
      <c r="L98">
        <f t="shared" si="40"/>
        <v>3.7075668957133</v>
      </c>
      <c r="M98">
        <f t="shared" si="41"/>
        <v>8.74086227604741</v>
      </c>
      <c r="N98" s="47">
        <f t="shared" si="22"/>
        <v>0</v>
      </c>
      <c r="O98">
        <f t="shared" si="23"/>
        <v>0</v>
      </c>
      <c r="P98">
        <f t="shared" si="24"/>
        <v>3.7075668957133</v>
      </c>
      <c r="Q98">
        <f t="shared" si="25"/>
        <v>0</v>
      </c>
      <c r="R98">
        <f t="shared" si="26"/>
        <v>0</v>
      </c>
      <c r="S98">
        <f t="shared" si="27"/>
        <v>0</v>
      </c>
      <c r="T98">
        <f t="shared" si="28"/>
        <v>8.74086227604741</v>
      </c>
      <c r="U98" s="52">
        <f t="shared" si="29"/>
        <v>0</v>
      </c>
      <c r="V98">
        <f t="shared" si="30"/>
        <v>0</v>
      </c>
      <c r="W98">
        <f t="shared" si="31"/>
        <v>0</v>
      </c>
      <c r="X98">
        <f t="shared" si="32"/>
        <v>74.60424</v>
      </c>
      <c r="Y98">
        <f t="shared" si="33"/>
        <v>0</v>
      </c>
      <c r="Z98">
        <f t="shared" si="34"/>
        <v>0</v>
      </c>
      <c r="AA98">
        <f t="shared" si="35"/>
        <v>0</v>
      </c>
      <c r="AB98">
        <f t="shared" si="36"/>
        <v>168.981613</v>
      </c>
      <c r="AC98">
        <f t="shared" si="37"/>
        <v>0</v>
      </c>
    </row>
    <row r="99" spans="2:29">
      <c r="B99" s="5">
        <v>80</v>
      </c>
      <c r="C99" s="6">
        <v>72.184303</v>
      </c>
      <c r="D99" s="6">
        <v>162.79248</v>
      </c>
      <c r="E99" s="42">
        <v>0.75</v>
      </c>
      <c r="F99">
        <f t="shared" si="38"/>
        <v>73.6773482760717</v>
      </c>
      <c r="G99">
        <f t="shared" si="39"/>
        <v>166.796397430988</v>
      </c>
      <c r="L99">
        <f t="shared" si="40"/>
        <v>1.49304527607168</v>
      </c>
      <c r="M99">
        <f t="shared" si="41"/>
        <v>4.00391743098814</v>
      </c>
      <c r="N99" s="47">
        <f t="shared" si="22"/>
        <v>0</v>
      </c>
      <c r="O99">
        <f t="shared" si="23"/>
        <v>0</v>
      </c>
      <c r="P99">
        <f t="shared" si="24"/>
        <v>0</v>
      </c>
      <c r="Q99">
        <f t="shared" si="25"/>
        <v>1.49304527607168</v>
      </c>
      <c r="R99">
        <f t="shared" si="26"/>
        <v>0</v>
      </c>
      <c r="S99">
        <f t="shared" si="27"/>
        <v>0</v>
      </c>
      <c r="T99">
        <f t="shared" si="28"/>
        <v>0</v>
      </c>
      <c r="U99" s="52">
        <f t="shared" si="29"/>
        <v>4.00391743098814</v>
      </c>
      <c r="V99">
        <f t="shared" si="30"/>
        <v>0</v>
      </c>
      <c r="W99">
        <f t="shared" si="31"/>
        <v>0</v>
      </c>
      <c r="X99">
        <f t="shared" si="32"/>
        <v>0</v>
      </c>
      <c r="Y99">
        <f t="shared" si="33"/>
        <v>72.184303</v>
      </c>
      <c r="Z99">
        <f t="shared" si="34"/>
        <v>0</v>
      </c>
      <c r="AA99">
        <f t="shared" si="35"/>
        <v>0</v>
      </c>
      <c r="AB99">
        <f t="shared" si="36"/>
        <v>0</v>
      </c>
      <c r="AC99">
        <f t="shared" si="37"/>
        <v>162.79248</v>
      </c>
    </row>
    <row r="100" spans="2:29">
      <c r="B100" s="5">
        <v>81</v>
      </c>
      <c r="C100" s="6">
        <v>71.225685</v>
      </c>
      <c r="D100" s="6">
        <v>161.913971</v>
      </c>
      <c r="E100" s="42">
        <v>0.15</v>
      </c>
      <c r="F100">
        <f t="shared" si="38"/>
        <v>73.4533914846609</v>
      </c>
      <c r="G100">
        <f t="shared" si="39"/>
        <v>166.19580981634</v>
      </c>
      <c r="L100">
        <f t="shared" si="40"/>
        <v>2.22770648466093</v>
      </c>
      <c r="M100">
        <f t="shared" si="41"/>
        <v>4.28183881633993</v>
      </c>
      <c r="N100" s="47">
        <f t="shared" si="22"/>
        <v>2.22770648466093</v>
      </c>
      <c r="O100">
        <f t="shared" si="23"/>
        <v>0</v>
      </c>
      <c r="P100">
        <f t="shared" si="24"/>
        <v>0</v>
      </c>
      <c r="Q100">
        <f t="shared" si="25"/>
        <v>0</v>
      </c>
      <c r="R100">
        <f t="shared" si="26"/>
        <v>4.28183881633993</v>
      </c>
      <c r="S100">
        <f t="shared" si="27"/>
        <v>0</v>
      </c>
      <c r="T100">
        <f t="shared" si="28"/>
        <v>0</v>
      </c>
      <c r="U100" s="52">
        <f t="shared" si="29"/>
        <v>0</v>
      </c>
      <c r="V100">
        <f t="shared" si="30"/>
        <v>71.225685</v>
      </c>
      <c r="W100">
        <f t="shared" si="31"/>
        <v>0</v>
      </c>
      <c r="X100">
        <f t="shared" si="32"/>
        <v>0</v>
      </c>
      <c r="Y100">
        <f t="shared" si="33"/>
        <v>0</v>
      </c>
      <c r="Z100">
        <f t="shared" si="34"/>
        <v>161.913971</v>
      </c>
      <c r="AA100">
        <f t="shared" si="35"/>
        <v>0</v>
      </c>
      <c r="AB100">
        <f t="shared" si="36"/>
        <v>0</v>
      </c>
      <c r="AC100">
        <f t="shared" si="37"/>
        <v>0</v>
      </c>
    </row>
    <row r="101" spans="2:29">
      <c r="B101" s="5">
        <v>82</v>
      </c>
      <c r="C101" s="6">
        <v>65.592308</v>
      </c>
      <c r="D101" s="6">
        <v>150.888062</v>
      </c>
      <c r="E101" s="42">
        <v>0.35</v>
      </c>
      <c r="F101">
        <f t="shared" si="38"/>
        <v>72.6736942150296</v>
      </c>
      <c r="G101">
        <f t="shared" si="39"/>
        <v>164.697166230621</v>
      </c>
      <c r="L101">
        <f t="shared" si="40"/>
        <v>7.0813862150296</v>
      </c>
      <c r="M101">
        <f t="shared" si="41"/>
        <v>13.809104230621</v>
      </c>
      <c r="N101" s="47">
        <f t="shared" si="22"/>
        <v>0</v>
      </c>
      <c r="O101">
        <f t="shared" si="23"/>
        <v>7.0813862150296</v>
      </c>
      <c r="P101">
        <f t="shared" si="24"/>
        <v>0</v>
      </c>
      <c r="Q101">
        <f t="shared" si="25"/>
        <v>0</v>
      </c>
      <c r="R101">
        <f t="shared" si="26"/>
        <v>0</v>
      </c>
      <c r="S101">
        <f t="shared" si="27"/>
        <v>13.809104230621</v>
      </c>
      <c r="T101">
        <f t="shared" si="28"/>
        <v>0</v>
      </c>
      <c r="U101" s="52">
        <f t="shared" si="29"/>
        <v>0</v>
      </c>
      <c r="V101">
        <f t="shared" si="30"/>
        <v>0</v>
      </c>
      <c r="W101">
        <f t="shared" si="31"/>
        <v>65.592308</v>
      </c>
      <c r="X101">
        <f t="shared" si="32"/>
        <v>0</v>
      </c>
      <c r="Y101">
        <f t="shared" si="33"/>
        <v>0</v>
      </c>
      <c r="Z101">
        <f t="shared" si="34"/>
        <v>0</v>
      </c>
      <c r="AA101">
        <f t="shared" si="35"/>
        <v>150.888062</v>
      </c>
      <c r="AB101">
        <f t="shared" si="36"/>
        <v>0</v>
      </c>
      <c r="AC101">
        <f t="shared" si="37"/>
        <v>0</v>
      </c>
    </row>
    <row r="102" spans="2:29">
      <c r="B102" s="5">
        <v>83</v>
      </c>
      <c r="C102" s="6">
        <v>70.316368</v>
      </c>
      <c r="D102" s="6">
        <v>159.604156</v>
      </c>
      <c r="E102" s="42">
        <v>0.55</v>
      </c>
      <c r="F102">
        <f t="shared" si="38"/>
        <v>68.7789317967633</v>
      </c>
      <c r="G102">
        <f t="shared" si="39"/>
        <v>157.102158903779</v>
      </c>
      <c r="L102">
        <f t="shared" si="40"/>
        <v>1.53743620323668</v>
      </c>
      <c r="M102">
        <f t="shared" si="41"/>
        <v>2.50199709622058</v>
      </c>
      <c r="N102" s="47">
        <f t="shared" si="22"/>
        <v>0</v>
      </c>
      <c r="O102">
        <f t="shared" si="23"/>
        <v>0</v>
      </c>
      <c r="P102">
        <f t="shared" si="24"/>
        <v>1.53743620323668</v>
      </c>
      <c r="Q102">
        <f t="shared" si="25"/>
        <v>0</v>
      </c>
      <c r="R102">
        <f t="shared" si="26"/>
        <v>0</v>
      </c>
      <c r="S102">
        <f t="shared" si="27"/>
        <v>0</v>
      </c>
      <c r="T102">
        <f t="shared" si="28"/>
        <v>2.50199709622058</v>
      </c>
      <c r="U102" s="52">
        <f t="shared" si="29"/>
        <v>0</v>
      </c>
      <c r="V102">
        <f t="shared" si="30"/>
        <v>0</v>
      </c>
      <c r="W102">
        <f t="shared" si="31"/>
        <v>0</v>
      </c>
      <c r="X102">
        <f t="shared" si="32"/>
        <v>70.316368</v>
      </c>
      <c r="Y102">
        <f t="shared" si="33"/>
        <v>0</v>
      </c>
      <c r="Z102">
        <f t="shared" si="34"/>
        <v>0</v>
      </c>
      <c r="AA102">
        <f t="shared" si="35"/>
        <v>0</v>
      </c>
      <c r="AB102">
        <f t="shared" si="36"/>
        <v>159.604156</v>
      </c>
      <c r="AC102">
        <f t="shared" si="37"/>
        <v>0</v>
      </c>
    </row>
    <row r="103" spans="2:29">
      <c r="B103" s="5">
        <v>84</v>
      </c>
      <c r="C103" s="6">
        <v>67.874245</v>
      </c>
      <c r="D103" s="6">
        <v>151.411224</v>
      </c>
      <c r="E103" s="42">
        <v>0.75</v>
      </c>
      <c r="F103">
        <f t="shared" si="38"/>
        <v>69.9320089491908</v>
      </c>
      <c r="G103">
        <f t="shared" si="39"/>
        <v>158.978656725945</v>
      </c>
      <c r="L103">
        <f t="shared" si="40"/>
        <v>2.05776394919081</v>
      </c>
      <c r="M103">
        <f t="shared" si="41"/>
        <v>7.56743272594485</v>
      </c>
      <c r="N103" s="47">
        <f t="shared" si="22"/>
        <v>0</v>
      </c>
      <c r="O103">
        <f t="shared" si="23"/>
        <v>0</v>
      </c>
      <c r="P103">
        <f t="shared" si="24"/>
        <v>0</v>
      </c>
      <c r="Q103">
        <f t="shared" si="25"/>
        <v>2.05776394919081</v>
      </c>
      <c r="R103">
        <f t="shared" si="26"/>
        <v>0</v>
      </c>
      <c r="S103">
        <f t="shared" si="27"/>
        <v>0</v>
      </c>
      <c r="T103">
        <f t="shared" si="28"/>
        <v>0</v>
      </c>
      <c r="U103" s="52">
        <f t="shared" si="29"/>
        <v>7.56743272594485</v>
      </c>
      <c r="V103">
        <f t="shared" si="30"/>
        <v>0</v>
      </c>
      <c r="W103">
        <f t="shared" si="31"/>
        <v>0</v>
      </c>
      <c r="X103">
        <f t="shared" si="32"/>
        <v>0</v>
      </c>
      <c r="Y103">
        <f t="shared" si="33"/>
        <v>67.874245</v>
      </c>
      <c r="Z103">
        <f t="shared" si="34"/>
        <v>0</v>
      </c>
      <c r="AA103">
        <f t="shared" si="35"/>
        <v>0</v>
      </c>
      <c r="AB103">
        <f t="shared" si="36"/>
        <v>0</v>
      </c>
      <c r="AC103">
        <f t="shared" si="37"/>
        <v>151.411224</v>
      </c>
    </row>
    <row r="104" spans="2:29">
      <c r="B104" s="5">
        <v>85</v>
      </c>
      <c r="C104" s="6">
        <v>61.171341</v>
      </c>
      <c r="D104" s="6">
        <v>133.110397</v>
      </c>
      <c r="E104" s="42">
        <v>0.15</v>
      </c>
      <c r="F104">
        <f t="shared" si="38"/>
        <v>69.6233443568122</v>
      </c>
      <c r="G104">
        <f t="shared" si="39"/>
        <v>157.843541817053</v>
      </c>
      <c r="L104">
        <f t="shared" si="40"/>
        <v>8.4520033568122</v>
      </c>
      <c r="M104">
        <f t="shared" si="41"/>
        <v>24.7331448170531</v>
      </c>
      <c r="N104" s="47">
        <f t="shared" si="22"/>
        <v>8.4520033568122</v>
      </c>
      <c r="O104">
        <f t="shared" si="23"/>
        <v>0</v>
      </c>
      <c r="P104">
        <f t="shared" si="24"/>
        <v>0</v>
      </c>
      <c r="Q104">
        <f t="shared" si="25"/>
        <v>0</v>
      </c>
      <c r="R104">
        <f t="shared" si="26"/>
        <v>24.7331448170531</v>
      </c>
      <c r="S104">
        <f t="shared" si="27"/>
        <v>0</v>
      </c>
      <c r="T104">
        <f t="shared" si="28"/>
        <v>0</v>
      </c>
      <c r="U104" s="52">
        <f t="shared" si="29"/>
        <v>0</v>
      </c>
      <c r="V104">
        <f t="shared" si="30"/>
        <v>61.171341</v>
      </c>
      <c r="W104">
        <f t="shared" si="31"/>
        <v>0</v>
      </c>
      <c r="X104">
        <f t="shared" si="32"/>
        <v>0</v>
      </c>
      <c r="Y104">
        <f t="shared" si="33"/>
        <v>0</v>
      </c>
      <c r="Z104">
        <f t="shared" si="34"/>
        <v>133.110397</v>
      </c>
      <c r="AA104">
        <f t="shared" si="35"/>
        <v>0</v>
      </c>
      <c r="AB104">
        <f t="shared" si="36"/>
        <v>0</v>
      </c>
      <c r="AC104">
        <f t="shared" si="37"/>
        <v>0</v>
      </c>
    </row>
    <row r="105" spans="2:29">
      <c r="B105" s="5">
        <v>86</v>
      </c>
      <c r="C105" s="6">
        <v>68.500175</v>
      </c>
      <c r="D105" s="6">
        <v>147.482574</v>
      </c>
      <c r="E105" s="42">
        <v>0.35</v>
      </c>
      <c r="F105">
        <f t="shared" si="38"/>
        <v>66.6651431819279</v>
      </c>
      <c r="G105">
        <f t="shared" si="39"/>
        <v>149.186941131085</v>
      </c>
      <c r="L105">
        <f t="shared" si="40"/>
        <v>1.83503181807207</v>
      </c>
      <c r="M105">
        <f t="shared" si="41"/>
        <v>1.70436713108452</v>
      </c>
      <c r="N105" s="47">
        <f t="shared" si="22"/>
        <v>0</v>
      </c>
      <c r="O105">
        <f t="shared" si="23"/>
        <v>1.83503181807207</v>
      </c>
      <c r="P105">
        <f t="shared" si="24"/>
        <v>0</v>
      </c>
      <c r="Q105">
        <f t="shared" si="25"/>
        <v>0</v>
      </c>
      <c r="R105">
        <f t="shared" si="26"/>
        <v>0</v>
      </c>
      <c r="S105">
        <f t="shared" si="27"/>
        <v>1.70436713108452</v>
      </c>
      <c r="T105">
        <f t="shared" si="28"/>
        <v>0</v>
      </c>
      <c r="U105" s="52">
        <f t="shared" si="29"/>
        <v>0</v>
      </c>
      <c r="V105">
        <f t="shared" si="30"/>
        <v>0</v>
      </c>
      <c r="W105">
        <f t="shared" si="31"/>
        <v>68.500175</v>
      </c>
      <c r="X105">
        <f t="shared" si="32"/>
        <v>0</v>
      </c>
      <c r="Y105">
        <f t="shared" si="33"/>
        <v>0</v>
      </c>
      <c r="Z105">
        <f t="shared" si="34"/>
        <v>0</v>
      </c>
      <c r="AA105">
        <f t="shared" si="35"/>
        <v>147.482574</v>
      </c>
      <c r="AB105">
        <f t="shared" si="36"/>
        <v>0</v>
      </c>
      <c r="AC105">
        <f t="shared" si="37"/>
        <v>0</v>
      </c>
    </row>
    <row r="106" spans="2:29">
      <c r="B106" s="5">
        <v>87</v>
      </c>
      <c r="C106" s="6">
        <v>59.687832</v>
      </c>
      <c r="D106" s="6">
        <v>133.524979</v>
      </c>
      <c r="E106" s="42">
        <v>0.55</v>
      </c>
      <c r="F106">
        <f t="shared" si="38"/>
        <v>67.6744106818676</v>
      </c>
      <c r="G106">
        <f t="shared" si="39"/>
        <v>148.249539208988</v>
      </c>
      <c r="L106">
        <f t="shared" si="40"/>
        <v>7.98657868186757</v>
      </c>
      <c r="M106">
        <f t="shared" si="41"/>
        <v>14.724560208988</v>
      </c>
      <c r="N106" s="47">
        <f t="shared" si="22"/>
        <v>0</v>
      </c>
      <c r="O106">
        <f t="shared" si="23"/>
        <v>0</v>
      </c>
      <c r="P106">
        <f t="shared" si="24"/>
        <v>7.98657868186757</v>
      </c>
      <c r="Q106">
        <f t="shared" si="25"/>
        <v>0</v>
      </c>
      <c r="R106">
        <f t="shared" si="26"/>
        <v>0</v>
      </c>
      <c r="S106">
        <f t="shared" si="27"/>
        <v>0</v>
      </c>
      <c r="T106">
        <f t="shared" si="28"/>
        <v>14.724560208988</v>
      </c>
      <c r="U106" s="52">
        <f t="shared" si="29"/>
        <v>0</v>
      </c>
      <c r="V106">
        <f t="shared" si="30"/>
        <v>0</v>
      </c>
      <c r="W106">
        <f t="shared" si="31"/>
        <v>0</v>
      </c>
      <c r="X106">
        <f t="shared" si="32"/>
        <v>59.687832</v>
      </c>
      <c r="Y106">
        <f t="shared" si="33"/>
        <v>0</v>
      </c>
      <c r="Z106">
        <f t="shared" si="34"/>
        <v>0</v>
      </c>
      <c r="AA106">
        <f t="shared" si="35"/>
        <v>0</v>
      </c>
      <c r="AB106">
        <f t="shared" si="36"/>
        <v>133.524979</v>
      </c>
      <c r="AC106">
        <f t="shared" si="37"/>
        <v>0</v>
      </c>
    </row>
    <row r="107" spans="2:29">
      <c r="B107" s="5">
        <v>88</v>
      </c>
      <c r="C107" s="6">
        <v>62.312309</v>
      </c>
      <c r="D107" s="6">
        <v>130.099747</v>
      </c>
      <c r="E107" s="42">
        <v>0.75</v>
      </c>
      <c r="F107">
        <f t="shared" si="38"/>
        <v>61.6844766704669</v>
      </c>
      <c r="G107">
        <f t="shared" si="39"/>
        <v>137.206119052247</v>
      </c>
      <c r="L107">
        <f t="shared" si="40"/>
        <v>0.627832329533106</v>
      </c>
      <c r="M107">
        <f t="shared" si="41"/>
        <v>7.106372052247</v>
      </c>
      <c r="N107" s="47">
        <f t="shared" si="22"/>
        <v>0</v>
      </c>
      <c r="O107">
        <f t="shared" si="23"/>
        <v>0</v>
      </c>
      <c r="P107">
        <f t="shared" si="24"/>
        <v>0</v>
      </c>
      <c r="Q107">
        <f t="shared" si="25"/>
        <v>0.627832329533106</v>
      </c>
      <c r="R107">
        <f t="shared" si="26"/>
        <v>0</v>
      </c>
      <c r="S107">
        <f t="shared" si="27"/>
        <v>0</v>
      </c>
      <c r="T107">
        <f t="shared" si="28"/>
        <v>0</v>
      </c>
      <c r="U107" s="52">
        <f t="shared" si="29"/>
        <v>7.106372052247</v>
      </c>
      <c r="V107">
        <f t="shared" si="30"/>
        <v>0</v>
      </c>
      <c r="W107">
        <f t="shared" si="31"/>
        <v>0</v>
      </c>
      <c r="X107">
        <f t="shared" si="32"/>
        <v>0</v>
      </c>
      <c r="Y107">
        <f t="shared" si="33"/>
        <v>62.312309</v>
      </c>
      <c r="Z107">
        <f t="shared" si="34"/>
        <v>0</v>
      </c>
      <c r="AA107">
        <f t="shared" si="35"/>
        <v>0</v>
      </c>
      <c r="AB107">
        <f t="shared" si="36"/>
        <v>0</v>
      </c>
      <c r="AC107">
        <f t="shared" si="37"/>
        <v>130.099747</v>
      </c>
    </row>
    <row r="108" spans="2:29">
      <c r="B108" s="5">
        <v>89</v>
      </c>
      <c r="C108" s="6">
        <v>60.786911</v>
      </c>
      <c r="D108" s="6">
        <v>118.067001</v>
      </c>
      <c r="E108" s="42">
        <v>0.15</v>
      </c>
      <c r="F108">
        <f t="shared" si="38"/>
        <v>61.7786515198969</v>
      </c>
      <c r="G108">
        <f t="shared" si="39"/>
        <v>136.14016324441</v>
      </c>
      <c r="L108">
        <f t="shared" si="40"/>
        <v>0.991740519896851</v>
      </c>
      <c r="M108">
        <f t="shared" si="41"/>
        <v>18.07316224441</v>
      </c>
      <c r="N108" s="47">
        <f t="shared" si="22"/>
        <v>0.991740519896851</v>
      </c>
      <c r="O108">
        <f t="shared" si="23"/>
        <v>0</v>
      </c>
      <c r="P108">
        <f t="shared" si="24"/>
        <v>0</v>
      </c>
      <c r="Q108">
        <f t="shared" si="25"/>
        <v>0</v>
      </c>
      <c r="R108">
        <f t="shared" si="26"/>
        <v>18.07316224441</v>
      </c>
      <c r="S108">
        <f t="shared" si="27"/>
        <v>0</v>
      </c>
      <c r="T108">
        <f t="shared" si="28"/>
        <v>0</v>
      </c>
      <c r="U108" s="52">
        <f t="shared" si="29"/>
        <v>0</v>
      </c>
      <c r="V108">
        <f t="shared" si="30"/>
        <v>60.786911</v>
      </c>
      <c r="W108">
        <f t="shared" si="31"/>
        <v>0</v>
      </c>
      <c r="X108">
        <f t="shared" si="32"/>
        <v>0</v>
      </c>
      <c r="Y108">
        <f t="shared" si="33"/>
        <v>0</v>
      </c>
      <c r="Z108">
        <f t="shared" si="34"/>
        <v>118.067001</v>
      </c>
      <c r="AA108">
        <f t="shared" si="35"/>
        <v>0</v>
      </c>
      <c r="AB108">
        <f t="shared" si="36"/>
        <v>0</v>
      </c>
      <c r="AC108">
        <f t="shared" si="37"/>
        <v>0</v>
      </c>
    </row>
    <row r="109" spans="2:29">
      <c r="B109" s="5">
        <v>90</v>
      </c>
      <c r="C109" s="6">
        <v>60.321156</v>
      </c>
      <c r="D109" s="6">
        <v>117.425385</v>
      </c>
      <c r="E109" s="42">
        <v>0.35</v>
      </c>
      <c r="F109">
        <f t="shared" si="38"/>
        <v>61.431542337933</v>
      </c>
      <c r="G109">
        <f t="shared" si="39"/>
        <v>129.814556458866</v>
      </c>
      <c r="L109">
        <f t="shared" si="40"/>
        <v>1.11038633793296</v>
      </c>
      <c r="M109">
        <f t="shared" si="41"/>
        <v>12.3891714588665</v>
      </c>
      <c r="N109" s="47">
        <f t="shared" si="22"/>
        <v>0</v>
      </c>
      <c r="O109">
        <f t="shared" si="23"/>
        <v>1.11038633793296</v>
      </c>
      <c r="P109">
        <f t="shared" si="24"/>
        <v>0</v>
      </c>
      <c r="Q109">
        <f t="shared" si="25"/>
        <v>0</v>
      </c>
      <c r="R109">
        <f t="shared" si="26"/>
        <v>0</v>
      </c>
      <c r="S109">
        <f t="shared" si="27"/>
        <v>12.3891714588665</v>
      </c>
      <c r="T109">
        <f t="shared" si="28"/>
        <v>0</v>
      </c>
      <c r="U109" s="52">
        <f t="shared" si="29"/>
        <v>0</v>
      </c>
      <c r="V109">
        <f t="shared" si="30"/>
        <v>0</v>
      </c>
      <c r="W109">
        <f t="shared" si="31"/>
        <v>60.321156</v>
      </c>
      <c r="X109">
        <f t="shared" si="32"/>
        <v>0</v>
      </c>
      <c r="Y109">
        <f t="shared" si="33"/>
        <v>0</v>
      </c>
      <c r="Z109">
        <f t="shared" si="34"/>
        <v>0</v>
      </c>
      <c r="AA109">
        <f t="shared" si="35"/>
        <v>117.425385</v>
      </c>
      <c r="AB109">
        <f t="shared" si="36"/>
        <v>0</v>
      </c>
      <c r="AC109">
        <f t="shared" si="37"/>
        <v>0</v>
      </c>
    </row>
    <row r="110" spans="2:29">
      <c r="B110" s="5">
        <v>91</v>
      </c>
      <c r="C110" s="6">
        <v>56.491634</v>
      </c>
      <c r="D110" s="6">
        <v>111.048721</v>
      </c>
      <c r="E110" s="42">
        <v>0.55</v>
      </c>
      <c r="F110">
        <f t="shared" si="38"/>
        <v>60.8208298520698</v>
      </c>
      <c r="G110">
        <f t="shared" si="39"/>
        <v>123.00051215649</v>
      </c>
      <c r="L110">
        <f t="shared" si="40"/>
        <v>4.32919585206984</v>
      </c>
      <c r="M110">
        <f t="shared" si="41"/>
        <v>11.9517911564899</v>
      </c>
      <c r="N110" s="47">
        <f t="shared" si="22"/>
        <v>0</v>
      </c>
      <c r="O110">
        <f t="shared" si="23"/>
        <v>0</v>
      </c>
      <c r="P110">
        <f t="shared" si="24"/>
        <v>4.32919585206984</v>
      </c>
      <c r="Q110">
        <f t="shared" si="25"/>
        <v>0</v>
      </c>
      <c r="R110">
        <f t="shared" si="26"/>
        <v>0</v>
      </c>
      <c r="S110">
        <f t="shared" si="27"/>
        <v>0</v>
      </c>
      <c r="T110">
        <f t="shared" si="28"/>
        <v>11.9517911564899</v>
      </c>
      <c r="U110" s="52">
        <f t="shared" si="29"/>
        <v>0</v>
      </c>
      <c r="V110">
        <f t="shared" si="30"/>
        <v>0</v>
      </c>
      <c r="W110">
        <f t="shared" si="31"/>
        <v>0</v>
      </c>
      <c r="X110">
        <f t="shared" si="32"/>
        <v>56.491634</v>
      </c>
      <c r="Y110">
        <f t="shared" si="33"/>
        <v>0</v>
      </c>
      <c r="Z110">
        <f t="shared" si="34"/>
        <v>0</v>
      </c>
      <c r="AA110">
        <f t="shared" si="35"/>
        <v>0</v>
      </c>
      <c r="AB110">
        <f t="shared" si="36"/>
        <v>111.048721</v>
      </c>
      <c r="AC110">
        <f t="shared" si="37"/>
        <v>0</v>
      </c>
    </row>
    <row r="111" spans="2:29">
      <c r="B111" s="5">
        <v>92</v>
      </c>
      <c r="C111" s="6">
        <v>55.291519</v>
      </c>
      <c r="D111" s="6">
        <v>102.520172</v>
      </c>
      <c r="E111" s="42">
        <v>0.75</v>
      </c>
      <c r="F111">
        <f t="shared" si="38"/>
        <v>57.5739329630175</v>
      </c>
      <c r="G111">
        <f t="shared" si="39"/>
        <v>114.036668789122</v>
      </c>
      <c r="L111">
        <f t="shared" si="40"/>
        <v>2.28241396301745</v>
      </c>
      <c r="M111">
        <f t="shared" si="41"/>
        <v>11.5164967891225</v>
      </c>
      <c r="N111" s="47">
        <f t="shared" si="22"/>
        <v>0</v>
      </c>
      <c r="O111">
        <f t="shared" si="23"/>
        <v>0</v>
      </c>
      <c r="P111">
        <f t="shared" si="24"/>
        <v>0</v>
      </c>
      <c r="Q111">
        <f t="shared" si="25"/>
        <v>2.28241396301745</v>
      </c>
      <c r="R111">
        <f t="shared" si="26"/>
        <v>0</v>
      </c>
      <c r="S111">
        <f t="shared" si="27"/>
        <v>0</v>
      </c>
      <c r="T111">
        <f t="shared" si="28"/>
        <v>0</v>
      </c>
      <c r="U111" s="52">
        <f t="shared" si="29"/>
        <v>11.5164967891225</v>
      </c>
      <c r="V111">
        <f t="shared" si="30"/>
        <v>0</v>
      </c>
      <c r="W111">
        <f t="shared" si="31"/>
        <v>0</v>
      </c>
      <c r="X111">
        <f t="shared" si="32"/>
        <v>0</v>
      </c>
      <c r="Y111">
        <f t="shared" si="33"/>
        <v>55.291519</v>
      </c>
      <c r="Z111">
        <f t="shared" si="34"/>
        <v>0</v>
      </c>
      <c r="AA111">
        <f t="shared" si="35"/>
        <v>0</v>
      </c>
      <c r="AB111">
        <f t="shared" si="36"/>
        <v>0</v>
      </c>
      <c r="AC111">
        <f t="shared" si="37"/>
        <v>102.520172</v>
      </c>
    </row>
    <row r="112" spans="2:29">
      <c r="B112" s="5">
        <v>93</v>
      </c>
      <c r="C112" s="6">
        <v>60.838661</v>
      </c>
      <c r="D112" s="6">
        <v>117.968285</v>
      </c>
      <c r="E112" s="42">
        <v>0.15</v>
      </c>
      <c r="F112">
        <f t="shared" si="38"/>
        <v>57.2315708685648</v>
      </c>
      <c r="G112">
        <f t="shared" si="39"/>
        <v>112.309194270754</v>
      </c>
      <c r="L112">
        <f t="shared" si="40"/>
        <v>3.60709013143517</v>
      </c>
      <c r="M112">
        <f t="shared" si="41"/>
        <v>5.65909072924588</v>
      </c>
      <c r="N112" s="47">
        <f t="shared" si="22"/>
        <v>3.60709013143517</v>
      </c>
      <c r="O112">
        <f t="shared" si="23"/>
        <v>0</v>
      </c>
      <c r="P112">
        <f t="shared" si="24"/>
        <v>0</v>
      </c>
      <c r="Q112">
        <f t="shared" si="25"/>
        <v>0</v>
      </c>
      <c r="R112">
        <f t="shared" si="26"/>
        <v>5.65909072924588</v>
      </c>
      <c r="S112">
        <f t="shared" si="27"/>
        <v>0</v>
      </c>
      <c r="T112">
        <f t="shared" si="28"/>
        <v>0</v>
      </c>
      <c r="U112" s="52">
        <f t="shared" si="29"/>
        <v>0</v>
      </c>
      <c r="V112">
        <f t="shared" si="30"/>
        <v>60.838661</v>
      </c>
      <c r="W112">
        <f t="shared" si="31"/>
        <v>0</v>
      </c>
      <c r="X112">
        <f t="shared" si="32"/>
        <v>0</v>
      </c>
      <c r="Y112">
        <f t="shared" si="33"/>
        <v>0</v>
      </c>
      <c r="Z112">
        <f t="shared" si="34"/>
        <v>117.968285</v>
      </c>
      <c r="AA112">
        <f t="shared" si="35"/>
        <v>0</v>
      </c>
      <c r="AB112">
        <f t="shared" si="36"/>
        <v>0</v>
      </c>
      <c r="AC112">
        <f t="shared" si="37"/>
        <v>0</v>
      </c>
    </row>
    <row r="113" spans="2:29">
      <c r="B113" s="5">
        <v>94</v>
      </c>
      <c r="C113" s="6">
        <v>60.503517</v>
      </c>
      <c r="D113" s="6">
        <v>127.977478</v>
      </c>
      <c r="E113" s="42">
        <v>0.35</v>
      </c>
      <c r="F113">
        <f t="shared" si="38"/>
        <v>58.4940524145671</v>
      </c>
      <c r="G113">
        <f t="shared" si="39"/>
        <v>114.28987602599</v>
      </c>
      <c r="L113">
        <f t="shared" si="40"/>
        <v>2.00946458543287</v>
      </c>
      <c r="M113">
        <f t="shared" si="41"/>
        <v>13.6876019740098</v>
      </c>
      <c r="N113" s="47">
        <f t="shared" si="22"/>
        <v>0</v>
      </c>
      <c r="O113">
        <f t="shared" si="23"/>
        <v>2.00946458543287</v>
      </c>
      <c r="P113">
        <f t="shared" si="24"/>
        <v>0</v>
      </c>
      <c r="Q113">
        <f t="shared" si="25"/>
        <v>0</v>
      </c>
      <c r="R113">
        <f t="shared" si="26"/>
        <v>0</v>
      </c>
      <c r="S113">
        <f t="shared" si="27"/>
        <v>13.6876019740098</v>
      </c>
      <c r="T113">
        <f t="shared" si="28"/>
        <v>0</v>
      </c>
      <c r="U113" s="52">
        <f t="shared" si="29"/>
        <v>0</v>
      </c>
      <c r="V113">
        <f t="shared" si="30"/>
        <v>0</v>
      </c>
      <c r="W113">
        <f t="shared" si="31"/>
        <v>60.503517</v>
      </c>
      <c r="X113">
        <f t="shared" si="32"/>
        <v>0</v>
      </c>
      <c r="Y113">
        <f t="shared" si="33"/>
        <v>0</v>
      </c>
      <c r="Z113">
        <f t="shared" si="34"/>
        <v>0</v>
      </c>
      <c r="AA113">
        <f t="shared" si="35"/>
        <v>127.977478</v>
      </c>
      <c r="AB113">
        <f t="shared" si="36"/>
        <v>0</v>
      </c>
      <c r="AC113">
        <f t="shared" si="37"/>
        <v>0</v>
      </c>
    </row>
    <row r="114" spans="2:29">
      <c r="B114" s="5">
        <v>95</v>
      </c>
      <c r="C114" s="6">
        <v>63.687393</v>
      </c>
      <c r="D114" s="6">
        <v>135.627487</v>
      </c>
      <c r="E114" s="42">
        <v>0.55</v>
      </c>
      <c r="F114">
        <f t="shared" si="38"/>
        <v>59.5992579365552</v>
      </c>
      <c r="G114">
        <f t="shared" si="39"/>
        <v>121.818057111696</v>
      </c>
      <c r="L114">
        <f t="shared" si="40"/>
        <v>4.08813506344479</v>
      </c>
      <c r="M114">
        <f t="shared" si="41"/>
        <v>13.8094298883044</v>
      </c>
      <c r="N114" s="47">
        <f t="shared" si="22"/>
        <v>0</v>
      </c>
      <c r="O114">
        <f t="shared" si="23"/>
        <v>0</v>
      </c>
      <c r="P114">
        <f t="shared" si="24"/>
        <v>4.08813506344479</v>
      </c>
      <c r="Q114">
        <f t="shared" si="25"/>
        <v>0</v>
      </c>
      <c r="R114">
        <f t="shared" si="26"/>
        <v>0</v>
      </c>
      <c r="S114">
        <f t="shared" si="27"/>
        <v>0</v>
      </c>
      <c r="T114">
        <f t="shared" si="28"/>
        <v>13.8094298883044</v>
      </c>
      <c r="U114" s="52">
        <f t="shared" si="29"/>
        <v>0</v>
      </c>
      <c r="V114">
        <f t="shared" si="30"/>
        <v>0</v>
      </c>
      <c r="W114">
        <f t="shared" si="31"/>
        <v>0</v>
      </c>
      <c r="X114">
        <f t="shared" si="32"/>
        <v>63.687393</v>
      </c>
      <c r="Y114">
        <f t="shared" si="33"/>
        <v>0</v>
      </c>
      <c r="Z114">
        <f t="shared" si="34"/>
        <v>0</v>
      </c>
      <c r="AA114">
        <f t="shared" si="35"/>
        <v>0</v>
      </c>
      <c r="AB114">
        <f t="shared" si="36"/>
        <v>135.627487</v>
      </c>
      <c r="AC114">
        <f t="shared" si="37"/>
        <v>0</v>
      </c>
    </row>
    <row r="115" spans="2:29">
      <c r="B115" s="5">
        <v>96</v>
      </c>
      <c r="C115" s="6">
        <v>61.050594</v>
      </c>
      <c r="D115" s="6">
        <v>129.576599</v>
      </c>
      <c r="E115" s="42">
        <v>0.75</v>
      </c>
      <c r="F115">
        <f t="shared" si="38"/>
        <v>62.6653592341388</v>
      </c>
      <c r="G115">
        <f t="shared" si="39"/>
        <v>132.175129527924</v>
      </c>
      <c r="L115">
        <f t="shared" si="40"/>
        <v>1.61476523413881</v>
      </c>
      <c r="M115">
        <f t="shared" si="41"/>
        <v>2.59853052792391</v>
      </c>
      <c r="N115" s="47">
        <f t="shared" si="22"/>
        <v>0</v>
      </c>
      <c r="O115">
        <f t="shared" si="23"/>
        <v>0</v>
      </c>
      <c r="P115">
        <f t="shared" si="24"/>
        <v>0</v>
      </c>
      <c r="Q115">
        <f t="shared" si="25"/>
        <v>1.61476523413881</v>
      </c>
      <c r="R115">
        <f t="shared" si="26"/>
        <v>0</v>
      </c>
      <c r="S115">
        <f t="shared" si="27"/>
        <v>0</v>
      </c>
      <c r="T115">
        <f t="shared" si="28"/>
        <v>0</v>
      </c>
      <c r="U115" s="52">
        <f t="shared" si="29"/>
        <v>2.59853052792391</v>
      </c>
      <c r="V115">
        <f t="shared" si="30"/>
        <v>0</v>
      </c>
      <c r="W115">
        <f t="shared" si="31"/>
        <v>0</v>
      </c>
      <c r="X115">
        <f t="shared" si="32"/>
        <v>0</v>
      </c>
      <c r="Y115">
        <f t="shared" si="33"/>
        <v>61.050594</v>
      </c>
      <c r="Z115">
        <f t="shared" si="34"/>
        <v>0</v>
      </c>
      <c r="AA115">
        <f t="shared" si="35"/>
        <v>0</v>
      </c>
      <c r="AB115">
        <f t="shared" si="36"/>
        <v>0</v>
      </c>
      <c r="AC115">
        <f t="shared" si="37"/>
        <v>129.576599</v>
      </c>
    </row>
    <row r="116" spans="2:29">
      <c r="B116" s="5">
        <v>97</v>
      </c>
      <c r="C116" s="6">
        <v>62.79285</v>
      </c>
      <c r="D116" s="6">
        <v>130.050385</v>
      </c>
      <c r="E116" s="42">
        <v>0.15</v>
      </c>
      <c r="F116">
        <f t="shared" si="38"/>
        <v>62.423144449018</v>
      </c>
      <c r="G116">
        <f t="shared" si="39"/>
        <v>131.785349948735</v>
      </c>
      <c r="L116">
        <f t="shared" si="40"/>
        <v>0.369705550982019</v>
      </c>
      <c r="M116">
        <f t="shared" si="41"/>
        <v>1.7349649487353</v>
      </c>
      <c r="N116" s="47">
        <f t="shared" si="22"/>
        <v>0.369705550982019</v>
      </c>
      <c r="O116">
        <f t="shared" si="23"/>
        <v>0</v>
      </c>
      <c r="P116">
        <f t="shared" si="24"/>
        <v>0</v>
      </c>
      <c r="Q116">
        <f t="shared" si="25"/>
        <v>0</v>
      </c>
      <c r="R116">
        <f t="shared" si="26"/>
        <v>1.7349649487353</v>
      </c>
      <c r="S116">
        <f t="shared" si="27"/>
        <v>0</v>
      </c>
      <c r="T116">
        <f t="shared" si="28"/>
        <v>0</v>
      </c>
      <c r="U116" s="52">
        <f t="shared" si="29"/>
        <v>0</v>
      </c>
      <c r="V116">
        <f t="shared" si="30"/>
        <v>62.79285</v>
      </c>
      <c r="W116">
        <f t="shared" si="31"/>
        <v>0</v>
      </c>
      <c r="X116">
        <f t="shared" si="32"/>
        <v>0</v>
      </c>
      <c r="Y116">
        <f t="shared" si="33"/>
        <v>0</v>
      </c>
      <c r="Z116">
        <f t="shared" si="34"/>
        <v>130.050385</v>
      </c>
      <c r="AA116">
        <f t="shared" si="35"/>
        <v>0</v>
      </c>
      <c r="AB116">
        <f t="shared" si="36"/>
        <v>0</v>
      </c>
      <c r="AC116">
        <f t="shared" si="37"/>
        <v>0</v>
      </c>
    </row>
    <row r="117" spans="2:29">
      <c r="B117" s="5">
        <v>98</v>
      </c>
      <c r="C117" s="6">
        <v>62.664707</v>
      </c>
      <c r="D117" s="6">
        <v>132.064072</v>
      </c>
      <c r="E117" s="42">
        <v>0.35</v>
      </c>
      <c r="F117">
        <f t="shared" si="38"/>
        <v>62.5525413918617</v>
      </c>
      <c r="G117">
        <f t="shared" si="39"/>
        <v>131.178112216678</v>
      </c>
      <c r="L117">
        <f t="shared" si="40"/>
        <v>0.112165608138312</v>
      </c>
      <c r="M117">
        <f t="shared" si="41"/>
        <v>0.88595978332205</v>
      </c>
      <c r="N117" s="47">
        <f t="shared" si="22"/>
        <v>0</v>
      </c>
      <c r="O117">
        <f t="shared" si="23"/>
        <v>0.112165608138312</v>
      </c>
      <c r="P117">
        <f t="shared" si="24"/>
        <v>0</v>
      </c>
      <c r="Q117">
        <f t="shared" si="25"/>
        <v>0</v>
      </c>
      <c r="R117">
        <f t="shared" si="26"/>
        <v>0</v>
      </c>
      <c r="S117">
        <f t="shared" si="27"/>
        <v>0.88595978332205</v>
      </c>
      <c r="T117">
        <f t="shared" si="28"/>
        <v>0</v>
      </c>
      <c r="U117" s="52">
        <f t="shared" si="29"/>
        <v>0</v>
      </c>
      <c r="V117">
        <f t="shared" si="30"/>
        <v>0</v>
      </c>
      <c r="W117">
        <f t="shared" si="31"/>
        <v>62.664707</v>
      </c>
      <c r="X117">
        <f t="shared" si="32"/>
        <v>0</v>
      </c>
      <c r="Y117">
        <f t="shared" si="33"/>
        <v>0</v>
      </c>
      <c r="Z117">
        <f t="shared" si="34"/>
        <v>0</v>
      </c>
      <c r="AA117">
        <f t="shared" si="35"/>
        <v>132.064072</v>
      </c>
      <c r="AB117">
        <f t="shared" si="36"/>
        <v>0</v>
      </c>
      <c r="AC117">
        <f t="shared" si="37"/>
        <v>0</v>
      </c>
    </row>
    <row r="118" spans="2:29">
      <c r="B118" s="5">
        <v>99</v>
      </c>
      <c r="C118" s="6">
        <v>59.367474</v>
      </c>
      <c r="D118" s="6">
        <v>128.036713</v>
      </c>
      <c r="E118" s="42">
        <v>0.55</v>
      </c>
      <c r="F118">
        <f t="shared" si="38"/>
        <v>62.6142324763378</v>
      </c>
      <c r="G118">
        <f t="shared" si="39"/>
        <v>131.665390097505</v>
      </c>
      <c r="L118">
        <f t="shared" si="40"/>
        <v>3.24675847633776</v>
      </c>
      <c r="M118">
        <f t="shared" si="41"/>
        <v>3.62867709750509</v>
      </c>
      <c r="N118" s="47">
        <f t="shared" si="22"/>
        <v>0</v>
      </c>
      <c r="O118">
        <f t="shared" si="23"/>
        <v>0</v>
      </c>
      <c r="P118">
        <f t="shared" si="24"/>
        <v>3.24675847633776</v>
      </c>
      <c r="Q118">
        <f t="shared" si="25"/>
        <v>0</v>
      </c>
      <c r="R118">
        <f t="shared" si="26"/>
        <v>0</v>
      </c>
      <c r="S118">
        <f t="shared" si="27"/>
        <v>0</v>
      </c>
      <c r="T118">
        <f t="shared" si="28"/>
        <v>3.62867709750509</v>
      </c>
      <c r="U118" s="52">
        <f t="shared" si="29"/>
        <v>0</v>
      </c>
      <c r="V118">
        <f t="shared" si="30"/>
        <v>0</v>
      </c>
      <c r="W118">
        <f t="shared" si="31"/>
        <v>0</v>
      </c>
      <c r="X118">
        <f t="shared" si="32"/>
        <v>59.367474</v>
      </c>
      <c r="Y118">
        <f t="shared" si="33"/>
        <v>0</v>
      </c>
      <c r="Z118">
        <f t="shared" si="34"/>
        <v>0</v>
      </c>
      <c r="AA118">
        <f t="shared" si="35"/>
        <v>0</v>
      </c>
      <c r="AB118">
        <f t="shared" si="36"/>
        <v>128.036713</v>
      </c>
      <c r="AC118">
        <f t="shared" si="37"/>
        <v>0</v>
      </c>
    </row>
    <row r="119" spans="2:29">
      <c r="B119" s="5">
        <v>100</v>
      </c>
      <c r="C119" s="6">
        <v>60.35812</v>
      </c>
      <c r="D119" s="6">
        <v>131.09671</v>
      </c>
      <c r="E119" s="42">
        <v>0.75</v>
      </c>
      <c r="F119">
        <f t="shared" si="38"/>
        <v>60.1791636190844</v>
      </c>
      <c r="G119">
        <f t="shared" si="39"/>
        <v>128.943882274376</v>
      </c>
      <c r="L119">
        <f t="shared" si="40"/>
        <v>0.178956380915565</v>
      </c>
      <c r="M119">
        <f t="shared" si="41"/>
        <v>2.15282772562372</v>
      </c>
      <c r="N119" s="47">
        <f t="shared" si="22"/>
        <v>0</v>
      </c>
      <c r="O119">
        <f t="shared" si="23"/>
        <v>0</v>
      </c>
      <c r="P119">
        <f t="shared" si="24"/>
        <v>0</v>
      </c>
      <c r="Q119">
        <f t="shared" si="25"/>
        <v>0.178956380915565</v>
      </c>
      <c r="R119">
        <f t="shared" si="26"/>
        <v>0</v>
      </c>
      <c r="S119">
        <f t="shared" si="27"/>
        <v>0</v>
      </c>
      <c r="T119">
        <f t="shared" si="28"/>
        <v>0</v>
      </c>
      <c r="U119" s="52">
        <f t="shared" si="29"/>
        <v>2.15282772562372</v>
      </c>
      <c r="V119">
        <f t="shared" si="30"/>
        <v>0</v>
      </c>
      <c r="W119">
        <f t="shared" si="31"/>
        <v>0</v>
      </c>
      <c r="X119">
        <f t="shared" si="32"/>
        <v>0</v>
      </c>
      <c r="Y119">
        <f t="shared" si="33"/>
        <v>60.35812</v>
      </c>
      <c r="Z119">
        <f t="shared" si="34"/>
        <v>0</v>
      </c>
      <c r="AA119">
        <f t="shared" si="35"/>
        <v>0</v>
      </c>
      <c r="AB119">
        <f t="shared" si="36"/>
        <v>0</v>
      </c>
      <c r="AC119">
        <f t="shared" si="37"/>
        <v>131.09671</v>
      </c>
    </row>
    <row r="120" spans="2:29">
      <c r="B120" s="5">
        <v>101</v>
      </c>
      <c r="C120" s="6">
        <v>59.490692</v>
      </c>
      <c r="D120" s="6">
        <v>125.805862</v>
      </c>
      <c r="E120" s="42">
        <v>0.15</v>
      </c>
      <c r="F120">
        <f t="shared" si="38"/>
        <v>60.2060070762218</v>
      </c>
      <c r="G120">
        <f t="shared" si="39"/>
        <v>129.26680643322</v>
      </c>
      <c r="L120">
        <f t="shared" si="40"/>
        <v>0.715315076221763</v>
      </c>
      <c r="M120">
        <f t="shared" si="41"/>
        <v>3.46094443321984</v>
      </c>
      <c r="N120" s="47">
        <f t="shared" si="22"/>
        <v>0.715315076221763</v>
      </c>
      <c r="O120">
        <f t="shared" si="23"/>
        <v>0</v>
      </c>
      <c r="P120">
        <f t="shared" si="24"/>
        <v>0</v>
      </c>
      <c r="Q120">
        <f t="shared" si="25"/>
        <v>0</v>
      </c>
      <c r="R120">
        <f t="shared" si="26"/>
        <v>3.46094443321984</v>
      </c>
      <c r="S120">
        <f t="shared" si="27"/>
        <v>0</v>
      </c>
      <c r="T120">
        <f t="shared" si="28"/>
        <v>0</v>
      </c>
      <c r="U120" s="52">
        <f t="shared" si="29"/>
        <v>0</v>
      </c>
      <c r="V120">
        <f t="shared" si="30"/>
        <v>59.490692</v>
      </c>
      <c r="W120">
        <f t="shared" si="31"/>
        <v>0</v>
      </c>
      <c r="X120">
        <f t="shared" si="32"/>
        <v>0</v>
      </c>
      <c r="Y120">
        <f t="shared" si="33"/>
        <v>0</v>
      </c>
      <c r="Z120">
        <f t="shared" si="34"/>
        <v>125.805862</v>
      </c>
      <c r="AA120">
        <f t="shared" si="35"/>
        <v>0</v>
      </c>
      <c r="AB120">
        <f t="shared" si="36"/>
        <v>0</v>
      </c>
      <c r="AC120">
        <f t="shared" si="37"/>
        <v>0</v>
      </c>
    </row>
    <row r="121" spans="2:29">
      <c r="B121" s="5">
        <v>102</v>
      </c>
      <c r="C121" s="6">
        <v>64.680504</v>
      </c>
      <c r="D121" s="6">
        <v>132.271362</v>
      </c>
      <c r="E121" s="42">
        <v>0.35</v>
      </c>
      <c r="F121">
        <f t="shared" si="38"/>
        <v>59.9556467995442</v>
      </c>
      <c r="G121">
        <f t="shared" si="39"/>
        <v>128.055475881593</v>
      </c>
      <c r="L121">
        <f t="shared" si="40"/>
        <v>4.72485720045584</v>
      </c>
      <c r="M121">
        <f t="shared" si="41"/>
        <v>4.21588611840713</v>
      </c>
      <c r="N121" s="47">
        <f t="shared" si="22"/>
        <v>0</v>
      </c>
      <c r="O121">
        <f t="shared" si="23"/>
        <v>4.72485720045584</v>
      </c>
      <c r="P121">
        <f t="shared" si="24"/>
        <v>0</v>
      </c>
      <c r="Q121">
        <f t="shared" si="25"/>
        <v>0</v>
      </c>
      <c r="R121">
        <f t="shared" si="26"/>
        <v>0</v>
      </c>
      <c r="S121">
        <f t="shared" si="27"/>
        <v>4.21588611840713</v>
      </c>
      <c r="T121">
        <f t="shared" si="28"/>
        <v>0</v>
      </c>
      <c r="U121" s="52">
        <f t="shared" si="29"/>
        <v>0</v>
      </c>
      <c r="V121">
        <f t="shared" si="30"/>
        <v>0</v>
      </c>
      <c r="W121">
        <f t="shared" si="31"/>
        <v>64.680504</v>
      </c>
      <c r="X121">
        <f t="shared" si="32"/>
        <v>0</v>
      </c>
      <c r="Y121">
        <f t="shared" si="33"/>
        <v>0</v>
      </c>
      <c r="Z121">
        <f t="shared" si="34"/>
        <v>0</v>
      </c>
      <c r="AA121">
        <f t="shared" si="35"/>
        <v>132.271362</v>
      </c>
      <c r="AB121">
        <f t="shared" si="36"/>
        <v>0</v>
      </c>
      <c r="AC121">
        <f t="shared" si="37"/>
        <v>0</v>
      </c>
    </row>
    <row r="122" spans="2:29">
      <c r="B122" s="5">
        <v>103</v>
      </c>
      <c r="C122" s="6">
        <v>63.931355</v>
      </c>
      <c r="D122" s="6">
        <v>133.495361</v>
      </c>
      <c r="E122" s="42">
        <v>0.55</v>
      </c>
      <c r="F122">
        <f t="shared" si="38"/>
        <v>62.5543182597949</v>
      </c>
      <c r="G122">
        <f t="shared" si="39"/>
        <v>130.374213246717</v>
      </c>
      <c r="L122">
        <f t="shared" si="40"/>
        <v>1.37703674020513</v>
      </c>
      <c r="M122">
        <f t="shared" si="41"/>
        <v>3.1211477532832</v>
      </c>
      <c r="N122" s="47">
        <f t="shared" si="22"/>
        <v>0</v>
      </c>
      <c r="O122">
        <f t="shared" si="23"/>
        <v>0</v>
      </c>
      <c r="P122">
        <f t="shared" si="24"/>
        <v>1.37703674020513</v>
      </c>
      <c r="Q122">
        <f t="shared" si="25"/>
        <v>0</v>
      </c>
      <c r="R122">
        <f t="shared" si="26"/>
        <v>0</v>
      </c>
      <c r="S122">
        <f t="shared" si="27"/>
        <v>0</v>
      </c>
      <c r="T122">
        <f t="shared" si="28"/>
        <v>3.1211477532832</v>
      </c>
      <c r="U122" s="52">
        <f t="shared" si="29"/>
        <v>0</v>
      </c>
      <c r="V122">
        <f t="shared" si="30"/>
        <v>0</v>
      </c>
      <c r="W122">
        <f t="shared" si="31"/>
        <v>0</v>
      </c>
      <c r="X122">
        <f t="shared" si="32"/>
        <v>63.931355</v>
      </c>
      <c r="Y122">
        <f t="shared" si="33"/>
        <v>0</v>
      </c>
      <c r="Z122">
        <f t="shared" si="34"/>
        <v>0</v>
      </c>
      <c r="AA122">
        <f t="shared" si="35"/>
        <v>0</v>
      </c>
      <c r="AB122">
        <f t="shared" si="36"/>
        <v>133.495361</v>
      </c>
      <c r="AC122">
        <f t="shared" si="37"/>
        <v>0</v>
      </c>
    </row>
    <row r="123" spans="2:29">
      <c r="B123" s="5">
        <v>104</v>
      </c>
      <c r="C123" s="6">
        <v>65.567657</v>
      </c>
      <c r="D123" s="6">
        <v>137.453644</v>
      </c>
      <c r="E123" s="42">
        <v>0.75</v>
      </c>
      <c r="F123">
        <f t="shared" si="38"/>
        <v>63.5870958149487</v>
      </c>
      <c r="G123">
        <f t="shared" si="39"/>
        <v>132.715074061679</v>
      </c>
      <c r="L123">
        <f t="shared" si="40"/>
        <v>1.98056118505127</v>
      </c>
      <c r="M123">
        <f t="shared" si="41"/>
        <v>4.73856993832078</v>
      </c>
      <c r="N123" s="47">
        <f t="shared" si="22"/>
        <v>0</v>
      </c>
      <c r="O123">
        <f t="shared" si="23"/>
        <v>0</v>
      </c>
      <c r="P123">
        <f t="shared" si="24"/>
        <v>0</v>
      </c>
      <c r="Q123">
        <f t="shared" si="25"/>
        <v>1.98056118505127</v>
      </c>
      <c r="R123">
        <f t="shared" si="26"/>
        <v>0</v>
      </c>
      <c r="S123">
        <f t="shared" si="27"/>
        <v>0</v>
      </c>
      <c r="T123">
        <f t="shared" si="28"/>
        <v>0</v>
      </c>
      <c r="U123" s="52">
        <f t="shared" si="29"/>
        <v>4.73856993832078</v>
      </c>
      <c r="V123">
        <f t="shared" si="30"/>
        <v>0</v>
      </c>
      <c r="W123">
        <f t="shared" si="31"/>
        <v>0</v>
      </c>
      <c r="X123">
        <f t="shared" si="32"/>
        <v>0</v>
      </c>
      <c r="Y123">
        <f t="shared" si="33"/>
        <v>65.567657</v>
      </c>
      <c r="Z123">
        <f t="shared" si="34"/>
        <v>0</v>
      </c>
      <c r="AA123">
        <f t="shared" si="35"/>
        <v>0</v>
      </c>
      <c r="AB123">
        <f t="shared" si="36"/>
        <v>0</v>
      </c>
      <c r="AC123">
        <f t="shared" si="37"/>
        <v>137.453644</v>
      </c>
    </row>
    <row r="124" spans="2:29">
      <c r="B124" s="5">
        <v>105</v>
      </c>
      <c r="C124" s="6">
        <v>66.040802</v>
      </c>
      <c r="D124" s="6">
        <v>141.579712</v>
      </c>
      <c r="E124" s="42">
        <v>0.15</v>
      </c>
      <c r="F124">
        <f t="shared" si="38"/>
        <v>63.8841799927064</v>
      </c>
      <c r="G124">
        <f t="shared" si="39"/>
        <v>133.425859552427</v>
      </c>
      <c r="L124">
        <f t="shared" si="40"/>
        <v>2.15662200729358</v>
      </c>
      <c r="M124">
        <f t="shared" si="41"/>
        <v>8.15385244757269</v>
      </c>
      <c r="N124" s="47">
        <f t="shared" si="22"/>
        <v>2.15662200729358</v>
      </c>
      <c r="O124">
        <f t="shared" si="23"/>
        <v>0</v>
      </c>
      <c r="P124">
        <f t="shared" si="24"/>
        <v>0</v>
      </c>
      <c r="Q124">
        <f t="shared" si="25"/>
        <v>0</v>
      </c>
      <c r="R124">
        <f t="shared" si="26"/>
        <v>8.15385244757269</v>
      </c>
      <c r="S124">
        <f t="shared" si="27"/>
        <v>0</v>
      </c>
      <c r="T124">
        <f t="shared" si="28"/>
        <v>0</v>
      </c>
      <c r="U124" s="52">
        <f t="shared" si="29"/>
        <v>0</v>
      </c>
      <c r="V124">
        <f t="shared" si="30"/>
        <v>66.040802</v>
      </c>
      <c r="W124">
        <f t="shared" si="31"/>
        <v>0</v>
      </c>
      <c r="X124">
        <f t="shared" si="32"/>
        <v>0</v>
      </c>
      <c r="Y124">
        <f t="shared" si="33"/>
        <v>0</v>
      </c>
      <c r="Z124">
        <f t="shared" si="34"/>
        <v>141.579712</v>
      </c>
      <c r="AA124">
        <f t="shared" si="35"/>
        <v>0</v>
      </c>
      <c r="AB124">
        <f t="shared" si="36"/>
        <v>0</v>
      </c>
      <c r="AC124">
        <f t="shared" si="37"/>
        <v>0</v>
      </c>
    </row>
    <row r="125" spans="2:29">
      <c r="B125" s="5">
        <v>106</v>
      </c>
      <c r="C125" s="6">
        <v>67.337029</v>
      </c>
      <c r="D125" s="6">
        <v>136.160538</v>
      </c>
      <c r="E125" s="42">
        <v>0.35</v>
      </c>
      <c r="F125">
        <f t="shared" si="38"/>
        <v>64.6389976952592</v>
      </c>
      <c r="G125">
        <f t="shared" si="39"/>
        <v>136.279707909078</v>
      </c>
      <c r="L125">
        <f t="shared" si="40"/>
        <v>2.69803130474084</v>
      </c>
      <c r="M125">
        <f t="shared" si="41"/>
        <v>0.119169909077755</v>
      </c>
      <c r="N125" s="47">
        <f t="shared" si="22"/>
        <v>0</v>
      </c>
      <c r="O125">
        <f t="shared" si="23"/>
        <v>2.69803130474084</v>
      </c>
      <c r="P125">
        <f t="shared" si="24"/>
        <v>0</v>
      </c>
      <c r="Q125">
        <f t="shared" si="25"/>
        <v>0</v>
      </c>
      <c r="R125">
        <f t="shared" si="26"/>
        <v>0</v>
      </c>
      <c r="S125">
        <f t="shared" si="27"/>
        <v>0.119169909077755</v>
      </c>
      <c r="T125">
        <f t="shared" si="28"/>
        <v>0</v>
      </c>
      <c r="U125" s="52">
        <f t="shared" si="29"/>
        <v>0</v>
      </c>
      <c r="V125">
        <f t="shared" si="30"/>
        <v>0</v>
      </c>
      <c r="W125">
        <f t="shared" si="31"/>
        <v>67.337029</v>
      </c>
      <c r="X125">
        <f t="shared" si="32"/>
        <v>0</v>
      </c>
      <c r="Y125">
        <f t="shared" si="33"/>
        <v>0</v>
      </c>
      <c r="Z125">
        <f t="shared" si="34"/>
        <v>0</v>
      </c>
      <c r="AA125">
        <f t="shared" si="35"/>
        <v>136.160538</v>
      </c>
      <c r="AB125">
        <f t="shared" si="36"/>
        <v>0</v>
      </c>
      <c r="AC125">
        <f t="shared" si="37"/>
        <v>0</v>
      </c>
    </row>
    <row r="126" spans="2:29">
      <c r="B126" s="5">
        <v>107</v>
      </c>
      <c r="C126" s="6">
        <v>70.737755</v>
      </c>
      <c r="D126" s="6">
        <v>138.776337</v>
      </c>
      <c r="E126" s="42">
        <v>0.55</v>
      </c>
      <c r="F126">
        <f t="shared" si="38"/>
        <v>66.1229149128666</v>
      </c>
      <c r="G126">
        <f t="shared" si="39"/>
        <v>136.214164459085</v>
      </c>
      <c r="L126">
        <f t="shared" si="40"/>
        <v>4.61484008713337</v>
      </c>
      <c r="M126">
        <f t="shared" si="41"/>
        <v>2.56217254091501</v>
      </c>
      <c r="N126" s="47">
        <f t="shared" si="22"/>
        <v>0</v>
      </c>
      <c r="O126">
        <f t="shared" si="23"/>
        <v>0</v>
      </c>
      <c r="P126">
        <f t="shared" si="24"/>
        <v>4.61484008713337</v>
      </c>
      <c r="Q126">
        <f t="shared" si="25"/>
        <v>0</v>
      </c>
      <c r="R126">
        <f t="shared" si="26"/>
        <v>0</v>
      </c>
      <c r="S126">
        <f t="shared" si="27"/>
        <v>0</v>
      </c>
      <c r="T126">
        <f t="shared" si="28"/>
        <v>2.56217254091501</v>
      </c>
      <c r="U126" s="52">
        <f t="shared" si="29"/>
        <v>0</v>
      </c>
      <c r="V126">
        <f t="shared" si="30"/>
        <v>0</v>
      </c>
      <c r="W126">
        <f t="shared" si="31"/>
        <v>0</v>
      </c>
      <c r="X126">
        <f t="shared" si="32"/>
        <v>70.737755</v>
      </c>
      <c r="Y126">
        <f t="shared" si="33"/>
        <v>0</v>
      </c>
      <c r="Z126">
        <f t="shared" si="34"/>
        <v>0</v>
      </c>
      <c r="AA126">
        <f t="shared" si="35"/>
        <v>0</v>
      </c>
      <c r="AB126">
        <f t="shared" si="36"/>
        <v>138.776337</v>
      </c>
      <c r="AC126">
        <f t="shared" si="37"/>
        <v>0</v>
      </c>
    </row>
    <row r="127" spans="2:29">
      <c r="B127" s="5">
        <v>108</v>
      </c>
      <c r="C127" s="6">
        <v>70.09211</v>
      </c>
      <c r="D127" s="6">
        <v>133.100525</v>
      </c>
      <c r="E127" s="42">
        <v>0.75</v>
      </c>
      <c r="F127">
        <f t="shared" si="38"/>
        <v>69.5840449782167</v>
      </c>
      <c r="G127">
        <f t="shared" si="39"/>
        <v>138.135793864771</v>
      </c>
      <c r="L127">
        <f t="shared" si="40"/>
        <v>0.508065021783338</v>
      </c>
      <c r="M127">
        <f t="shared" si="41"/>
        <v>5.03526886477124</v>
      </c>
      <c r="N127" s="47">
        <f t="shared" si="22"/>
        <v>0</v>
      </c>
      <c r="O127">
        <f t="shared" si="23"/>
        <v>0</v>
      </c>
      <c r="P127">
        <f t="shared" si="24"/>
        <v>0</v>
      </c>
      <c r="Q127">
        <f t="shared" si="25"/>
        <v>0.508065021783338</v>
      </c>
      <c r="R127">
        <f t="shared" si="26"/>
        <v>0</v>
      </c>
      <c r="S127">
        <f t="shared" si="27"/>
        <v>0</v>
      </c>
      <c r="T127">
        <f t="shared" si="28"/>
        <v>0</v>
      </c>
      <c r="U127" s="52">
        <f t="shared" si="29"/>
        <v>5.03526886477124</v>
      </c>
      <c r="V127">
        <f t="shared" si="30"/>
        <v>0</v>
      </c>
      <c r="W127">
        <f t="shared" si="31"/>
        <v>0</v>
      </c>
      <c r="X127">
        <f t="shared" si="32"/>
        <v>0</v>
      </c>
      <c r="Y127">
        <f t="shared" si="33"/>
        <v>70.09211</v>
      </c>
      <c r="Z127">
        <f t="shared" si="34"/>
        <v>0</v>
      </c>
      <c r="AA127">
        <f t="shared" si="35"/>
        <v>0</v>
      </c>
      <c r="AB127">
        <f t="shared" si="36"/>
        <v>0</v>
      </c>
      <c r="AC127">
        <f t="shared" si="37"/>
        <v>133.100525</v>
      </c>
    </row>
    <row r="128" spans="2:29">
      <c r="B128" s="5">
        <v>109</v>
      </c>
      <c r="C128" s="6">
        <v>70.64904</v>
      </c>
      <c r="D128" s="6">
        <v>130.62291</v>
      </c>
      <c r="E128" s="42">
        <v>0.15</v>
      </c>
      <c r="F128">
        <f t="shared" si="38"/>
        <v>69.6602547314842</v>
      </c>
      <c r="G128">
        <f t="shared" si="39"/>
        <v>137.380503535056</v>
      </c>
      <c r="L128">
        <f t="shared" si="40"/>
        <v>0.988785268515826</v>
      </c>
      <c r="M128">
        <f t="shared" si="41"/>
        <v>6.75759353505555</v>
      </c>
      <c r="N128" s="47">
        <f t="shared" si="22"/>
        <v>0.988785268515826</v>
      </c>
      <c r="O128">
        <f t="shared" si="23"/>
        <v>0</v>
      </c>
      <c r="P128">
        <f t="shared" si="24"/>
        <v>0</v>
      </c>
      <c r="Q128">
        <f t="shared" si="25"/>
        <v>0</v>
      </c>
      <c r="R128">
        <f t="shared" si="26"/>
        <v>6.75759353505555</v>
      </c>
      <c r="S128">
        <f t="shared" si="27"/>
        <v>0</v>
      </c>
      <c r="T128">
        <f t="shared" si="28"/>
        <v>0</v>
      </c>
      <c r="U128" s="52">
        <f t="shared" si="29"/>
        <v>0</v>
      </c>
      <c r="V128">
        <f t="shared" si="30"/>
        <v>70.64904</v>
      </c>
      <c r="W128">
        <f t="shared" si="31"/>
        <v>0</v>
      </c>
      <c r="X128">
        <f t="shared" si="32"/>
        <v>0</v>
      </c>
      <c r="Y128">
        <f t="shared" si="33"/>
        <v>0</v>
      </c>
      <c r="Z128">
        <f t="shared" si="34"/>
        <v>130.62291</v>
      </c>
      <c r="AA128">
        <f t="shared" si="35"/>
        <v>0</v>
      </c>
      <c r="AB128">
        <f t="shared" si="36"/>
        <v>0</v>
      </c>
      <c r="AC128">
        <f t="shared" si="37"/>
        <v>0</v>
      </c>
    </row>
    <row r="129" spans="2:29">
      <c r="B129" s="5">
        <v>110</v>
      </c>
      <c r="C129" s="6">
        <v>69.690422</v>
      </c>
      <c r="D129" s="6">
        <v>136.535645</v>
      </c>
      <c r="E129" s="42">
        <v>0.35</v>
      </c>
      <c r="F129">
        <f t="shared" si="38"/>
        <v>70.0063295754647</v>
      </c>
      <c r="G129">
        <f t="shared" si="39"/>
        <v>135.015345797786</v>
      </c>
      <c r="L129">
        <f t="shared" si="40"/>
        <v>0.31590757546472</v>
      </c>
      <c r="M129">
        <f t="shared" si="41"/>
        <v>1.52029920221389</v>
      </c>
      <c r="N129" s="47">
        <f t="shared" si="22"/>
        <v>0</v>
      </c>
      <c r="O129">
        <f t="shared" si="23"/>
        <v>0.31590757546472</v>
      </c>
      <c r="P129">
        <f t="shared" si="24"/>
        <v>0</v>
      </c>
      <c r="Q129">
        <f t="shared" si="25"/>
        <v>0</v>
      </c>
      <c r="R129">
        <f t="shared" si="26"/>
        <v>0</v>
      </c>
      <c r="S129">
        <f t="shared" si="27"/>
        <v>1.52029920221389</v>
      </c>
      <c r="T129">
        <f t="shared" si="28"/>
        <v>0</v>
      </c>
      <c r="U129" s="52">
        <f t="shared" si="29"/>
        <v>0</v>
      </c>
      <c r="V129">
        <f t="shared" si="30"/>
        <v>0</v>
      </c>
      <c r="W129">
        <f t="shared" si="31"/>
        <v>69.690422</v>
      </c>
      <c r="X129">
        <f t="shared" si="32"/>
        <v>0</v>
      </c>
      <c r="Y129">
        <f t="shared" si="33"/>
        <v>0</v>
      </c>
      <c r="Z129">
        <f t="shared" si="34"/>
        <v>0</v>
      </c>
      <c r="AA129">
        <f t="shared" si="35"/>
        <v>136.535645</v>
      </c>
      <c r="AB129">
        <f t="shared" si="36"/>
        <v>0</v>
      </c>
      <c r="AC129">
        <f t="shared" si="37"/>
        <v>0</v>
      </c>
    </row>
    <row r="130" spans="2:29">
      <c r="B130" s="5">
        <v>111</v>
      </c>
      <c r="C130" s="6">
        <v>68.243881</v>
      </c>
      <c r="D130" s="6">
        <v>133.949432</v>
      </c>
      <c r="E130" s="42">
        <v>0.55</v>
      </c>
      <c r="F130">
        <f t="shared" si="38"/>
        <v>69.8325804089591</v>
      </c>
      <c r="G130">
        <f t="shared" si="39"/>
        <v>135.851510359004</v>
      </c>
      <c r="L130">
        <f t="shared" si="40"/>
        <v>1.58869940895912</v>
      </c>
      <c r="M130">
        <f t="shared" si="41"/>
        <v>1.90207835900372</v>
      </c>
      <c r="N130" s="47">
        <f t="shared" si="22"/>
        <v>0</v>
      </c>
      <c r="O130">
        <f t="shared" si="23"/>
        <v>0</v>
      </c>
      <c r="P130">
        <f t="shared" si="24"/>
        <v>1.58869940895912</v>
      </c>
      <c r="Q130">
        <f t="shared" si="25"/>
        <v>0</v>
      </c>
      <c r="R130">
        <f t="shared" si="26"/>
        <v>0</v>
      </c>
      <c r="S130">
        <f t="shared" si="27"/>
        <v>0</v>
      </c>
      <c r="T130">
        <f t="shared" si="28"/>
        <v>1.90207835900372</v>
      </c>
      <c r="U130" s="52">
        <f t="shared" si="29"/>
        <v>0</v>
      </c>
      <c r="V130">
        <f t="shared" si="30"/>
        <v>0</v>
      </c>
      <c r="W130">
        <f t="shared" si="31"/>
        <v>0</v>
      </c>
      <c r="X130">
        <f t="shared" si="32"/>
        <v>68.243881</v>
      </c>
      <c r="Y130">
        <f t="shared" si="33"/>
        <v>0</v>
      </c>
      <c r="Z130">
        <f t="shared" si="34"/>
        <v>0</v>
      </c>
      <c r="AA130">
        <f t="shared" si="35"/>
        <v>0</v>
      </c>
      <c r="AB130">
        <f t="shared" si="36"/>
        <v>133.949432</v>
      </c>
      <c r="AC130">
        <f t="shared" si="37"/>
        <v>0</v>
      </c>
    </row>
    <row r="131" spans="2:29">
      <c r="B131" s="5">
        <v>112</v>
      </c>
      <c r="C131" s="6">
        <v>66.134438</v>
      </c>
      <c r="D131" s="6">
        <v>130.297165</v>
      </c>
      <c r="E131" s="42">
        <v>0.75</v>
      </c>
      <c r="F131">
        <f t="shared" si="38"/>
        <v>68.6410558522398</v>
      </c>
      <c r="G131">
        <f t="shared" si="39"/>
        <v>134.424951589751</v>
      </c>
      <c r="L131">
        <f t="shared" si="40"/>
        <v>2.50661785223978</v>
      </c>
      <c r="M131">
        <f t="shared" si="41"/>
        <v>4.12778658975094</v>
      </c>
      <c r="N131" s="47">
        <f t="shared" si="22"/>
        <v>0</v>
      </c>
      <c r="O131">
        <f t="shared" si="23"/>
        <v>0</v>
      </c>
      <c r="P131">
        <f t="shared" si="24"/>
        <v>0</v>
      </c>
      <c r="Q131">
        <f t="shared" si="25"/>
        <v>2.50661785223978</v>
      </c>
      <c r="R131">
        <f t="shared" si="26"/>
        <v>0</v>
      </c>
      <c r="S131">
        <f t="shared" si="27"/>
        <v>0</v>
      </c>
      <c r="T131">
        <f t="shared" si="28"/>
        <v>0</v>
      </c>
      <c r="U131" s="52">
        <f t="shared" si="29"/>
        <v>4.12778658975094</v>
      </c>
      <c r="V131">
        <f t="shared" si="30"/>
        <v>0</v>
      </c>
      <c r="W131">
        <f t="shared" si="31"/>
        <v>0</v>
      </c>
      <c r="X131">
        <f t="shared" si="32"/>
        <v>0</v>
      </c>
      <c r="Y131">
        <f t="shared" si="33"/>
        <v>66.134438</v>
      </c>
      <c r="Z131">
        <f t="shared" si="34"/>
        <v>0</v>
      </c>
      <c r="AA131">
        <f t="shared" si="35"/>
        <v>0</v>
      </c>
      <c r="AB131">
        <f t="shared" si="36"/>
        <v>0</v>
      </c>
      <c r="AC131">
        <f t="shared" si="37"/>
        <v>130.297165</v>
      </c>
    </row>
    <row r="132" spans="2:29">
      <c r="B132" s="5">
        <v>113</v>
      </c>
      <c r="C132" s="6">
        <v>68.039352</v>
      </c>
      <c r="D132" s="6">
        <v>131.313873</v>
      </c>
      <c r="E132" s="42">
        <v>0.15</v>
      </c>
      <c r="F132">
        <f t="shared" si="38"/>
        <v>68.2650631744038</v>
      </c>
      <c r="G132">
        <f t="shared" si="39"/>
        <v>133.805783601288</v>
      </c>
      <c r="L132">
        <f t="shared" si="40"/>
        <v>0.225711174403827</v>
      </c>
      <c r="M132">
        <f t="shared" si="41"/>
        <v>2.49191060128831</v>
      </c>
      <c r="N132" s="47">
        <f t="shared" si="22"/>
        <v>0.225711174403827</v>
      </c>
      <c r="O132">
        <f t="shared" si="23"/>
        <v>0</v>
      </c>
      <c r="P132">
        <f t="shared" si="24"/>
        <v>0</v>
      </c>
      <c r="Q132">
        <f t="shared" si="25"/>
        <v>0</v>
      </c>
      <c r="R132">
        <f t="shared" si="26"/>
        <v>2.49191060128831</v>
      </c>
      <c r="S132">
        <f t="shared" si="27"/>
        <v>0</v>
      </c>
      <c r="T132">
        <f t="shared" si="28"/>
        <v>0</v>
      </c>
      <c r="U132" s="52">
        <f t="shared" si="29"/>
        <v>0</v>
      </c>
      <c r="V132">
        <f t="shared" si="30"/>
        <v>68.039352</v>
      </c>
      <c r="W132">
        <f t="shared" si="31"/>
        <v>0</v>
      </c>
      <c r="X132">
        <f t="shared" si="32"/>
        <v>0</v>
      </c>
      <c r="Y132">
        <f t="shared" si="33"/>
        <v>0</v>
      </c>
      <c r="Z132">
        <f t="shared" si="34"/>
        <v>131.313873</v>
      </c>
      <c r="AA132">
        <f t="shared" si="35"/>
        <v>0</v>
      </c>
      <c r="AB132">
        <f t="shared" si="36"/>
        <v>0</v>
      </c>
      <c r="AC132">
        <f t="shared" si="37"/>
        <v>0</v>
      </c>
    </row>
    <row r="133" spans="2:29">
      <c r="B133" s="5">
        <v>114</v>
      </c>
      <c r="C133" s="6">
        <v>67.775673</v>
      </c>
      <c r="D133" s="6">
        <v>132.942581</v>
      </c>
      <c r="E133" s="42">
        <v>0.35</v>
      </c>
      <c r="F133">
        <f t="shared" si="38"/>
        <v>68.1860642633625</v>
      </c>
      <c r="G133">
        <f t="shared" si="39"/>
        <v>132.933614890837</v>
      </c>
      <c r="L133">
        <f t="shared" si="40"/>
        <v>0.410391263362484</v>
      </c>
      <c r="M133">
        <f t="shared" si="41"/>
        <v>0.00896610916257146</v>
      </c>
      <c r="N133" s="47">
        <f t="shared" si="22"/>
        <v>0</v>
      </c>
      <c r="O133">
        <f t="shared" si="23"/>
        <v>0.410391263362484</v>
      </c>
      <c r="P133">
        <f t="shared" si="24"/>
        <v>0</v>
      </c>
      <c r="Q133">
        <f t="shared" si="25"/>
        <v>0</v>
      </c>
      <c r="R133">
        <f t="shared" si="26"/>
        <v>0</v>
      </c>
      <c r="S133">
        <f t="shared" si="27"/>
        <v>0.00896610916257146</v>
      </c>
      <c r="T133">
        <f t="shared" si="28"/>
        <v>0</v>
      </c>
      <c r="U133" s="52">
        <f t="shared" si="29"/>
        <v>0</v>
      </c>
      <c r="V133">
        <f t="shared" si="30"/>
        <v>0</v>
      </c>
      <c r="W133">
        <f t="shared" si="31"/>
        <v>67.775673</v>
      </c>
      <c r="X133">
        <f t="shared" si="32"/>
        <v>0</v>
      </c>
      <c r="Y133">
        <f t="shared" si="33"/>
        <v>0</v>
      </c>
      <c r="Z133">
        <f t="shared" si="34"/>
        <v>0</v>
      </c>
      <c r="AA133">
        <f t="shared" si="35"/>
        <v>132.942581</v>
      </c>
      <c r="AB133">
        <f t="shared" si="36"/>
        <v>0</v>
      </c>
      <c r="AC133">
        <f t="shared" si="37"/>
        <v>0</v>
      </c>
    </row>
    <row r="134" spans="2:29">
      <c r="B134" s="5">
        <v>115</v>
      </c>
      <c r="C134" s="6">
        <v>69.732323</v>
      </c>
      <c r="D134" s="6">
        <v>133.771759</v>
      </c>
      <c r="E134" s="42">
        <v>0.55</v>
      </c>
      <c r="F134">
        <f t="shared" si="38"/>
        <v>67.9603490685131</v>
      </c>
      <c r="G134">
        <f t="shared" si="39"/>
        <v>132.938546250877</v>
      </c>
      <c r="L134">
        <f t="shared" si="40"/>
        <v>1.77197393148688</v>
      </c>
      <c r="M134">
        <f t="shared" si="41"/>
        <v>0.833212749123163</v>
      </c>
      <c r="N134" s="47">
        <f t="shared" si="22"/>
        <v>0</v>
      </c>
      <c r="O134">
        <f t="shared" si="23"/>
        <v>0</v>
      </c>
      <c r="P134">
        <f t="shared" si="24"/>
        <v>1.77197393148688</v>
      </c>
      <c r="Q134">
        <f t="shared" si="25"/>
        <v>0</v>
      </c>
      <c r="R134">
        <f t="shared" si="26"/>
        <v>0</v>
      </c>
      <c r="S134">
        <f t="shared" si="27"/>
        <v>0</v>
      </c>
      <c r="T134">
        <f t="shared" si="28"/>
        <v>0.833212749123163</v>
      </c>
      <c r="U134" s="52">
        <f t="shared" si="29"/>
        <v>0</v>
      </c>
      <c r="V134">
        <f t="shared" si="30"/>
        <v>0</v>
      </c>
      <c r="W134">
        <f t="shared" si="31"/>
        <v>0</v>
      </c>
      <c r="X134">
        <f t="shared" si="32"/>
        <v>69.732323</v>
      </c>
      <c r="Y134">
        <f t="shared" si="33"/>
        <v>0</v>
      </c>
      <c r="Z134">
        <f t="shared" si="34"/>
        <v>0</v>
      </c>
      <c r="AA134">
        <f t="shared" si="35"/>
        <v>0</v>
      </c>
      <c r="AB134">
        <f t="shared" si="36"/>
        <v>133.771759</v>
      </c>
      <c r="AC134">
        <f t="shared" si="37"/>
        <v>0</v>
      </c>
    </row>
    <row r="135" spans="2:29">
      <c r="B135" s="5">
        <v>116</v>
      </c>
      <c r="C135" s="6">
        <v>69.781609</v>
      </c>
      <c r="D135" s="6">
        <v>138.075516</v>
      </c>
      <c r="E135" s="42">
        <v>0.75</v>
      </c>
      <c r="F135">
        <f t="shared" si="38"/>
        <v>69.2893295171283</v>
      </c>
      <c r="G135">
        <f t="shared" si="39"/>
        <v>133.563455812719</v>
      </c>
      <c r="L135">
        <f t="shared" si="40"/>
        <v>0.492279482871737</v>
      </c>
      <c r="M135">
        <f t="shared" si="41"/>
        <v>4.51206018728078</v>
      </c>
      <c r="N135" s="47">
        <f t="shared" si="22"/>
        <v>0</v>
      </c>
      <c r="O135">
        <f t="shared" si="23"/>
        <v>0</v>
      </c>
      <c r="P135">
        <f t="shared" si="24"/>
        <v>0</v>
      </c>
      <c r="Q135">
        <f t="shared" si="25"/>
        <v>0.492279482871737</v>
      </c>
      <c r="R135">
        <f t="shared" si="26"/>
        <v>0</v>
      </c>
      <c r="S135">
        <f t="shared" si="27"/>
        <v>0</v>
      </c>
      <c r="T135">
        <f t="shared" si="28"/>
        <v>0</v>
      </c>
      <c r="U135" s="52">
        <f t="shared" si="29"/>
        <v>4.51206018728078</v>
      </c>
      <c r="V135">
        <f t="shared" si="30"/>
        <v>0</v>
      </c>
      <c r="W135">
        <f t="shared" si="31"/>
        <v>0</v>
      </c>
      <c r="X135">
        <f t="shared" si="32"/>
        <v>0</v>
      </c>
      <c r="Y135">
        <f t="shared" si="33"/>
        <v>69.781609</v>
      </c>
      <c r="Z135">
        <f t="shared" si="34"/>
        <v>0</v>
      </c>
      <c r="AA135">
        <f t="shared" si="35"/>
        <v>0</v>
      </c>
      <c r="AB135">
        <f t="shared" si="36"/>
        <v>0</v>
      </c>
      <c r="AC135">
        <f t="shared" si="37"/>
        <v>138.075516</v>
      </c>
    </row>
    <row r="136" spans="2:29">
      <c r="B136" s="5">
        <v>117</v>
      </c>
      <c r="C136" s="6">
        <v>68.65049</v>
      </c>
      <c r="D136" s="6">
        <v>140.91835</v>
      </c>
      <c r="E136" s="42">
        <v>0.15</v>
      </c>
      <c r="F136">
        <f t="shared" si="38"/>
        <v>69.363171439559</v>
      </c>
      <c r="G136">
        <f t="shared" si="39"/>
        <v>134.240264840811</v>
      </c>
      <c r="L136">
        <f t="shared" si="40"/>
        <v>0.71268143955902</v>
      </c>
      <c r="M136">
        <f t="shared" si="41"/>
        <v>6.67808515918867</v>
      </c>
      <c r="N136" s="47">
        <f t="shared" si="22"/>
        <v>0.71268143955902</v>
      </c>
      <c r="O136">
        <f t="shared" si="23"/>
        <v>0</v>
      </c>
      <c r="P136">
        <f t="shared" si="24"/>
        <v>0</v>
      </c>
      <c r="Q136">
        <f t="shared" si="25"/>
        <v>0</v>
      </c>
      <c r="R136">
        <f t="shared" si="26"/>
        <v>6.67808515918867</v>
      </c>
      <c r="S136">
        <f t="shared" si="27"/>
        <v>0</v>
      </c>
      <c r="T136">
        <f t="shared" si="28"/>
        <v>0</v>
      </c>
      <c r="U136" s="52">
        <f t="shared" si="29"/>
        <v>0</v>
      </c>
      <c r="V136">
        <f t="shared" si="30"/>
        <v>68.65049</v>
      </c>
      <c r="W136">
        <f t="shared" si="31"/>
        <v>0</v>
      </c>
      <c r="X136">
        <f t="shared" si="32"/>
        <v>0</v>
      </c>
      <c r="Y136">
        <f t="shared" si="33"/>
        <v>0</v>
      </c>
      <c r="Z136">
        <f t="shared" si="34"/>
        <v>140.91835</v>
      </c>
      <c r="AA136">
        <f t="shared" si="35"/>
        <v>0</v>
      </c>
      <c r="AB136">
        <f t="shared" si="36"/>
        <v>0</v>
      </c>
      <c r="AC136">
        <f t="shared" si="37"/>
        <v>0</v>
      </c>
    </row>
    <row r="137" spans="2:29">
      <c r="B137" s="5">
        <v>118</v>
      </c>
      <c r="C137" s="6">
        <v>70.905334</v>
      </c>
      <c r="D137" s="6">
        <v>144.274506</v>
      </c>
      <c r="E137" s="42">
        <v>0.35</v>
      </c>
      <c r="F137">
        <f t="shared" si="38"/>
        <v>69.1137329357134</v>
      </c>
      <c r="G137">
        <f t="shared" si="39"/>
        <v>136.577594646527</v>
      </c>
      <c r="L137">
        <f t="shared" si="40"/>
        <v>1.79160106428662</v>
      </c>
      <c r="M137">
        <f t="shared" si="41"/>
        <v>7.69691135347264</v>
      </c>
      <c r="N137" s="47">
        <f t="shared" si="22"/>
        <v>0</v>
      </c>
      <c r="O137">
        <f t="shared" si="23"/>
        <v>1.79160106428662</v>
      </c>
      <c r="P137">
        <f t="shared" si="24"/>
        <v>0</v>
      </c>
      <c r="Q137">
        <f t="shared" si="25"/>
        <v>0</v>
      </c>
      <c r="R137">
        <f t="shared" si="26"/>
        <v>0</v>
      </c>
      <c r="S137">
        <f t="shared" si="27"/>
        <v>7.69691135347264</v>
      </c>
      <c r="T137">
        <f t="shared" si="28"/>
        <v>0</v>
      </c>
      <c r="U137" s="52">
        <f t="shared" si="29"/>
        <v>0</v>
      </c>
      <c r="V137">
        <f t="shared" si="30"/>
        <v>0</v>
      </c>
      <c r="W137">
        <f t="shared" si="31"/>
        <v>70.905334</v>
      </c>
      <c r="X137">
        <f t="shared" si="32"/>
        <v>0</v>
      </c>
      <c r="Y137">
        <f t="shared" si="33"/>
        <v>0</v>
      </c>
      <c r="Z137">
        <f t="shared" si="34"/>
        <v>0</v>
      </c>
      <c r="AA137">
        <f t="shared" si="35"/>
        <v>144.274506</v>
      </c>
      <c r="AB137">
        <f t="shared" si="36"/>
        <v>0</v>
      </c>
      <c r="AC137">
        <f t="shared" si="37"/>
        <v>0</v>
      </c>
    </row>
    <row r="138" spans="2:29">
      <c r="B138" s="5">
        <v>119</v>
      </c>
      <c r="C138" s="6">
        <v>72.401154</v>
      </c>
      <c r="D138" s="6">
        <v>140.069443</v>
      </c>
      <c r="E138" s="42">
        <v>0.55</v>
      </c>
      <c r="F138">
        <f t="shared" si="38"/>
        <v>70.099113521071</v>
      </c>
      <c r="G138">
        <f t="shared" si="39"/>
        <v>140.810895890937</v>
      </c>
      <c r="L138">
        <f t="shared" si="40"/>
        <v>2.30204047892899</v>
      </c>
      <c r="M138">
        <f t="shared" si="41"/>
        <v>0.741452890937325</v>
      </c>
      <c r="N138" s="47">
        <f t="shared" si="22"/>
        <v>0</v>
      </c>
      <c r="O138">
        <f t="shared" si="23"/>
        <v>0</v>
      </c>
      <c r="P138">
        <f t="shared" si="24"/>
        <v>2.30204047892899</v>
      </c>
      <c r="Q138">
        <f t="shared" si="25"/>
        <v>0</v>
      </c>
      <c r="R138">
        <f t="shared" si="26"/>
        <v>0</v>
      </c>
      <c r="S138">
        <f t="shared" si="27"/>
        <v>0</v>
      </c>
      <c r="T138">
        <f t="shared" si="28"/>
        <v>0.741452890937325</v>
      </c>
      <c r="U138" s="52">
        <f t="shared" si="29"/>
        <v>0</v>
      </c>
      <c r="V138">
        <f t="shared" si="30"/>
        <v>0</v>
      </c>
      <c r="W138">
        <f t="shared" si="31"/>
        <v>0</v>
      </c>
      <c r="X138">
        <f t="shared" si="32"/>
        <v>72.401154</v>
      </c>
      <c r="Y138">
        <f t="shared" si="33"/>
        <v>0</v>
      </c>
      <c r="Z138">
        <f t="shared" si="34"/>
        <v>0</v>
      </c>
      <c r="AA138">
        <f t="shared" si="35"/>
        <v>0</v>
      </c>
      <c r="AB138">
        <f t="shared" si="36"/>
        <v>140.069443</v>
      </c>
      <c r="AC138">
        <f t="shared" si="37"/>
        <v>0</v>
      </c>
    </row>
    <row r="139" spans="2:29">
      <c r="B139" s="5">
        <v>120</v>
      </c>
      <c r="C139" s="6">
        <v>71.235542</v>
      </c>
      <c r="D139" s="6">
        <v>135.479431</v>
      </c>
      <c r="E139" s="42">
        <v>0.75</v>
      </c>
      <c r="F139">
        <f t="shared" si="38"/>
        <v>71.8256438802678</v>
      </c>
      <c r="G139">
        <f t="shared" si="39"/>
        <v>140.254806222734</v>
      </c>
      <c r="L139">
        <f t="shared" si="40"/>
        <v>0.590101880267767</v>
      </c>
      <c r="M139">
        <f t="shared" si="41"/>
        <v>4.77537522273434</v>
      </c>
      <c r="N139" s="47">
        <f t="shared" si="22"/>
        <v>0</v>
      </c>
      <c r="O139">
        <f t="shared" si="23"/>
        <v>0</v>
      </c>
      <c r="P139">
        <f t="shared" si="24"/>
        <v>0</v>
      </c>
      <c r="Q139">
        <f t="shared" si="25"/>
        <v>0.590101880267767</v>
      </c>
      <c r="R139">
        <f t="shared" si="26"/>
        <v>0</v>
      </c>
      <c r="S139">
        <f t="shared" si="27"/>
        <v>0</v>
      </c>
      <c r="T139">
        <f t="shared" si="28"/>
        <v>0</v>
      </c>
      <c r="U139" s="52">
        <f t="shared" si="29"/>
        <v>4.77537522273434</v>
      </c>
      <c r="V139">
        <f t="shared" si="30"/>
        <v>0</v>
      </c>
      <c r="W139">
        <f t="shared" si="31"/>
        <v>0</v>
      </c>
      <c r="X139">
        <f t="shared" si="32"/>
        <v>0</v>
      </c>
      <c r="Y139">
        <f t="shared" si="33"/>
        <v>71.235542</v>
      </c>
      <c r="Z139">
        <f t="shared" si="34"/>
        <v>0</v>
      </c>
      <c r="AA139">
        <f t="shared" si="35"/>
        <v>0</v>
      </c>
      <c r="AB139">
        <f t="shared" si="36"/>
        <v>0</v>
      </c>
      <c r="AC139">
        <f t="shared" si="37"/>
        <v>135.479431</v>
      </c>
    </row>
    <row r="140" spans="2:29">
      <c r="B140" s="5">
        <v>121</v>
      </c>
      <c r="C140" s="6">
        <v>72.243446</v>
      </c>
      <c r="D140" s="6">
        <v>133.455887</v>
      </c>
      <c r="E140" s="42">
        <v>0.15</v>
      </c>
      <c r="F140">
        <f t="shared" si="38"/>
        <v>71.7371285982276</v>
      </c>
      <c r="G140">
        <f t="shared" si="39"/>
        <v>139.538499939324</v>
      </c>
      <c r="L140">
        <f t="shared" si="40"/>
        <v>0.506317401772407</v>
      </c>
      <c r="M140">
        <f t="shared" si="41"/>
        <v>6.08261293932421</v>
      </c>
      <c r="N140" s="47">
        <f t="shared" si="22"/>
        <v>0.506317401772407</v>
      </c>
      <c r="O140">
        <f t="shared" si="23"/>
        <v>0</v>
      </c>
      <c r="P140">
        <f t="shared" si="24"/>
        <v>0</v>
      </c>
      <c r="Q140">
        <f t="shared" si="25"/>
        <v>0</v>
      </c>
      <c r="R140">
        <f t="shared" si="26"/>
        <v>6.08261293932421</v>
      </c>
      <c r="S140">
        <f t="shared" si="27"/>
        <v>0</v>
      </c>
      <c r="T140">
        <f t="shared" si="28"/>
        <v>0</v>
      </c>
      <c r="U140" s="52">
        <f t="shared" si="29"/>
        <v>0</v>
      </c>
      <c r="V140">
        <f t="shared" si="30"/>
        <v>72.243446</v>
      </c>
      <c r="W140">
        <f t="shared" si="31"/>
        <v>0</v>
      </c>
      <c r="X140">
        <f t="shared" si="32"/>
        <v>0</v>
      </c>
      <c r="Y140">
        <f t="shared" si="33"/>
        <v>0</v>
      </c>
      <c r="Z140">
        <f t="shared" si="34"/>
        <v>133.455887</v>
      </c>
      <c r="AA140">
        <f t="shared" si="35"/>
        <v>0</v>
      </c>
      <c r="AB140">
        <f t="shared" si="36"/>
        <v>0</v>
      </c>
      <c r="AC140">
        <f t="shared" si="37"/>
        <v>0</v>
      </c>
    </row>
    <row r="141" spans="2:29">
      <c r="B141" s="5">
        <v>122</v>
      </c>
      <c r="C141" s="6">
        <v>73.327736</v>
      </c>
      <c r="D141" s="6">
        <v>133.130142</v>
      </c>
      <c r="E141" s="42">
        <v>0.35</v>
      </c>
      <c r="F141">
        <f t="shared" si="38"/>
        <v>71.9143396888479</v>
      </c>
      <c r="G141">
        <f t="shared" si="39"/>
        <v>137.409585410561</v>
      </c>
      <c r="L141">
        <f t="shared" si="40"/>
        <v>1.41339631115206</v>
      </c>
      <c r="M141">
        <f t="shared" si="41"/>
        <v>4.2794434105607</v>
      </c>
      <c r="N141" s="47">
        <f t="shared" si="22"/>
        <v>0</v>
      </c>
      <c r="O141">
        <f t="shared" si="23"/>
        <v>1.41339631115206</v>
      </c>
      <c r="P141">
        <f t="shared" si="24"/>
        <v>0</v>
      </c>
      <c r="Q141">
        <f t="shared" si="25"/>
        <v>0</v>
      </c>
      <c r="R141">
        <f t="shared" si="26"/>
        <v>0</v>
      </c>
      <c r="S141">
        <f t="shared" si="27"/>
        <v>4.2794434105607</v>
      </c>
      <c r="T141">
        <f t="shared" si="28"/>
        <v>0</v>
      </c>
      <c r="U141" s="52">
        <f t="shared" si="29"/>
        <v>0</v>
      </c>
      <c r="V141">
        <f t="shared" si="30"/>
        <v>0</v>
      </c>
      <c r="W141">
        <f t="shared" si="31"/>
        <v>73.327736</v>
      </c>
      <c r="X141">
        <f t="shared" si="32"/>
        <v>0</v>
      </c>
      <c r="Y141">
        <f t="shared" si="33"/>
        <v>0</v>
      </c>
      <c r="Z141">
        <f t="shared" si="34"/>
        <v>0</v>
      </c>
      <c r="AA141">
        <f t="shared" si="35"/>
        <v>133.130142</v>
      </c>
      <c r="AB141">
        <f t="shared" si="36"/>
        <v>0</v>
      </c>
      <c r="AC141">
        <f t="shared" si="37"/>
        <v>0</v>
      </c>
    </row>
    <row r="142" spans="2:29">
      <c r="B142" s="5">
        <v>123</v>
      </c>
      <c r="C142" s="6">
        <v>74.084282</v>
      </c>
      <c r="D142" s="6">
        <v>131.323746</v>
      </c>
      <c r="E142" s="42">
        <v>0.55</v>
      </c>
      <c r="F142">
        <f t="shared" si="38"/>
        <v>72.6917076599816</v>
      </c>
      <c r="G142">
        <f t="shared" si="39"/>
        <v>135.055891534752</v>
      </c>
      <c r="L142">
        <f t="shared" si="40"/>
        <v>1.39257434001843</v>
      </c>
      <c r="M142">
        <f t="shared" si="41"/>
        <v>3.73214553475233</v>
      </c>
      <c r="N142" s="47">
        <f t="shared" si="22"/>
        <v>0</v>
      </c>
      <c r="O142">
        <f t="shared" si="23"/>
        <v>0</v>
      </c>
      <c r="P142">
        <f t="shared" si="24"/>
        <v>1.39257434001843</v>
      </c>
      <c r="Q142">
        <f t="shared" si="25"/>
        <v>0</v>
      </c>
      <c r="R142">
        <f t="shared" si="26"/>
        <v>0</v>
      </c>
      <c r="S142">
        <f t="shared" si="27"/>
        <v>0</v>
      </c>
      <c r="T142">
        <f t="shared" si="28"/>
        <v>3.73214553475233</v>
      </c>
      <c r="U142" s="52">
        <f t="shared" si="29"/>
        <v>0</v>
      </c>
      <c r="V142">
        <f t="shared" si="30"/>
        <v>0</v>
      </c>
      <c r="W142">
        <f t="shared" si="31"/>
        <v>0</v>
      </c>
      <c r="X142">
        <f t="shared" si="32"/>
        <v>74.084282</v>
      </c>
      <c r="Y142">
        <f t="shared" si="33"/>
        <v>0</v>
      </c>
      <c r="Z142">
        <f t="shared" si="34"/>
        <v>0</v>
      </c>
      <c r="AA142">
        <f t="shared" si="35"/>
        <v>0</v>
      </c>
      <c r="AB142">
        <f t="shared" si="36"/>
        <v>131.323746</v>
      </c>
      <c r="AC142">
        <f t="shared" si="37"/>
        <v>0</v>
      </c>
    </row>
    <row r="143" spans="2:29">
      <c r="B143" s="5">
        <v>124</v>
      </c>
      <c r="C143" s="6">
        <v>74.85067</v>
      </c>
      <c r="D143" s="6">
        <v>131.076965</v>
      </c>
      <c r="E143" s="42">
        <v>0.75</v>
      </c>
      <c r="F143">
        <f t="shared" si="38"/>
        <v>73.7361384149954</v>
      </c>
      <c r="G143">
        <f t="shared" si="39"/>
        <v>132.256782383688</v>
      </c>
      <c r="L143">
        <f t="shared" si="40"/>
        <v>1.1145315850046</v>
      </c>
      <c r="M143">
        <f t="shared" si="41"/>
        <v>1.17981738368806</v>
      </c>
      <c r="N143" s="47">
        <f t="shared" si="22"/>
        <v>0</v>
      </c>
      <c r="O143">
        <f t="shared" si="23"/>
        <v>0</v>
      </c>
      <c r="P143">
        <f t="shared" si="24"/>
        <v>0</v>
      </c>
      <c r="Q143">
        <f t="shared" si="25"/>
        <v>1.1145315850046</v>
      </c>
      <c r="R143">
        <f t="shared" si="26"/>
        <v>0</v>
      </c>
      <c r="S143">
        <f t="shared" si="27"/>
        <v>0</v>
      </c>
      <c r="T143">
        <f t="shared" si="28"/>
        <v>0</v>
      </c>
      <c r="U143" s="52">
        <f t="shared" si="29"/>
        <v>1.17981738368806</v>
      </c>
      <c r="V143">
        <f t="shared" si="30"/>
        <v>0</v>
      </c>
      <c r="W143">
        <f t="shared" si="31"/>
        <v>0</v>
      </c>
      <c r="X143">
        <f t="shared" si="32"/>
        <v>0</v>
      </c>
      <c r="Y143">
        <f t="shared" si="33"/>
        <v>74.85067</v>
      </c>
      <c r="Z143">
        <f t="shared" si="34"/>
        <v>0</v>
      </c>
      <c r="AA143">
        <f t="shared" si="35"/>
        <v>0</v>
      </c>
      <c r="AB143">
        <f t="shared" si="36"/>
        <v>0</v>
      </c>
      <c r="AC143">
        <f t="shared" si="37"/>
        <v>131.076965</v>
      </c>
    </row>
    <row r="144" spans="2:29">
      <c r="B144" s="5">
        <v>125</v>
      </c>
      <c r="C144" s="6">
        <v>77.259674</v>
      </c>
      <c r="D144" s="6">
        <v>135.143829</v>
      </c>
      <c r="E144" s="42">
        <v>0.15</v>
      </c>
      <c r="F144">
        <f t="shared" si="38"/>
        <v>73.9033181527461</v>
      </c>
      <c r="G144">
        <f t="shared" si="39"/>
        <v>132.079809776135</v>
      </c>
      <c r="L144">
        <f t="shared" si="40"/>
        <v>3.35635584725392</v>
      </c>
      <c r="M144">
        <f t="shared" si="41"/>
        <v>3.06401922386516</v>
      </c>
      <c r="N144" s="47">
        <f t="shared" si="22"/>
        <v>3.35635584725392</v>
      </c>
      <c r="O144">
        <f t="shared" si="23"/>
        <v>0</v>
      </c>
      <c r="P144">
        <f t="shared" si="24"/>
        <v>0</v>
      </c>
      <c r="Q144">
        <f t="shared" si="25"/>
        <v>0</v>
      </c>
      <c r="R144">
        <f t="shared" si="26"/>
        <v>3.06401922386516</v>
      </c>
      <c r="S144">
        <f t="shared" si="27"/>
        <v>0</v>
      </c>
      <c r="T144">
        <f t="shared" si="28"/>
        <v>0</v>
      </c>
      <c r="U144" s="52">
        <f t="shared" si="29"/>
        <v>0</v>
      </c>
      <c r="V144">
        <f t="shared" si="30"/>
        <v>77.259674</v>
      </c>
      <c r="W144">
        <f t="shared" si="31"/>
        <v>0</v>
      </c>
      <c r="X144">
        <f t="shared" si="32"/>
        <v>0</v>
      </c>
      <c r="Y144">
        <f t="shared" si="33"/>
        <v>0</v>
      </c>
      <c r="Z144">
        <f t="shared" si="34"/>
        <v>135.143829</v>
      </c>
      <c r="AA144">
        <f t="shared" si="35"/>
        <v>0</v>
      </c>
      <c r="AB144">
        <f t="shared" si="36"/>
        <v>0</v>
      </c>
      <c r="AC144">
        <f t="shared" si="37"/>
        <v>0</v>
      </c>
    </row>
    <row r="145" spans="2:29">
      <c r="B145" s="5">
        <v>126</v>
      </c>
      <c r="C145" s="6">
        <v>78.475372</v>
      </c>
      <c r="D145" s="6">
        <v>132.54776</v>
      </c>
      <c r="E145" s="42">
        <v>0.35</v>
      </c>
      <c r="F145">
        <f t="shared" si="38"/>
        <v>75.078042699285</v>
      </c>
      <c r="G145">
        <f t="shared" si="39"/>
        <v>133.152216504488</v>
      </c>
      <c r="L145">
        <f t="shared" si="40"/>
        <v>3.39732930071503</v>
      </c>
      <c r="M145">
        <f t="shared" si="41"/>
        <v>0.604456504487644</v>
      </c>
      <c r="N145" s="47">
        <f t="shared" si="22"/>
        <v>0</v>
      </c>
      <c r="O145">
        <f t="shared" si="23"/>
        <v>3.39732930071503</v>
      </c>
      <c r="P145">
        <f t="shared" si="24"/>
        <v>0</v>
      </c>
      <c r="Q145">
        <f t="shared" si="25"/>
        <v>0</v>
      </c>
      <c r="R145">
        <f t="shared" si="26"/>
        <v>0</v>
      </c>
      <c r="S145">
        <f t="shared" si="27"/>
        <v>0.604456504487644</v>
      </c>
      <c r="T145">
        <f t="shared" si="28"/>
        <v>0</v>
      </c>
      <c r="U145" s="52">
        <f t="shared" si="29"/>
        <v>0</v>
      </c>
      <c r="V145">
        <f t="shared" si="30"/>
        <v>0</v>
      </c>
      <c r="W145">
        <f t="shared" si="31"/>
        <v>78.475372</v>
      </c>
      <c r="X145">
        <f t="shared" si="32"/>
        <v>0</v>
      </c>
      <c r="Y145">
        <f t="shared" si="33"/>
        <v>0</v>
      </c>
      <c r="Z145">
        <f t="shared" si="34"/>
        <v>0</v>
      </c>
      <c r="AA145">
        <f t="shared" si="35"/>
        <v>132.54776</v>
      </c>
      <c r="AB145">
        <f t="shared" si="36"/>
        <v>0</v>
      </c>
      <c r="AC145">
        <f t="shared" si="37"/>
        <v>0</v>
      </c>
    </row>
    <row r="146" spans="2:29">
      <c r="B146" s="5">
        <v>127</v>
      </c>
      <c r="C146" s="6">
        <v>77.578537</v>
      </c>
      <c r="D146" s="6">
        <v>125.944046</v>
      </c>
      <c r="E146" s="42">
        <v>0.55</v>
      </c>
      <c r="F146">
        <f t="shared" si="38"/>
        <v>76.9465738146782</v>
      </c>
      <c r="G146">
        <f t="shared" si="39"/>
        <v>132.819765427019</v>
      </c>
      <c r="L146">
        <f t="shared" si="40"/>
        <v>0.631963185321766</v>
      </c>
      <c r="M146">
        <f t="shared" si="41"/>
        <v>6.87571942701946</v>
      </c>
      <c r="N146" s="47">
        <f t="shared" si="22"/>
        <v>0</v>
      </c>
      <c r="O146">
        <f t="shared" si="23"/>
        <v>0</v>
      </c>
      <c r="P146">
        <f t="shared" si="24"/>
        <v>0.631963185321766</v>
      </c>
      <c r="Q146">
        <f t="shared" si="25"/>
        <v>0</v>
      </c>
      <c r="R146">
        <f t="shared" si="26"/>
        <v>0</v>
      </c>
      <c r="S146">
        <f t="shared" si="27"/>
        <v>0</v>
      </c>
      <c r="T146">
        <f t="shared" si="28"/>
        <v>6.87571942701946</v>
      </c>
      <c r="U146" s="52">
        <f t="shared" si="29"/>
        <v>0</v>
      </c>
      <c r="V146">
        <f t="shared" si="30"/>
        <v>0</v>
      </c>
      <c r="W146">
        <f t="shared" si="31"/>
        <v>0</v>
      </c>
      <c r="X146">
        <f t="shared" si="32"/>
        <v>77.578537</v>
      </c>
      <c r="Y146">
        <f t="shared" si="33"/>
        <v>0</v>
      </c>
      <c r="Z146">
        <f t="shared" si="34"/>
        <v>0</v>
      </c>
      <c r="AA146">
        <f t="shared" si="35"/>
        <v>0</v>
      </c>
      <c r="AB146">
        <f t="shared" si="36"/>
        <v>125.944046</v>
      </c>
      <c r="AC146">
        <f t="shared" si="37"/>
        <v>0</v>
      </c>
    </row>
    <row r="147" spans="2:29">
      <c r="B147" s="5">
        <v>128</v>
      </c>
      <c r="C147" s="6">
        <v>76.641853</v>
      </c>
      <c r="D147" s="6">
        <v>121.383652</v>
      </c>
      <c r="E147" s="42">
        <v>0.75</v>
      </c>
      <c r="F147">
        <f t="shared" si="38"/>
        <v>77.4205462036696</v>
      </c>
      <c r="G147">
        <f t="shared" si="39"/>
        <v>127.662975856755</v>
      </c>
      <c r="L147">
        <f t="shared" si="40"/>
        <v>0.778693203669562</v>
      </c>
      <c r="M147">
        <f t="shared" si="41"/>
        <v>6.27932385675486</v>
      </c>
      <c r="N147" s="47">
        <f t="shared" si="22"/>
        <v>0</v>
      </c>
      <c r="O147">
        <f t="shared" si="23"/>
        <v>0</v>
      </c>
      <c r="P147">
        <f t="shared" si="24"/>
        <v>0</v>
      </c>
      <c r="Q147">
        <f t="shared" si="25"/>
        <v>0.778693203669562</v>
      </c>
      <c r="R147">
        <f t="shared" si="26"/>
        <v>0</v>
      </c>
      <c r="S147">
        <f t="shared" si="27"/>
        <v>0</v>
      </c>
      <c r="T147">
        <f t="shared" si="28"/>
        <v>0</v>
      </c>
      <c r="U147" s="52">
        <f t="shared" si="29"/>
        <v>6.27932385675486</v>
      </c>
      <c r="V147">
        <f t="shared" si="30"/>
        <v>0</v>
      </c>
      <c r="W147">
        <f t="shared" si="31"/>
        <v>0</v>
      </c>
      <c r="X147">
        <f t="shared" si="32"/>
        <v>0</v>
      </c>
      <c r="Y147">
        <f t="shared" si="33"/>
        <v>76.641853</v>
      </c>
      <c r="Z147">
        <f t="shared" si="34"/>
        <v>0</v>
      </c>
      <c r="AA147">
        <f t="shared" si="35"/>
        <v>0</v>
      </c>
      <c r="AB147">
        <f t="shared" si="36"/>
        <v>0</v>
      </c>
      <c r="AC147">
        <f t="shared" si="37"/>
        <v>121.383652</v>
      </c>
    </row>
    <row r="148" spans="2:29">
      <c r="B148" s="5">
        <v>129</v>
      </c>
      <c r="C148" s="6">
        <v>77.112686</v>
      </c>
      <c r="D148" s="6">
        <v>126.335655</v>
      </c>
      <c r="E148" s="42">
        <v>0.15</v>
      </c>
      <c r="F148">
        <f t="shared" si="38"/>
        <v>77.3037422231191</v>
      </c>
      <c r="G148">
        <f t="shared" si="39"/>
        <v>126.721077278242</v>
      </c>
      <c r="L148">
        <f t="shared" si="40"/>
        <v>0.191056223119119</v>
      </c>
      <c r="M148">
        <f t="shared" si="41"/>
        <v>0.38542227824162</v>
      </c>
      <c r="N148" s="47">
        <f t="shared" si="22"/>
        <v>0.191056223119119</v>
      </c>
      <c r="O148">
        <f t="shared" si="23"/>
        <v>0</v>
      </c>
      <c r="P148">
        <f t="shared" si="24"/>
        <v>0</v>
      </c>
      <c r="Q148">
        <f t="shared" si="25"/>
        <v>0</v>
      </c>
      <c r="R148">
        <f t="shared" si="26"/>
        <v>0.38542227824162</v>
      </c>
      <c r="S148">
        <f t="shared" si="27"/>
        <v>0</v>
      </c>
      <c r="T148">
        <f t="shared" si="28"/>
        <v>0</v>
      </c>
      <c r="U148" s="52">
        <f t="shared" si="29"/>
        <v>0</v>
      </c>
      <c r="V148">
        <f t="shared" si="30"/>
        <v>77.112686</v>
      </c>
      <c r="W148">
        <f t="shared" si="31"/>
        <v>0</v>
      </c>
      <c r="X148">
        <f t="shared" si="32"/>
        <v>0</v>
      </c>
      <c r="Y148">
        <f t="shared" si="33"/>
        <v>0</v>
      </c>
      <c r="Z148">
        <f t="shared" si="34"/>
        <v>126.335655</v>
      </c>
      <c r="AA148">
        <f t="shared" si="35"/>
        <v>0</v>
      </c>
      <c r="AB148">
        <f t="shared" si="36"/>
        <v>0</v>
      </c>
      <c r="AC148">
        <f t="shared" si="37"/>
        <v>0</v>
      </c>
    </row>
    <row r="149" spans="2:29">
      <c r="B149" s="5">
        <v>130</v>
      </c>
      <c r="C149" s="6">
        <v>76.656792</v>
      </c>
      <c r="D149" s="6">
        <v>124.70488</v>
      </c>
      <c r="E149" s="42">
        <v>0.35</v>
      </c>
      <c r="F149">
        <f t="shared" si="38"/>
        <v>77.2368725450274</v>
      </c>
      <c r="G149">
        <f t="shared" si="39"/>
        <v>126.586179480857</v>
      </c>
      <c r="L149">
        <f t="shared" si="40"/>
        <v>0.580080545027428</v>
      </c>
      <c r="M149">
        <f t="shared" si="41"/>
        <v>1.88129948085705</v>
      </c>
      <c r="N149" s="47">
        <f t="shared" ref="N149:N212" si="42">IF(E149=0.15,L149,0)</f>
        <v>0</v>
      </c>
      <c r="O149">
        <f t="shared" ref="O149:O212" si="43">IF(E149=0.35,L149,0)</f>
        <v>0.580080545027428</v>
      </c>
      <c r="P149">
        <f t="shared" ref="P149:P212" si="44">IF(E149=0.55,L149,0)</f>
        <v>0</v>
      </c>
      <c r="Q149">
        <f t="shared" ref="Q149:Q212" si="45">IF(E149=0.75,L149,0)</f>
        <v>0</v>
      </c>
      <c r="R149">
        <f t="shared" ref="R149:R212" si="46">IF(E149=0.15,M149,0)</f>
        <v>0</v>
      </c>
      <c r="S149">
        <f t="shared" ref="S149:S212" si="47">IF(E149=0.35,M149,0)</f>
        <v>1.88129948085705</v>
      </c>
      <c r="T149">
        <f t="shared" ref="T149:T212" si="48">IF(E149=0.55,M149,0)</f>
        <v>0</v>
      </c>
      <c r="U149" s="52">
        <f t="shared" ref="U149:U212" si="49">IF(E149=0.75,M149,0)</f>
        <v>0</v>
      </c>
      <c r="V149">
        <f t="shared" ref="V149:V212" si="50">IF(E149=0.15,C149,0)</f>
        <v>0</v>
      </c>
      <c r="W149">
        <f t="shared" ref="W149:W212" si="51">IF(E149=0.35,C149,0)</f>
        <v>76.656792</v>
      </c>
      <c r="X149">
        <f t="shared" ref="X149:X212" si="52">IF(E149=0.55,C149,0)</f>
        <v>0</v>
      </c>
      <c r="Y149">
        <f t="shared" ref="Y149:Y212" si="53">IF(E149=0.75,C149,0)</f>
        <v>0</v>
      </c>
      <c r="Z149">
        <f t="shared" ref="Z149:Z212" si="54">IF(E149=0.15,D149,0)</f>
        <v>0</v>
      </c>
      <c r="AA149">
        <f t="shared" ref="AA149:AA212" si="55">IF(E149=0.35,D149,0)</f>
        <v>124.70488</v>
      </c>
      <c r="AB149">
        <f t="shared" ref="AB149:AB212" si="56">IF(E149=0.55,D149,0)</f>
        <v>0</v>
      </c>
      <c r="AC149">
        <f t="shared" ref="AC149:AC212" si="57">IF(E149=0.75,D149,0)</f>
        <v>0</v>
      </c>
    </row>
    <row r="150" spans="2:29">
      <c r="B150" s="5">
        <v>131</v>
      </c>
      <c r="C150" s="6">
        <v>78.462914</v>
      </c>
      <c r="D150" s="6">
        <v>135.275101</v>
      </c>
      <c r="E150" s="42">
        <v>0.55</v>
      </c>
      <c r="F150">
        <f t="shared" ref="F150:F213" si="58">(E150*C149)+((1-E150)*F149)</f>
        <v>76.9178282452623</v>
      </c>
      <c r="G150">
        <f t="shared" ref="G150:G213" si="59">(E150*D149)+((1-E150)*G149)</f>
        <v>125.551464766386</v>
      </c>
      <c r="L150">
        <f t="shared" si="40"/>
        <v>1.54508575473766</v>
      </c>
      <c r="M150">
        <f t="shared" si="41"/>
        <v>9.72363623361433</v>
      </c>
      <c r="N150" s="47">
        <f t="shared" si="42"/>
        <v>0</v>
      </c>
      <c r="O150">
        <f t="shared" si="43"/>
        <v>0</v>
      </c>
      <c r="P150">
        <f t="shared" si="44"/>
        <v>1.54508575473766</v>
      </c>
      <c r="Q150">
        <f t="shared" si="45"/>
        <v>0</v>
      </c>
      <c r="R150">
        <f t="shared" si="46"/>
        <v>0</v>
      </c>
      <c r="S150">
        <f t="shared" si="47"/>
        <v>0</v>
      </c>
      <c r="T150">
        <f t="shared" si="48"/>
        <v>9.72363623361433</v>
      </c>
      <c r="U150" s="52">
        <f t="shared" si="49"/>
        <v>0</v>
      </c>
      <c r="V150">
        <f t="shared" si="50"/>
        <v>0</v>
      </c>
      <c r="W150">
        <f t="shared" si="51"/>
        <v>0</v>
      </c>
      <c r="X150">
        <f t="shared" si="52"/>
        <v>78.462914</v>
      </c>
      <c r="Y150">
        <f t="shared" si="53"/>
        <v>0</v>
      </c>
      <c r="Z150">
        <f t="shared" si="54"/>
        <v>0</v>
      </c>
      <c r="AA150">
        <f t="shared" si="55"/>
        <v>0</v>
      </c>
      <c r="AB150">
        <f t="shared" si="56"/>
        <v>135.275101</v>
      </c>
      <c r="AC150">
        <f t="shared" si="57"/>
        <v>0</v>
      </c>
    </row>
    <row r="151" spans="2:29">
      <c r="B151" s="5">
        <v>132</v>
      </c>
      <c r="C151" s="6">
        <v>78.009521</v>
      </c>
      <c r="D151" s="6">
        <v>131.208099</v>
      </c>
      <c r="E151" s="42">
        <v>0.75</v>
      </c>
      <c r="F151">
        <f t="shared" si="58"/>
        <v>78.0766425613156</v>
      </c>
      <c r="G151">
        <f t="shared" si="59"/>
        <v>132.844191941596</v>
      </c>
      <c r="L151">
        <f t="shared" ref="L151:L214" si="60">ABS(C151-F151)</f>
        <v>0.0671215613155738</v>
      </c>
      <c r="M151">
        <f t="shared" ref="M151:M214" si="61">ABS(D151-G151)</f>
        <v>1.63609294159642</v>
      </c>
      <c r="N151" s="47">
        <f t="shared" si="42"/>
        <v>0</v>
      </c>
      <c r="O151">
        <f t="shared" si="43"/>
        <v>0</v>
      </c>
      <c r="P151">
        <f t="shared" si="44"/>
        <v>0</v>
      </c>
      <c r="Q151">
        <f t="shared" si="45"/>
        <v>0.0671215613155738</v>
      </c>
      <c r="R151">
        <f t="shared" si="46"/>
        <v>0</v>
      </c>
      <c r="S151">
        <f t="shared" si="47"/>
        <v>0</v>
      </c>
      <c r="T151">
        <f t="shared" si="48"/>
        <v>0</v>
      </c>
      <c r="U151" s="52">
        <f t="shared" si="49"/>
        <v>1.63609294159642</v>
      </c>
      <c r="V151">
        <f t="shared" si="50"/>
        <v>0</v>
      </c>
      <c r="W151">
        <f t="shared" si="51"/>
        <v>0</v>
      </c>
      <c r="X151">
        <f t="shared" si="52"/>
        <v>0</v>
      </c>
      <c r="Y151">
        <f t="shared" si="53"/>
        <v>78.009521</v>
      </c>
      <c r="Z151">
        <f t="shared" si="54"/>
        <v>0</v>
      </c>
      <c r="AA151">
        <f t="shared" si="55"/>
        <v>0</v>
      </c>
      <c r="AB151">
        <f t="shared" si="56"/>
        <v>0</v>
      </c>
      <c r="AC151">
        <f t="shared" si="57"/>
        <v>131.208099</v>
      </c>
    </row>
    <row r="152" spans="2:29">
      <c r="B152" s="5">
        <v>133</v>
      </c>
      <c r="C152" s="6">
        <v>79.526665</v>
      </c>
      <c r="D152" s="6">
        <v>135.265167</v>
      </c>
      <c r="E152" s="42">
        <v>0.15</v>
      </c>
      <c r="F152">
        <f t="shared" si="58"/>
        <v>78.0665743271182</v>
      </c>
      <c r="G152">
        <f t="shared" si="59"/>
        <v>132.598778000357</v>
      </c>
      <c r="L152">
        <f t="shared" si="60"/>
        <v>1.46009067288175</v>
      </c>
      <c r="M152">
        <f t="shared" si="61"/>
        <v>2.66638899964303</v>
      </c>
      <c r="N152" s="47">
        <f t="shared" si="42"/>
        <v>1.46009067288175</v>
      </c>
      <c r="O152">
        <f t="shared" si="43"/>
        <v>0</v>
      </c>
      <c r="P152">
        <f t="shared" si="44"/>
        <v>0</v>
      </c>
      <c r="Q152">
        <f t="shared" si="45"/>
        <v>0</v>
      </c>
      <c r="R152">
        <f t="shared" si="46"/>
        <v>2.66638899964303</v>
      </c>
      <c r="S152">
        <f t="shared" si="47"/>
        <v>0</v>
      </c>
      <c r="T152">
        <f t="shared" si="48"/>
        <v>0</v>
      </c>
      <c r="U152" s="52">
        <f t="shared" si="49"/>
        <v>0</v>
      </c>
      <c r="V152">
        <f t="shared" si="50"/>
        <v>79.526665</v>
      </c>
      <c r="W152">
        <f t="shared" si="51"/>
        <v>0</v>
      </c>
      <c r="X152">
        <f t="shared" si="52"/>
        <v>0</v>
      </c>
      <c r="Y152">
        <f t="shared" si="53"/>
        <v>0</v>
      </c>
      <c r="Z152">
        <f t="shared" si="54"/>
        <v>135.265167</v>
      </c>
      <c r="AA152">
        <f t="shared" si="55"/>
        <v>0</v>
      </c>
      <c r="AB152">
        <f t="shared" si="56"/>
        <v>0</v>
      </c>
      <c r="AC152">
        <f t="shared" si="57"/>
        <v>0</v>
      </c>
    </row>
    <row r="153" spans="2:29">
      <c r="B153" s="5">
        <v>134</v>
      </c>
      <c r="C153" s="6">
        <v>78.933754</v>
      </c>
      <c r="D153" s="6">
        <v>136.915833</v>
      </c>
      <c r="E153" s="42">
        <v>0.35</v>
      </c>
      <c r="F153">
        <f t="shared" si="58"/>
        <v>78.5776060626269</v>
      </c>
      <c r="G153">
        <f t="shared" si="59"/>
        <v>133.532014150232</v>
      </c>
      <c r="L153">
        <f t="shared" si="60"/>
        <v>0.356147937373137</v>
      </c>
      <c r="M153">
        <f t="shared" si="61"/>
        <v>3.38381884976798</v>
      </c>
      <c r="N153" s="47">
        <f t="shared" si="42"/>
        <v>0</v>
      </c>
      <c r="O153">
        <f t="shared" si="43"/>
        <v>0.356147937373137</v>
      </c>
      <c r="P153">
        <f t="shared" si="44"/>
        <v>0</v>
      </c>
      <c r="Q153">
        <f t="shared" si="45"/>
        <v>0</v>
      </c>
      <c r="R153">
        <f t="shared" si="46"/>
        <v>0</v>
      </c>
      <c r="S153">
        <f t="shared" si="47"/>
        <v>3.38381884976798</v>
      </c>
      <c r="T153">
        <f t="shared" si="48"/>
        <v>0</v>
      </c>
      <c r="U153" s="52">
        <f t="shared" si="49"/>
        <v>0</v>
      </c>
      <c r="V153">
        <f t="shared" si="50"/>
        <v>0</v>
      </c>
      <c r="W153">
        <f t="shared" si="51"/>
        <v>78.933754</v>
      </c>
      <c r="X153">
        <f t="shared" si="52"/>
        <v>0</v>
      </c>
      <c r="Y153">
        <f t="shared" si="53"/>
        <v>0</v>
      </c>
      <c r="Z153">
        <f t="shared" si="54"/>
        <v>0</v>
      </c>
      <c r="AA153">
        <f t="shared" si="55"/>
        <v>136.915833</v>
      </c>
      <c r="AB153">
        <f t="shared" si="56"/>
        <v>0</v>
      </c>
      <c r="AC153">
        <f t="shared" si="57"/>
        <v>0</v>
      </c>
    </row>
    <row r="154" spans="2:29">
      <c r="B154" s="5">
        <v>135</v>
      </c>
      <c r="C154" s="6">
        <v>79.441963</v>
      </c>
      <c r="D154" s="6">
        <v>138.397446</v>
      </c>
      <c r="E154" s="42">
        <v>0.55</v>
      </c>
      <c r="F154">
        <f t="shared" si="58"/>
        <v>78.7734874281821</v>
      </c>
      <c r="G154">
        <f t="shared" si="59"/>
        <v>135.393114517604</v>
      </c>
      <c r="L154">
        <f t="shared" si="60"/>
        <v>0.668475571817922</v>
      </c>
      <c r="M154">
        <f t="shared" si="61"/>
        <v>3.0043314823956</v>
      </c>
      <c r="N154" s="47">
        <f t="shared" si="42"/>
        <v>0</v>
      </c>
      <c r="O154">
        <f t="shared" si="43"/>
        <v>0</v>
      </c>
      <c r="P154">
        <f t="shared" si="44"/>
        <v>0.668475571817922</v>
      </c>
      <c r="Q154">
        <f t="shared" si="45"/>
        <v>0</v>
      </c>
      <c r="R154">
        <f t="shared" si="46"/>
        <v>0</v>
      </c>
      <c r="S154">
        <f t="shared" si="47"/>
        <v>0</v>
      </c>
      <c r="T154">
        <f t="shared" si="48"/>
        <v>3.0043314823956</v>
      </c>
      <c r="U154" s="52">
        <f t="shared" si="49"/>
        <v>0</v>
      </c>
      <c r="V154">
        <f t="shared" si="50"/>
        <v>0</v>
      </c>
      <c r="W154">
        <f t="shared" si="51"/>
        <v>0</v>
      </c>
      <c r="X154">
        <f t="shared" si="52"/>
        <v>79.441963</v>
      </c>
      <c r="Y154">
        <f t="shared" si="53"/>
        <v>0</v>
      </c>
      <c r="Z154">
        <f t="shared" si="54"/>
        <v>0</v>
      </c>
      <c r="AA154">
        <f t="shared" si="55"/>
        <v>0</v>
      </c>
      <c r="AB154">
        <f t="shared" si="56"/>
        <v>138.397446</v>
      </c>
      <c r="AC154">
        <f t="shared" si="57"/>
        <v>0</v>
      </c>
    </row>
    <row r="155" spans="2:29">
      <c r="B155" s="5">
        <v>136</v>
      </c>
      <c r="C155" s="6">
        <v>78.903862</v>
      </c>
      <c r="D155" s="6">
        <v>144.125061</v>
      </c>
      <c r="E155" s="42">
        <v>0.75</v>
      </c>
      <c r="F155">
        <f t="shared" si="58"/>
        <v>79.2748441070455</v>
      </c>
      <c r="G155">
        <f t="shared" si="59"/>
        <v>137.646363129401</v>
      </c>
      <c r="L155">
        <f t="shared" si="60"/>
        <v>0.370982107045521</v>
      </c>
      <c r="M155">
        <f t="shared" si="61"/>
        <v>6.47869787059889</v>
      </c>
      <c r="N155" s="47">
        <f t="shared" si="42"/>
        <v>0</v>
      </c>
      <c r="O155">
        <f t="shared" si="43"/>
        <v>0</v>
      </c>
      <c r="P155">
        <f t="shared" si="44"/>
        <v>0</v>
      </c>
      <c r="Q155">
        <f t="shared" si="45"/>
        <v>0.370982107045521</v>
      </c>
      <c r="R155">
        <f t="shared" si="46"/>
        <v>0</v>
      </c>
      <c r="S155">
        <f t="shared" si="47"/>
        <v>0</v>
      </c>
      <c r="T155">
        <f t="shared" si="48"/>
        <v>0</v>
      </c>
      <c r="U155" s="52">
        <f t="shared" si="49"/>
        <v>6.47869787059889</v>
      </c>
      <c r="V155">
        <f t="shared" si="50"/>
        <v>0</v>
      </c>
      <c r="W155">
        <f t="shared" si="51"/>
        <v>0</v>
      </c>
      <c r="X155">
        <f t="shared" si="52"/>
        <v>0</v>
      </c>
      <c r="Y155">
        <f t="shared" si="53"/>
        <v>78.903862</v>
      </c>
      <c r="Z155">
        <f t="shared" si="54"/>
        <v>0</v>
      </c>
      <c r="AA155">
        <f t="shared" si="55"/>
        <v>0</v>
      </c>
      <c r="AB155">
        <f t="shared" si="56"/>
        <v>0</v>
      </c>
      <c r="AC155">
        <f t="shared" si="57"/>
        <v>144.125061</v>
      </c>
    </row>
    <row r="156" spans="2:29">
      <c r="B156" s="5">
        <v>137</v>
      </c>
      <c r="C156" s="6">
        <v>79.247643</v>
      </c>
      <c r="D156" s="6">
        <v>147.754532</v>
      </c>
      <c r="E156" s="42">
        <v>0.15</v>
      </c>
      <c r="F156">
        <f t="shared" si="58"/>
        <v>79.2191967909887</v>
      </c>
      <c r="G156">
        <f t="shared" si="59"/>
        <v>138.618167809991</v>
      </c>
      <c r="L156">
        <f t="shared" si="60"/>
        <v>0.0284462090112925</v>
      </c>
      <c r="M156">
        <f t="shared" si="61"/>
        <v>9.13636419000909</v>
      </c>
      <c r="N156" s="47">
        <f t="shared" si="42"/>
        <v>0.0284462090112925</v>
      </c>
      <c r="O156">
        <f t="shared" si="43"/>
        <v>0</v>
      </c>
      <c r="P156">
        <f t="shared" si="44"/>
        <v>0</v>
      </c>
      <c r="Q156">
        <f t="shared" si="45"/>
        <v>0</v>
      </c>
      <c r="R156">
        <f t="shared" si="46"/>
        <v>9.13636419000909</v>
      </c>
      <c r="S156">
        <f t="shared" si="47"/>
        <v>0</v>
      </c>
      <c r="T156">
        <f t="shared" si="48"/>
        <v>0</v>
      </c>
      <c r="U156" s="52">
        <f t="shared" si="49"/>
        <v>0</v>
      </c>
      <c r="V156">
        <f t="shared" si="50"/>
        <v>79.247643</v>
      </c>
      <c r="W156">
        <f t="shared" si="51"/>
        <v>0</v>
      </c>
      <c r="X156">
        <f t="shared" si="52"/>
        <v>0</v>
      </c>
      <c r="Y156">
        <f t="shared" si="53"/>
        <v>0</v>
      </c>
      <c r="Z156">
        <f t="shared" si="54"/>
        <v>147.754532</v>
      </c>
      <c r="AA156">
        <f t="shared" si="55"/>
        <v>0</v>
      </c>
      <c r="AB156">
        <f t="shared" si="56"/>
        <v>0</v>
      </c>
      <c r="AC156">
        <f t="shared" si="57"/>
        <v>0</v>
      </c>
    </row>
    <row r="157" spans="2:29">
      <c r="B157" s="5">
        <v>138</v>
      </c>
      <c r="C157" s="6">
        <v>79.282524</v>
      </c>
      <c r="D157" s="6">
        <v>146.730331</v>
      </c>
      <c r="E157" s="42">
        <v>0.35</v>
      </c>
      <c r="F157">
        <f t="shared" si="58"/>
        <v>79.2291529641427</v>
      </c>
      <c r="G157">
        <f t="shared" si="59"/>
        <v>141.815895276494</v>
      </c>
      <c r="L157">
        <f t="shared" si="60"/>
        <v>0.0533710358573387</v>
      </c>
      <c r="M157">
        <f t="shared" si="61"/>
        <v>4.9144357235059</v>
      </c>
      <c r="N157" s="47">
        <f t="shared" si="42"/>
        <v>0</v>
      </c>
      <c r="O157">
        <f t="shared" si="43"/>
        <v>0.0533710358573387</v>
      </c>
      <c r="P157">
        <f t="shared" si="44"/>
        <v>0</v>
      </c>
      <c r="Q157">
        <f t="shared" si="45"/>
        <v>0</v>
      </c>
      <c r="R157">
        <f t="shared" si="46"/>
        <v>0</v>
      </c>
      <c r="S157">
        <f t="shared" si="47"/>
        <v>4.9144357235059</v>
      </c>
      <c r="T157">
        <f t="shared" si="48"/>
        <v>0</v>
      </c>
      <c r="U157" s="52">
        <f t="shared" si="49"/>
        <v>0</v>
      </c>
      <c r="V157">
        <f t="shared" si="50"/>
        <v>0</v>
      </c>
      <c r="W157">
        <f t="shared" si="51"/>
        <v>79.282524</v>
      </c>
      <c r="X157">
        <f t="shared" si="52"/>
        <v>0</v>
      </c>
      <c r="Y157">
        <f t="shared" si="53"/>
        <v>0</v>
      </c>
      <c r="Z157">
        <f t="shared" si="54"/>
        <v>0</v>
      </c>
      <c r="AA157">
        <f t="shared" si="55"/>
        <v>146.730331</v>
      </c>
      <c r="AB157">
        <f t="shared" si="56"/>
        <v>0</v>
      </c>
      <c r="AC157">
        <f t="shared" si="57"/>
        <v>0</v>
      </c>
    </row>
    <row r="158" spans="2:29">
      <c r="B158" s="5">
        <v>139</v>
      </c>
      <c r="C158" s="6">
        <v>79.205299</v>
      </c>
      <c r="D158" s="6">
        <v>145.029953</v>
      </c>
      <c r="E158" s="42">
        <v>0.55</v>
      </c>
      <c r="F158">
        <f t="shared" si="58"/>
        <v>79.2585070338642</v>
      </c>
      <c r="G158">
        <f t="shared" si="59"/>
        <v>144.518834924422</v>
      </c>
      <c r="L158">
        <f t="shared" si="60"/>
        <v>0.0532080338641947</v>
      </c>
      <c r="M158">
        <f t="shared" si="61"/>
        <v>0.511118075577656</v>
      </c>
      <c r="N158" s="47">
        <f t="shared" si="42"/>
        <v>0</v>
      </c>
      <c r="O158">
        <f t="shared" si="43"/>
        <v>0</v>
      </c>
      <c r="P158">
        <f t="shared" si="44"/>
        <v>0.0532080338641947</v>
      </c>
      <c r="Q158">
        <f t="shared" si="45"/>
        <v>0</v>
      </c>
      <c r="R158">
        <f t="shared" si="46"/>
        <v>0</v>
      </c>
      <c r="S158">
        <f t="shared" si="47"/>
        <v>0</v>
      </c>
      <c r="T158">
        <f t="shared" si="48"/>
        <v>0.511118075577656</v>
      </c>
      <c r="U158" s="52">
        <f t="shared" si="49"/>
        <v>0</v>
      </c>
      <c r="V158">
        <f t="shared" si="50"/>
        <v>0</v>
      </c>
      <c r="W158">
        <f t="shared" si="51"/>
        <v>0</v>
      </c>
      <c r="X158">
        <f t="shared" si="52"/>
        <v>79.205299</v>
      </c>
      <c r="Y158">
        <f t="shared" si="53"/>
        <v>0</v>
      </c>
      <c r="Z158">
        <f t="shared" si="54"/>
        <v>0</v>
      </c>
      <c r="AA158">
        <f t="shared" si="55"/>
        <v>0</v>
      </c>
      <c r="AB158">
        <f t="shared" si="56"/>
        <v>145.029953</v>
      </c>
      <c r="AC158">
        <f t="shared" si="57"/>
        <v>0</v>
      </c>
    </row>
    <row r="159" spans="2:29">
      <c r="B159" s="5">
        <v>140</v>
      </c>
      <c r="C159" s="6">
        <v>80.179359</v>
      </c>
      <c r="D159" s="6">
        <v>145.358093</v>
      </c>
      <c r="E159" s="42">
        <v>0.75</v>
      </c>
      <c r="F159">
        <f t="shared" si="58"/>
        <v>79.218601008466</v>
      </c>
      <c r="G159">
        <f t="shared" si="59"/>
        <v>144.902173481106</v>
      </c>
      <c r="L159">
        <f t="shared" si="60"/>
        <v>0.960757991533967</v>
      </c>
      <c r="M159">
        <f t="shared" si="61"/>
        <v>0.455919518894405</v>
      </c>
      <c r="N159" s="47">
        <f t="shared" si="42"/>
        <v>0</v>
      </c>
      <c r="O159">
        <f t="shared" si="43"/>
        <v>0</v>
      </c>
      <c r="P159">
        <f t="shared" si="44"/>
        <v>0</v>
      </c>
      <c r="Q159">
        <f t="shared" si="45"/>
        <v>0.960757991533967</v>
      </c>
      <c r="R159">
        <f t="shared" si="46"/>
        <v>0</v>
      </c>
      <c r="S159">
        <f t="shared" si="47"/>
        <v>0</v>
      </c>
      <c r="T159">
        <f t="shared" si="48"/>
        <v>0</v>
      </c>
      <c r="U159" s="52">
        <f t="shared" si="49"/>
        <v>0.455919518894405</v>
      </c>
      <c r="V159">
        <f t="shared" si="50"/>
        <v>0</v>
      </c>
      <c r="W159">
        <f t="shared" si="51"/>
        <v>0</v>
      </c>
      <c r="X159">
        <f t="shared" si="52"/>
        <v>0</v>
      </c>
      <c r="Y159">
        <f t="shared" si="53"/>
        <v>80.179359</v>
      </c>
      <c r="Z159">
        <f t="shared" si="54"/>
        <v>0</v>
      </c>
      <c r="AA159">
        <f t="shared" si="55"/>
        <v>0</v>
      </c>
      <c r="AB159">
        <f t="shared" si="56"/>
        <v>0</v>
      </c>
      <c r="AC159">
        <f t="shared" si="57"/>
        <v>145.358093</v>
      </c>
    </row>
    <row r="160" spans="2:29">
      <c r="B160" s="5">
        <v>141</v>
      </c>
      <c r="C160" s="6">
        <v>80.550545</v>
      </c>
      <c r="D160" s="6">
        <v>147.5159</v>
      </c>
      <c r="E160" s="42">
        <v>0.15</v>
      </c>
      <c r="F160">
        <f t="shared" si="58"/>
        <v>79.3627147071961</v>
      </c>
      <c r="G160">
        <f t="shared" si="59"/>
        <v>144.97056140894</v>
      </c>
      <c r="L160">
        <f t="shared" si="60"/>
        <v>1.18783029280387</v>
      </c>
      <c r="M160">
        <f t="shared" si="61"/>
        <v>2.54533859106024</v>
      </c>
      <c r="N160" s="47">
        <f t="shared" si="42"/>
        <v>1.18783029280387</v>
      </c>
      <c r="O160">
        <f t="shared" si="43"/>
        <v>0</v>
      </c>
      <c r="P160">
        <f t="shared" si="44"/>
        <v>0</v>
      </c>
      <c r="Q160">
        <f t="shared" si="45"/>
        <v>0</v>
      </c>
      <c r="R160">
        <f t="shared" si="46"/>
        <v>2.54533859106024</v>
      </c>
      <c r="S160">
        <f t="shared" si="47"/>
        <v>0</v>
      </c>
      <c r="T160">
        <f t="shared" si="48"/>
        <v>0</v>
      </c>
      <c r="U160" s="52">
        <f t="shared" si="49"/>
        <v>0</v>
      </c>
      <c r="V160">
        <f t="shared" si="50"/>
        <v>80.550545</v>
      </c>
      <c r="W160">
        <f t="shared" si="51"/>
        <v>0</v>
      </c>
      <c r="X160">
        <f t="shared" si="52"/>
        <v>0</v>
      </c>
      <c r="Y160">
        <f t="shared" si="53"/>
        <v>0</v>
      </c>
      <c r="Z160">
        <f t="shared" si="54"/>
        <v>147.5159</v>
      </c>
      <c r="AA160">
        <f t="shared" si="55"/>
        <v>0</v>
      </c>
      <c r="AB160">
        <f t="shared" si="56"/>
        <v>0</v>
      </c>
      <c r="AC160">
        <f t="shared" si="57"/>
        <v>0</v>
      </c>
    </row>
    <row r="161" spans="2:29">
      <c r="B161" s="5">
        <v>142</v>
      </c>
      <c r="C161" s="6">
        <v>80.99398</v>
      </c>
      <c r="D161" s="6">
        <v>152.487793</v>
      </c>
      <c r="E161" s="42">
        <v>0.35</v>
      </c>
      <c r="F161">
        <f t="shared" si="58"/>
        <v>79.7784553096775</v>
      </c>
      <c r="G161">
        <f t="shared" si="59"/>
        <v>145.861429915811</v>
      </c>
      <c r="L161">
        <f t="shared" si="60"/>
        <v>1.21552469032251</v>
      </c>
      <c r="M161">
        <f t="shared" si="61"/>
        <v>6.62636308418917</v>
      </c>
      <c r="N161" s="47">
        <f t="shared" si="42"/>
        <v>0</v>
      </c>
      <c r="O161">
        <f t="shared" si="43"/>
        <v>1.21552469032251</v>
      </c>
      <c r="P161">
        <f t="shared" si="44"/>
        <v>0</v>
      </c>
      <c r="Q161">
        <f t="shared" si="45"/>
        <v>0</v>
      </c>
      <c r="R161">
        <f t="shared" si="46"/>
        <v>0</v>
      </c>
      <c r="S161">
        <f t="shared" si="47"/>
        <v>6.62636308418917</v>
      </c>
      <c r="T161">
        <f t="shared" si="48"/>
        <v>0</v>
      </c>
      <c r="U161" s="52">
        <f t="shared" si="49"/>
        <v>0</v>
      </c>
      <c r="V161">
        <f t="shared" si="50"/>
        <v>0</v>
      </c>
      <c r="W161">
        <f t="shared" si="51"/>
        <v>80.99398</v>
      </c>
      <c r="X161">
        <f t="shared" si="52"/>
        <v>0</v>
      </c>
      <c r="Y161">
        <f t="shared" si="53"/>
        <v>0</v>
      </c>
      <c r="Z161">
        <f t="shared" si="54"/>
        <v>0</v>
      </c>
      <c r="AA161">
        <f t="shared" si="55"/>
        <v>152.487793</v>
      </c>
      <c r="AB161">
        <f t="shared" si="56"/>
        <v>0</v>
      </c>
      <c r="AC161">
        <f t="shared" si="57"/>
        <v>0</v>
      </c>
    </row>
    <row r="162" spans="2:29">
      <c r="B162" s="5">
        <v>143</v>
      </c>
      <c r="C162" s="6">
        <v>80.296448</v>
      </c>
      <c r="D162" s="6">
        <v>155.033386</v>
      </c>
      <c r="E162" s="42">
        <v>0.55</v>
      </c>
      <c r="F162">
        <f t="shared" si="58"/>
        <v>80.4469938893549</v>
      </c>
      <c r="G162">
        <f t="shared" si="59"/>
        <v>149.505929612115</v>
      </c>
      <c r="L162">
        <f t="shared" si="60"/>
        <v>0.150545889354873</v>
      </c>
      <c r="M162">
        <f t="shared" si="61"/>
        <v>5.52745638788511</v>
      </c>
      <c r="N162" s="47">
        <f t="shared" si="42"/>
        <v>0</v>
      </c>
      <c r="O162">
        <f t="shared" si="43"/>
        <v>0</v>
      </c>
      <c r="P162">
        <f t="shared" si="44"/>
        <v>0.150545889354873</v>
      </c>
      <c r="Q162">
        <f t="shared" si="45"/>
        <v>0</v>
      </c>
      <c r="R162">
        <f t="shared" si="46"/>
        <v>0</v>
      </c>
      <c r="S162">
        <f t="shared" si="47"/>
        <v>0</v>
      </c>
      <c r="T162">
        <f t="shared" si="48"/>
        <v>5.52745638788511</v>
      </c>
      <c r="U162" s="52">
        <f t="shared" si="49"/>
        <v>0</v>
      </c>
      <c r="V162">
        <f t="shared" si="50"/>
        <v>0</v>
      </c>
      <c r="W162">
        <f t="shared" si="51"/>
        <v>0</v>
      </c>
      <c r="X162">
        <f t="shared" si="52"/>
        <v>80.296448</v>
      </c>
      <c r="Y162">
        <f t="shared" si="53"/>
        <v>0</v>
      </c>
      <c r="Z162">
        <f t="shared" si="54"/>
        <v>0</v>
      </c>
      <c r="AA162">
        <f t="shared" si="55"/>
        <v>0</v>
      </c>
      <c r="AB162">
        <f t="shared" si="56"/>
        <v>155.033386</v>
      </c>
      <c r="AC162">
        <f t="shared" si="57"/>
        <v>0</v>
      </c>
    </row>
    <row r="163" spans="2:29">
      <c r="B163" s="5">
        <v>144</v>
      </c>
      <c r="C163" s="6">
        <v>82.583374</v>
      </c>
      <c r="D163" s="6">
        <v>160.462677</v>
      </c>
      <c r="E163" s="42">
        <v>0.75</v>
      </c>
      <c r="F163">
        <f t="shared" si="58"/>
        <v>80.3340844723387</v>
      </c>
      <c r="G163">
        <f t="shared" si="59"/>
        <v>153.651521903029</v>
      </c>
      <c r="L163">
        <f t="shared" si="60"/>
        <v>2.24928952766129</v>
      </c>
      <c r="M163">
        <f t="shared" si="61"/>
        <v>6.81115509697128</v>
      </c>
      <c r="N163" s="47">
        <f t="shared" si="42"/>
        <v>0</v>
      </c>
      <c r="O163">
        <f t="shared" si="43"/>
        <v>0</v>
      </c>
      <c r="P163">
        <f t="shared" si="44"/>
        <v>0</v>
      </c>
      <c r="Q163">
        <f t="shared" si="45"/>
        <v>2.24928952766129</v>
      </c>
      <c r="R163">
        <f t="shared" si="46"/>
        <v>0</v>
      </c>
      <c r="S163">
        <f t="shared" si="47"/>
        <v>0</v>
      </c>
      <c r="T163">
        <f t="shared" si="48"/>
        <v>0</v>
      </c>
      <c r="U163" s="52">
        <f t="shared" si="49"/>
        <v>6.81115509697128</v>
      </c>
      <c r="V163">
        <f t="shared" si="50"/>
        <v>0</v>
      </c>
      <c r="W163">
        <f t="shared" si="51"/>
        <v>0</v>
      </c>
      <c r="X163">
        <f t="shared" si="52"/>
        <v>0</v>
      </c>
      <c r="Y163">
        <f t="shared" si="53"/>
        <v>82.583374</v>
      </c>
      <c r="Z163">
        <f t="shared" si="54"/>
        <v>0</v>
      </c>
      <c r="AA163">
        <f t="shared" si="55"/>
        <v>0</v>
      </c>
      <c r="AB163">
        <f t="shared" si="56"/>
        <v>0</v>
      </c>
      <c r="AC163">
        <f t="shared" si="57"/>
        <v>160.462677</v>
      </c>
    </row>
    <row r="164" spans="2:29">
      <c r="B164" s="5">
        <v>145</v>
      </c>
      <c r="C164" s="6">
        <v>83.07164</v>
      </c>
      <c r="D164" s="6">
        <v>162.003967</v>
      </c>
      <c r="E164" s="42">
        <v>0.15</v>
      </c>
      <c r="F164">
        <f t="shared" si="58"/>
        <v>80.6714779014879</v>
      </c>
      <c r="G164">
        <f t="shared" si="59"/>
        <v>154.673195167574</v>
      </c>
      <c r="L164">
        <f t="shared" si="60"/>
        <v>2.4001620985121</v>
      </c>
      <c r="M164">
        <f t="shared" si="61"/>
        <v>7.33077183242557</v>
      </c>
      <c r="N164" s="47">
        <f t="shared" si="42"/>
        <v>2.4001620985121</v>
      </c>
      <c r="O164">
        <f t="shared" si="43"/>
        <v>0</v>
      </c>
      <c r="P164">
        <f t="shared" si="44"/>
        <v>0</v>
      </c>
      <c r="Q164">
        <f t="shared" si="45"/>
        <v>0</v>
      </c>
      <c r="R164">
        <f t="shared" si="46"/>
        <v>7.33077183242557</v>
      </c>
      <c r="S164">
        <f t="shared" si="47"/>
        <v>0</v>
      </c>
      <c r="T164">
        <f t="shared" si="48"/>
        <v>0</v>
      </c>
      <c r="U164" s="52">
        <f t="shared" si="49"/>
        <v>0</v>
      </c>
      <c r="V164">
        <f t="shared" si="50"/>
        <v>83.07164</v>
      </c>
      <c r="W164">
        <f t="shared" si="51"/>
        <v>0</v>
      </c>
      <c r="X164">
        <f t="shared" si="52"/>
        <v>0</v>
      </c>
      <c r="Y164">
        <f t="shared" si="53"/>
        <v>0</v>
      </c>
      <c r="Z164">
        <f t="shared" si="54"/>
        <v>162.003967</v>
      </c>
      <c r="AA164">
        <f t="shared" si="55"/>
        <v>0</v>
      </c>
      <c r="AB164">
        <f t="shared" si="56"/>
        <v>0</v>
      </c>
      <c r="AC164">
        <f t="shared" si="57"/>
        <v>0</v>
      </c>
    </row>
    <row r="165" spans="2:29">
      <c r="B165" s="5">
        <v>146</v>
      </c>
      <c r="C165" s="6">
        <v>85.694878</v>
      </c>
      <c r="D165" s="6">
        <v>157.211075</v>
      </c>
      <c r="E165" s="42">
        <v>0.35</v>
      </c>
      <c r="F165">
        <f t="shared" si="58"/>
        <v>81.5115346359671</v>
      </c>
      <c r="G165">
        <f t="shared" si="59"/>
        <v>157.238965308923</v>
      </c>
      <c r="L165">
        <f t="shared" si="60"/>
        <v>4.18334336403286</v>
      </c>
      <c r="M165">
        <f t="shared" si="61"/>
        <v>0.0278903089233609</v>
      </c>
      <c r="N165" s="47">
        <f t="shared" si="42"/>
        <v>0</v>
      </c>
      <c r="O165">
        <f t="shared" si="43"/>
        <v>4.18334336403286</v>
      </c>
      <c r="P165">
        <f t="shared" si="44"/>
        <v>0</v>
      </c>
      <c r="Q165">
        <f t="shared" si="45"/>
        <v>0</v>
      </c>
      <c r="R165">
        <f t="shared" si="46"/>
        <v>0</v>
      </c>
      <c r="S165">
        <f t="shared" si="47"/>
        <v>0.0278903089233609</v>
      </c>
      <c r="T165">
        <f t="shared" si="48"/>
        <v>0</v>
      </c>
      <c r="U165" s="52">
        <f t="shared" si="49"/>
        <v>0</v>
      </c>
      <c r="V165">
        <f t="shared" si="50"/>
        <v>0</v>
      </c>
      <c r="W165">
        <f t="shared" si="51"/>
        <v>85.694878</v>
      </c>
      <c r="X165">
        <f t="shared" si="52"/>
        <v>0</v>
      </c>
      <c r="Y165">
        <f t="shared" si="53"/>
        <v>0</v>
      </c>
      <c r="Z165">
        <f t="shared" si="54"/>
        <v>0</v>
      </c>
      <c r="AA165">
        <f t="shared" si="55"/>
        <v>157.211075</v>
      </c>
      <c r="AB165">
        <f t="shared" si="56"/>
        <v>0</v>
      </c>
      <c r="AC165">
        <f t="shared" si="57"/>
        <v>0</v>
      </c>
    </row>
    <row r="166" spans="2:29">
      <c r="B166" s="5">
        <v>147</v>
      </c>
      <c r="C166" s="6">
        <v>87.89959</v>
      </c>
      <c r="D166" s="6">
        <v>153.253448</v>
      </c>
      <c r="E166" s="42">
        <v>0.55</v>
      </c>
      <c r="F166">
        <f t="shared" si="58"/>
        <v>83.8123734861852</v>
      </c>
      <c r="G166">
        <f t="shared" si="59"/>
        <v>157.223625639015</v>
      </c>
      <c r="L166">
        <f t="shared" si="60"/>
        <v>4.08721651381479</v>
      </c>
      <c r="M166">
        <f t="shared" si="61"/>
        <v>3.9701776390155</v>
      </c>
      <c r="N166" s="47">
        <f t="shared" si="42"/>
        <v>0</v>
      </c>
      <c r="O166">
        <f t="shared" si="43"/>
        <v>0</v>
      </c>
      <c r="P166">
        <f t="shared" si="44"/>
        <v>4.08721651381479</v>
      </c>
      <c r="Q166">
        <f t="shared" si="45"/>
        <v>0</v>
      </c>
      <c r="R166">
        <f t="shared" si="46"/>
        <v>0</v>
      </c>
      <c r="S166">
        <f t="shared" si="47"/>
        <v>0</v>
      </c>
      <c r="T166">
        <f t="shared" si="48"/>
        <v>3.9701776390155</v>
      </c>
      <c r="U166" s="52">
        <f t="shared" si="49"/>
        <v>0</v>
      </c>
      <c r="V166">
        <f t="shared" si="50"/>
        <v>0</v>
      </c>
      <c r="W166">
        <f t="shared" si="51"/>
        <v>0</v>
      </c>
      <c r="X166">
        <f t="shared" si="52"/>
        <v>87.89959</v>
      </c>
      <c r="Y166">
        <f t="shared" si="53"/>
        <v>0</v>
      </c>
      <c r="Z166">
        <f t="shared" si="54"/>
        <v>0</v>
      </c>
      <c r="AA166">
        <f t="shared" si="55"/>
        <v>0</v>
      </c>
      <c r="AB166">
        <f t="shared" si="56"/>
        <v>153.253448</v>
      </c>
      <c r="AC166">
        <f t="shared" si="57"/>
        <v>0</v>
      </c>
    </row>
    <row r="167" spans="2:29">
      <c r="B167" s="5">
        <v>148</v>
      </c>
      <c r="C167" s="6">
        <v>83.679497</v>
      </c>
      <c r="D167" s="6">
        <v>142.633499</v>
      </c>
      <c r="E167" s="42">
        <v>0.75</v>
      </c>
      <c r="F167">
        <f t="shared" si="58"/>
        <v>86.8777858715463</v>
      </c>
      <c r="G167">
        <f t="shared" si="59"/>
        <v>154.245992409754</v>
      </c>
      <c r="L167">
        <f t="shared" si="60"/>
        <v>3.19828887154631</v>
      </c>
      <c r="M167">
        <f t="shared" si="61"/>
        <v>11.6124934097539</v>
      </c>
      <c r="N167" s="47">
        <f t="shared" si="42"/>
        <v>0</v>
      </c>
      <c r="O167">
        <f t="shared" si="43"/>
        <v>0</v>
      </c>
      <c r="P167">
        <f t="shared" si="44"/>
        <v>0</v>
      </c>
      <c r="Q167">
        <f t="shared" si="45"/>
        <v>3.19828887154631</v>
      </c>
      <c r="R167">
        <f t="shared" si="46"/>
        <v>0</v>
      </c>
      <c r="S167">
        <f t="shared" si="47"/>
        <v>0</v>
      </c>
      <c r="T167">
        <f t="shared" si="48"/>
        <v>0</v>
      </c>
      <c r="U167" s="52">
        <f t="shared" si="49"/>
        <v>11.6124934097539</v>
      </c>
      <c r="V167">
        <f t="shared" si="50"/>
        <v>0</v>
      </c>
      <c r="W167">
        <f t="shared" si="51"/>
        <v>0</v>
      </c>
      <c r="X167">
        <f t="shared" si="52"/>
        <v>0</v>
      </c>
      <c r="Y167">
        <f t="shared" si="53"/>
        <v>83.679497</v>
      </c>
      <c r="Z167">
        <f t="shared" si="54"/>
        <v>0</v>
      </c>
      <c r="AA167">
        <f t="shared" si="55"/>
        <v>0</v>
      </c>
      <c r="AB167">
        <f t="shared" si="56"/>
        <v>0</v>
      </c>
      <c r="AC167">
        <f t="shared" si="57"/>
        <v>142.633499</v>
      </c>
    </row>
    <row r="168" spans="2:29">
      <c r="B168" s="5">
        <v>149</v>
      </c>
      <c r="C168" s="6">
        <v>84.401947</v>
      </c>
      <c r="D168" s="6">
        <v>143.697479</v>
      </c>
      <c r="E168" s="42">
        <v>0.15</v>
      </c>
      <c r="F168">
        <f t="shared" si="58"/>
        <v>86.3980425408144</v>
      </c>
      <c r="G168">
        <f t="shared" si="59"/>
        <v>152.504118398291</v>
      </c>
      <c r="L168">
        <f t="shared" si="60"/>
        <v>1.99609554081435</v>
      </c>
      <c r="M168">
        <f t="shared" si="61"/>
        <v>8.80663939829077</v>
      </c>
      <c r="N168" s="47">
        <f t="shared" si="42"/>
        <v>1.99609554081435</v>
      </c>
      <c r="O168">
        <f t="shared" si="43"/>
        <v>0</v>
      </c>
      <c r="P168">
        <f t="shared" si="44"/>
        <v>0</v>
      </c>
      <c r="Q168">
        <f t="shared" si="45"/>
        <v>0</v>
      </c>
      <c r="R168">
        <f t="shared" si="46"/>
        <v>8.80663939829077</v>
      </c>
      <c r="S168">
        <f t="shared" si="47"/>
        <v>0</v>
      </c>
      <c r="T168">
        <f t="shared" si="48"/>
        <v>0</v>
      </c>
      <c r="U168" s="52">
        <f t="shared" si="49"/>
        <v>0</v>
      </c>
      <c r="V168">
        <f t="shared" si="50"/>
        <v>84.401947</v>
      </c>
      <c r="W168">
        <f t="shared" si="51"/>
        <v>0</v>
      </c>
      <c r="X168">
        <f t="shared" si="52"/>
        <v>0</v>
      </c>
      <c r="Y168">
        <f t="shared" si="53"/>
        <v>0</v>
      </c>
      <c r="Z168">
        <f t="shared" si="54"/>
        <v>143.697479</v>
      </c>
      <c r="AA168">
        <f t="shared" si="55"/>
        <v>0</v>
      </c>
      <c r="AB168">
        <f t="shared" si="56"/>
        <v>0</v>
      </c>
      <c r="AC168">
        <f t="shared" si="57"/>
        <v>0</v>
      </c>
    </row>
    <row r="169" spans="2:29">
      <c r="B169" s="5">
        <v>150</v>
      </c>
      <c r="C169" s="6">
        <v>85.445755</v>
      </c>
      <c r="D169" s="6">
        <v>145.805573</v>
      </c>
      <c r="E169" s="42">
        <v>0.35</v>
      </c>
      <c r="F169">
        <f t="shared" si="58"/>
        <v>85.6994091015293</v>
      </c>
      <c r="G169">
        <f t="shared" si="59"/>
        <v>149.421794608889</v>
      </c>
      <c r="L169">
        <f t="shared" si="60"/>
        <v>0.253654101529335</v>
      </c>
      <c r="M169">
        <f t="shared" si="61"/>
        <v>3.61622160888899</v>
      </c>
      <c r="N169" s="47">
        <f t="shared" si="42"/>
        <v>0</v>
      </c>
      <c r="O169">
        <f t="shared" si="43"/>
        <v>0.253654101529335</v>
      </c>
      <c r="P169">
        <f t="shared" si="44"/>
        <v>0</v>
      </c>
      <c r="Q169">
        <f t="shared" si="45"/>
        <v>0</v>
      </c>
      <c r="R169">
        <f t="shared" si="46"/>
        <v>0</v>
      </c>
      <c r="S169">
        <f t="shared" si="47"/>
        <v>3.61622160888899</v>
      </c>
      <c r="T169">
        <f t="shared" si="48"/>
        <v>0</v>
      </c>
      <c r="U169" s="52">
        <f t="shared" si="49"/>
        <v>0</v>
      </c>
      <c r="V169">
        <f t="shared" si="50"/>
        <v>0</v>
      </c>
      <c r="W169">
        <f t="shared" si="51"/>
        <v>85.445755</v>
      </c>
      <c r="X169">
        <f t="shared" si="52"/>
        <v>0</v>
      </c>
      <c r="Y169">
        <f t="shared" si="53"/>
        <v>0</v>
      </c>
      <c r="Z169">
        <f t="shared" si="54"/>
        <v>0</v>
      </c>
      <c r="AA169">
        <f t="shared" si="55"/>
        <v>145.805573</v>
      </c>
      <c r="AB169">
        <f t="shared" si="56"/>
        <v>0</v>
      </c>
      <c r="AC169">
        <f t="shared" si="57"/>
        <v>0</v>
      </c>
    </row>
    <row r="170" spans="2:29">
      <c r="B170" s="5">
        <v>151</v>
      </c>
      <c r="C170" s="6">
        <v>87.710258</v>
      </c>
      <c r="D170" s="6">
        <v>148.271622</v>
      </c>
      <c r="E170" s="42">
        <v>0.55</v>
      </c>
      <c r="F170">
        <f t="shared" si="58"/>
        <v>85.5598993456882</v>
      </c>
      <c r="G170">
        <f t="shared" si="59"/>
        <v>147.432872724</v>
      </c>
      <c r="L170">
        <f t="shared" si="60"/>
        <v>2.15035865431179</v>
      </c>
      <c r="M170">
        <f t="shared" si="61"/>
        <v>0.838749275999959</v>
      </c>
      <c r="N170" s="47">
        <f t="shared" si="42"/>
        <v>0</v>
      </c>
      <c r="O170">
        <f t="shared" si="43"/>
        <v>0</v>
      </c>
      <c r="P170">
        <f t="shared" si="44"/>
        <v>2.15035865431179</v>
      </c>
      <c r="Q170">
        <f t="shared" si="45"/>
        <v>0</v>
      </c>
      <c r="R170">
        <f t="shared" si="46"/>
        <v>0</v>
      </c>
      <c r="S170">
        <f t="shared" si="47"/>
        <v>0</v>
      </c>
      <c r="T170">
        <f t="shared" si="48"/>
        <v>0.838749275999959</v>
      </c>
      <c r="U170" s="52">
        <f t="shared" si="49"/>
        <v>0</v>
      </c>
      <c r="V170">
        <f t="shared" si="50"/>
        <v>0</v>
      </c>
      <c r="W170">
        <f t="shared" si="51"/>
        <v>0</v>
      </c>
      <c r="X170">
        <f t="shared" si="52"/>
        <v>87.710258</v>
      </c>
      <c r="Y170">
        <f t="shared" si="53"/>
        <v>0</v>
      </c>
      <c r="Z170">
        <f t="shared" si="54"/>
        <v>0</v>
      </c>
      <c r="AA170">
        <f t="shared" si="55"/>
        <v>0</v>
      </c>
      <c r="AB170">
        <f t="shared" si="56"/>
        <v>148.271622</v>
      </c>
      <c r="AC170">
        <f t="shared" si="57"/>
        <v>0</v>
      </c>
    </row>
    <row r="171" spans="2:29">
      <c r="B171" s="5">
        <v>152</v>
      </c>
      <c r="C171" s="6">
        <v>87.588196</v>
      </c>
      <c r="D171" s="6">
        <v>147.505951</v>
      </c>
      <c r="E171" s="42">
        <v>0.75</v>
      </c>
      <c r="F171">
        <f t="shared" si="58"/>
        <v>87.172668336422</v>
      </c>
      <c r="G171">
        <f t="shared" si="59"/>
        <v>148.061934681</v>
      </c>
      <c r="L171">
        <f t="shared" si="60"/>
        <v>0.415527663577947</v>
      </c>
      <c r="M171">
        <f t="shared" si="61"/>
        <v>0.555983681000015</v>
      </c>
      <c r="N171" s="47">
        <f t="shared" si="42"/>
        <v>0</v>
      </c>
      <c r="O171">
        <f t="shared" si="43"/>
        <v>0</v>
      </c>
      <c r="P171">
        <f t="shared" si="44"/>
        <v>0</v>
      </c>
      <c r="Q171">
        <f t="shared" si="45"/>
        <v>0.415527663577947</v>
      </c>
      <c r="R171">
        <f t="shared" si="46"/>
        <v>0</v>
      </c>
      <c r="S171">
        <f t="shared" si="47"/>
        <v>0</v>
      </c>
      <c r="T171">
        <f t="shared" si="48"/>
        <v>0</v>
      </c>
      <c r="U171" s="52">
        <f t="shared" si="49"/>
        <v>0.555983681000015</v>
      </c>
      <c r="V171">
        <f t="shared" si="50"/>
        <v>0</v>
      </c>
      <c r="W171">
        <f t="shared" si="51"/>
        <v>0</v>
      </c>
      <c r="X171">
        <f t="shared" si="52"/>
        <v>0</v>
      </c>
      <c r="Y171">
        <f t="shared" si="53"/>
        <v>87.588196</v>
      </c>
      <c r="Z171">
        <f t="shared" si="54"/>
        <v>0</v>
      </c>
      <c r="AA171">
        <f t="shared" si="55"/>
        <v>0</v>
      </c>
      <c r="AB171">
        <f t="shared" si="56"/>
        <v>0</v>
      </c>
      <c r="AC171">
        <f t="shared" si="57"/>
        <v>147.505951</v>
      </c>
    </row>
    <row r="172" spans="2:29">
      <c r="B172" s="5">
        <v>153</v>
      </c>
      <c r="C172" s="6">
        <v>87.623077</v>
      </c>
      <c r="D172" s="6">
        <v>147.396561</v>
      </c>
      <c r="E172" s="42">
        <v>0.15</v>
      </c>
      <c r="F172">
        <f t="shared" si="58"/>
        <v>87.2349974859587</v>
      </c>
      <c r="G172">
        <f t="shared" si="59"/>
        <v>147.97853712885</v>
      </c>
      <c r="L172">
        <f t="shared" si="60"/>
        <v>0.388079514041252</v>
      </c>
      <c r="M172">
        <f t="shared" si="61"/>
        <v>0.581976128850044</v>
      </c>
      <c r="N172" s="47">
        <f t="shared" si="42"/>
        <v>0.388079514041252</v>
      </c>
      <c r="O172">
        <f t="shared" si="43"/>
        <v>0</v>
      </c>
      <c r="P172">
        <f t="shared" si="44"/>
        <v>0</v>
      </c>
      <c r="Q172">
        <f t="shared" si="45"/>
        <v>0</v>
      </c>
      <c r="R172">
        <f t="shared" si="46"/>
        <v>0.581976128850044</v>
      </c>
      <c r="S172">
        <f t="shared" si="47"/>
        <v>0</v>
      </c>
      <c r="T172">
        <f t="shared" si="48"/>
        <v>0</v>
      </c>
      <c r="U172" s="52">
        <f t="shared" si="49"/>
        <v>0</v>
      </c>
      <c r="V172">
        <f t="shared" si="50"/>
        <v>87.623077</v>
      </c>
      <c r="W172">
        <f t="shared" si="51"/>
        <v>0</v>
      </c>
      <c r="X172">
        <f t="shared" si="52"/>
        <v>0</v>
      </c>
      <c r="Y172">
        <f t="shared" si="53"/>
        <v>0</v>
      </c>
      <c r="Z172">
        <f t="shared" si="54"/>
        <v>147.396561</v>
      </c>
      <c r="AA172">
        <f t="shared" si="55"/>
        <v>0</v>
      </c>
      <c r="AB172">
        <f t="shared" si="56"/>
        <v>0</v>
      </c>
      <c r="AC172">
        <f t="shared" si="57"/>
        <v>0</v>
      </c>
    </row>
    <row r="173" spans="2:29">
      <c r="B173" s="5">
        <v>154</v>
      </c>
      <c r="C173" s="6">
        <v>87.122337</v>
      </c>
      <c r="D173" s="6">
        <v>144.552643</v>
      </c>
      <c r="E173" s="42">
        <v>0.35</v>
      </c>
      <c r="F173">
        <f t="shared" si="58"/>
        <v>87.3708253158732</v>
      </c>
      <c r="G173">
        <f t="shared" si="59"/>
        <v>147.774845483753</v>
      </c>
      <c r="L173">
        <f t="shared" si="60"/>
        <v>0.248488315873175</v>
      </c>
      <c r="M173">
        <f t="shared" si="61"/>
        <v>3.22220248375254</v>
      </c>
      <c r="N173" s="47">
        <f t="shared" si="42"/>
        <v>0</v>
      </c>
      <c r="O173">
        <f t="shared" si="43"/>
        <v>0.248488315873175</v>
      </c>
      <c r="P173">
        <f t="shared" si="44"/>
        <v>0</v>
      </c>
      <c r="Q173">
        <f t="shared" si="45"/>
        <v>0</v>
      </c>
      <c r="R173">
        <f t="shared" si="46"/>
        <v>0</v>
      </c>
      <c r="S173">
        <f t="shared" si="47"/>
        <v>3.22220248375254</v>
      </c>
      <c r="T173">
        <f t="shared" si="48"/>
        <v>0</v>
      </c>
      <c r="U173" s="52">
        <f t="shared" si="49"/>
        <v>0</v>
      </c>
      <c r="V173">
        <f t="shared" si="50"/>
        <v>0</v>
      </c>
      <c r="W173">
        <f t="shared" si="51"/>
        <v>87.122337</v>
      </c>
      <c r="X173">
        <f t="shared" si="52"/>
        <v>0</v>
      </c>
      <c r="Y173">
        <f t="shared" si="53"/>
        <v>0</v>
      </c>
      <c r="Z173">
        <f t="shared" si="54"/>
        <v>0</v>
      </c>
      <c r="AA173">
        <f t="shared" si="55"/>
        <v>144.552643</v>
      </c>
      <c r="AB173">
        <f t="shared" si="56"/>
        <v>0</v>
      </c>
      <c r="AC173">
        <f t="shared" si="57"/>
        <v>0</v>
      </c>
    </row>
    <row r="174" spans="2:29">
      <c r="B174" s="5">
        <v>155</v>
      </c>
      <c r="C174" s="6">
        <v>89.401787</v>
      </c>
      <c r="D174" s="6">
        <v>144.125061</v>
      </c>
      <c r="E174" s="42">
        <v>0.55</v>
      </c>
      <c r="F174">
        <f t="shared" si="58"/>
        <v>87.2341567421429</v>
      </c>
      <c r="G174">
        <f t="shared" si="59"/>
        <v>146.002634117689</v>
      </c>
      <c r="L174">
        <f t="shared" si="60"/>
        <v>2.16763025785706</v>
      </c>
      <c r="M174">
        <f t="shared" si="61"/>
        <v>1.87757311768863</v>
      </c>
      <c r="N174" s="47">
        <f t="shared" si="42"/>
        <v>0</v>
      </c>
      <c r="O174">
        <f t="shared" si="43"/>
        <v>0</v>
      </c>
      <c r="P174">
        <f t="shared" si="44"/>
        <v>2.16763025785706</v>
      </c>
      <c r="Q174">
        <f t="shared" si="45"/>
        <v>0</v>
      </c>
      <c r="R174">
        <f t="shared" si="46"/>
        <v>0</v>
      </c>
      <c r="S174">
        <f t="shared" si="47"/>
        <v>0</v>
      </c>
      <c r="T174">
        <f t="shared" si="48"/>
        <v>1.87757311768863</v>
      </c>
      <c r="U174" s="52">
        <f t="shared" si="49"/>
        <v>0</v>
      </c>
      <c r="V174">
        <f t="shared" si="50"/>
        <v>0</v>
      </c>
      <c r="W174">
        <f t="shared" si="51"/>
        <v>0</v>
      </c>
      <c r="X174">
        <f t="shared" si="52"/>
        <v>89.401787</v>
      </c>
      <c r="Y174">
        <f t="shared" si="53"/>
        <v>0</v>
      </c>
      <c r="Z174">
        <f t="shared" si="54"/>
        <v>0</v>
      </c>
      <c r="AA174">
        <f t="shared" si="55"/>
        <v>0</v>
      </c>
      <c r="AB174">
        <f t="shared" si="56"/>
        <v>144.125061</v>
      </c>
      <c r="AC174">
        <f t="shared" si="57"/>
        <v>0</v>
      </c>
    </row>
    <row r="175" spans="2:29">
      <c r="B175" s="5">
        <v>156</v>
      </c>
      <c r="C175" s="6">
        <v>91.310051</v>
      </c>
      <c r="D175" s="6">
        <v>144.045517</v>
      </c>
      <c r="E175" s="42">
        <v>0.75</v>
      </c>
      <c r="F175">
        <f t="shared" si="58"/>
        <v>88.8598794355357</v>
      </c>
      <c r="G175">
        <f t="shared" si="59"/>
        <v>144.594454279422</v>
      </c>
      <c r="L175">
        <f t="shared" si="60"/>
        <v>2.45017156446427</v>
      </c>
      <c r="M175">
        <f t="shared" si="61"/>
        <v>0.548937279422177</v>
      </c>
      <c r="N175" s="47">
        <f t="shared" si="42"/>
        <v>0</v>
      </c>
      <c r="O175">
        <f t="shared" si="43"/>
        <v>0</v>
      </c>
      <c r="P175">
        <f t="shared" si="44"/>
        <v>0</v>
      </c>
      <c r="Q175">
        <f t="shared" si="45"/>
        <v>2.45017156446427</v>
      </c>
      <c r="R175">
        <f t="shared" si="46"/>
        <v>0</v>
      </c>
      <c r="S175">
        <f t="shared" si="47"/>
        <v>0</v>
      </c>
      <c r="T175">
        <f t="shared" si="48"/>
        <v>0</v>
      </c>
      <c r="U175" s="52">
        <f t="shared" si="49"/>
        <v>0.548937279422177</v>
      </c>
      <c r="V175">
        <f t="shared" si="50"/>
        <v>0</v>
      </c>
      <c r="W175">
        <f t="shared" si="51"/>
        <v>0</v>
      </c>
      <c r="X175">
        <f t="shared" si="52"/>
        <v>0</v>
      </c>
      <c r="Y175">
        <f t="shared" si="53"/>
        <v>91.310051</v>
      </c>
      <c r="Z175">
        <f t="shared" si="54"/>
        <v>0</v>
      </c>
      <c r="AA175">
        <f t="shared" si="55"/>
        <v>0</v>
      </c>
      <c r="AB175">
        <f t="shared" si="56"/>
        <v>0</v>
      </c>
      <c r="AC175">
        <f t="shared" si="57"/>
        <v>144.045517</v>
      </c>
    </row>
    <row r="176" spans="2:29">
      <c r="B176" s="5">
        <v>157</v>
      </c>
      <c r="C176" s="6">
        <v>89.698242</v>
      </c>
      <c r="D176" s="6">
        <v>137.572128</v>
      </c>
      <c r="E176" s="42">
        <v>0.15</v>
      </c>
      <c r="F176">
        <f t="shared" si="58"/>
        <v>89.2274051702054</v>
      </c>
      <c r="G176">
        <f t="shared" si="59"/>
        <v>144.512113687509</v>
      </c>
      <c r="L176">
        <f t="shared" si="60"/>
        <v>0.470836829794621</v>
      </c>
      <c r="M176">
        <f t="shared" si="61"/>
        <v>6.93998568750885</v>
      </c>
      <c r="N176" s="47">
        <f t="shared" si="42"/>
        <v>0.470836829794621</v>
      </c>
      <c r="O176">
        <f t="shared" si="43"/>
        <v>0</v>
      </c>
      <c r="P176">
        <f t="shared" si="44"/>
        <v>0</v>
      </c>
      <c r="Q176">
        <f t="shared" si="45"/>
        <v>0</v>
      </c>
      <c r="R176">
        <f t="shared" si="46"/>
        <v>6.93998568750885</v>
      </c>
      <c r="S176">
        <f t="shared" si="47"/>
        <v>0</v>
      </c>
      <c r="T176">
        <f t="shared" si="48"/>
        <v>0</v>
      </c>
      <c r="U176" s="52">
        <f t="shared" si="49"/>
        <v>0</v>
      </c>
      <c r="V176">
        <f t="shared" si="50"/>
        <v>89.698242</v>
      </c>
      <c r="W176">
        <f t="shared" si="51"/>
        <v>0</v>
      </c>
      <c r="X176">
        <f t="shared" si="52"/>
        <v>0</v>
      </c>
      <c r="Y176">
        <f t="shared" si="53"/>
        <v>0</v>
      </c>
      <c r="Z176">
        <f t="shared" si="54"/>
        <v>137.572128</v>
      </c>
      <c r="AA176">
        <f t="shared" si="55"/>
        <v>0</v>
      </c>
      <c r="AB176">
        <f t="shared" si="56"/>
        <v>0</v>
      </c>
      <c r="AC176">
        <f t="shared" si="57"/>
        <v>0</v>
      </c>
    </row>
    <row r="177" spans="2:29">
      <c r="B177" s="5">
        <v>158</v>
      </c>
      <c r="C177" s="6">
        <v>90.889038</v>
      </c>
      <c r="D177" s="6">
        <v>141.659012</v>
      </c>
      <c r="E177" s="42">
        <v>0.35</v>
      </c>
      <c r="F177">
        <f t="shared" si="58"/>
        <v>89.3921980606335</v>
      </c>
      <c r="G177">
        <f t="shared" si="59"/>
        <v>142.083118696881</v>
      </c>
      <c r="L177">
        <f t="shared" si="60"/>
        <v>1.49683993936651</v>
      </c>
      <c r="M177">
        <f t="shared" si="61"/>
        <v>0.424106696880756</v>
      </c>
      <c r="N177" s="47">
        <f t="shared" si="42"/>
        <v>0</v>
      </c>
      <c r="O177">
        <f t="shared" si="43"/>
        <v>1.49683993936651</v>
      </c>
      <c r="P177">
        <f t="shared" si="44"/>
        <v>0</v>
      </c>
      <c r="Q177">
        <f t="shared" si="45"/>
        <v>0</v>
      </c>
      <c r="R177">
        <f t="shared" si="46"/>
        <v>0</v>
      </c>
      <c r="S177">
        <f t="shared" si="47"/>
        <v>0.424106696880756</v>
      </c>
      <c r="T177">
        <f t="shared" si="48"/>
        <v>0</v>
      </c>
      <c r="U177" s="52">
        <f t="shared" si="49"/>
        <v>0</v>
      </c>
      <c r="V177">
        <f t="shared" si="50"/>
        <v>0</v>
      </c>
      <c r="W177">
        <f t="shared" si="51"/>
        <v>90.889038</v>
      </c>
      <c r="X177">
        <f t="shared" si="52"/>
        <v>0</v>
      </c>
      <c r="Y177">
        <f t="shared" si="53"/>
        <v>0</v>
      </c>
      <c r="Z177">
        <f t="shared" si="54"/>
        <v>0</v>
      </c>
      <c r="AA177">
        <f t="shared" si="55"/>
        <v>141.659012</v>
      </c>
      <c r="AB177">
        <f t="shared" si="56"/>
        <v>0</v>
      </c>
      <c r="AC177">
        <f t="shared" si="57"/>
        <v>0</v>
      </c>
    </row>
    <row r="178" spans="2:29">
      <c r="B178" s="5">
        <v>159</v>
      </c>
      <c r="C178" s="6">
        <v>88.096405</v>
      </c>
      <c r="D178" s="6">
        <v>137.432907</v>
      </c>
      <c r="E178" s="42">
        <v>0.55</v>
      </c>
      <c r="F178">
        <f t="shared" si="58"/>
        <v>90.2154600272851</v>
      </c>
      <c r="G178">
        <f t="shared" si="59"/>
        <v>141.849860013596</v>
      </c>
      <c r="L178">
        <f t="shared" si="60"/>
        <v>2.11905502728507</v>
      </c>
      <c r="M178">
        <f t="shared" si="61"/>
        <v>4.41695301359633</v>
      </c>
      <c r="N178" s="47">
        <f t="shared" si="42"/>
        <v>0</v>
      </c>
      <c r="O178">
        <f t="shared" si="43"/>
        <v>0</v>
      </c>
      <c r="P178">
        <f t="shared" si="44"/>
        <v>2.11905502728507</v>
      </c>
      <c r="Q178">
        <f t="shared" si="45"/>
        <v>0</v>
      </c>
      <c r="R178">
        <f t="shared" si="46"/>
        <v>0</v>
      </c>
      <c r="S178">
        <f t="shared" si="47"/>
        <v>0</v>
      </c>
      <c r="T178">
        <f t="shared" si="48"/>
        <v>4.41695301359633</v>
      </c>
      <c r="U178" s="52">
        <f t="shared" si="49"/>
        <v>0</v>
      </c>
      <c r="V178">
        <f t="shared" si="50"/>
        <v>0</v>
      </c>
      <c r="W178">
        <f t="shared" si="51"/>
        <v>0</v>
      </c>
      <c r="X178">
        <f t="shared" si="52"/>
        <v>88.096405</v>
      </c>
      <c r="Y178">
        <f t="shared" si="53"/>
        <v>0</v>
      </c>
      <c r="Z178">
        <f t="shared" si="54"/>
        <v>0</v>
      </c>
      <c r="AA178">
        <f t="shared" si="55"/>
        <v>0</v>
      </c>
      <c r="AB178">
        <f t="shared" si="56"/>
        <v>137.432907</v>
      </c>
      <c r="AC178">
        <f t="shared" si="57"/>
        <v>0</v>
      </c>
    </row>
    <row r="179" spans="2:29">
      <c r="B179" s="5">
        <v>160</v>
      </c>
      <c r="C179" s="6">
        <v>90.126732</v>
      </c>
      <c r="D179" s="6">
        <v>142.434631</v>
      </c>
      <c r="E179" s="42">
        <v>0.75</v>
      </c>
      <c r="F179">
        <f t="shared" si="58"/>
        <v>88.6261687568213</v>
      </c>
      <c r="G179">
        <f t="shared" si="59"/>
        <v>138.537145253399</v>
      </c>
      <c r="L179">
        <f t="shared" si="60"/>
        <v>1.50056324317873</v>
      </c>
      <c r="M179">
        <f t="shared" si="61"/>
        <v>3.89748574660092</v>
      </c>
      <c r="N179" s="47">
        <f t="shared" si="42"/>
        <v>0</v>
      </c>
      <c r="O179">
        <f t="shared" si="43"/>
        <v>0</v>
      </c>
      <c r="P179">
        <f t="shared" si="44"/>
        <v>0</v>
      </c>
      <c r="Q179">
        <f t="shared" si="45"/>
        <v>1.50056324317873</v>
      </c>
      <c r="R179">
        <f t="shared" si="46"/>
        <v>0</v>
      </c>
      <c r="S179">
        <f t="shared" si="47"/>
        <v>0</v>
      </c>
      <c r="T179">
        <f t="shared" si="48"/>
        <v>0</v>
      </c>
      <c r="U179" s="52">
        <f t="shared" si="49"/>
        <v>3.89748574660092</v>
      </c>
      <c r="V179">
        <f t="shared" si="50"/>
        <v>0</v>
      </c>
      <c r="W179">
        <f t="shared" si="51"/>
        <v>0</v>
      </c>
      <c r="X179">
        <f t="shared" si="52"/>
        <v>0</v>
      </c>
      <c r="Y179">
        <f t="shared" si="53"/>
        <v>90.126732</v>
      </c>
      <c r="Z179">
        <f t="shared" si="54"/>
        <v>0</v>
      </c>
      <c r="AA179">
        <f t="shared" si="55"/>
        <v>0</v>
      </c>
      <c r="AB179">
        <f t="shared" si="56"/>
        <v>0</v>
      </c>
      <c r="AC179">
        <f t="shared" si="57"/>
        <v>142.434631</v>
      </c>
    </row>
    <row r="180" spans="2:29">
      <c r="B180" s="5">
        <v>161</v>
      </c>
      <c r="C180" s="6">
        <v>90.879066</v>
      </c>
      <c r="D180" s="6">
        <v>143.777023</v>
      </c>
      <c r="E180" s="42">
        <v>0.15</v>
      </c>
      <c r="F180">
        <f t="shared" si="58"/>
        <v>88.8512532432981</v>
      </c>
      <c r="G180">
        <f t="shared" si="59"/>
        <v>139.121768115389</v>
      </c>
      <c r="L180">
        <f t="shared" si="60"/>
        <v>2.02781275670191</v>
      </c>
      <c r="M180">
        <f t="shared" si="61"/>
        <v>4.6552548846108</v>
      </c>
      <c r="N180" s="47">
        <f t="shared" si="42"/>
        <v>2.02781275670191</v>
      </c>
      <c r="O180">
        <f t="shared" si="43"/>
        <v>0</v>
      </c>
      <c r="P180">
        <f t="shared" si="44"/>
        <v>0</v>
      </c>
      <c r="Q180">
        <f t="shared" si="45"/>
        <v>0</v>
      </c>
      <c r="R180">
        <f t="shared" si="46"/>
        <v>4.6552548846108</v>
      </c>
      <c r="S180">
        <f t="shared" si="47"/>
        <v>0</v>
      </c>
      <c r="T180">
        <f t="shared" si="48"/>
        <v>0</v>
      </c>
      <c r="U180" s="52">
        <f t="shared" si="49"/>
        <v>0</v>
      </c>
      <c r="V180">
        <f t="shared" si="50"/>
        <v>90.879066</v>
      </c>
      <c r="W180">
        <f t="shared" si="51"/>
        <v>0</v>
      </c>
      <c r="X180">
        <f t="shared" si="52"/>
        <v>0</v>
      </c>
      <c r="Y180">
        <f t="shared" si="53"/>
        <v>0</v>
      </c>
      <c r="Z180">
        <f t="shared" si="54"/>
        <v>143.777023</v>
      </c>
      <c r="AA180">
        <f t="shared" si="55"/>
        <v>0</v>
      </c>
      <c r="AB180">
        <f t="shared" si="56"/>
        <v>0</v>
      </c>
      <c r="AC180">
        <f t="shared" si="57"/>
        <v>0</v>
      </c>
    </row>
    <row r="181" spans="2:29">
      <c r="B181" s="5">
        <v>162</v>
      </c>
      <c r="C181" s="6">
        <v>90.707176</v>
      </c>
      <c r="D181" s="6">
        <v>143.299728</v>
      </c>
      <c r="E181" s="42">
        <v>0.35</v>
      </c>
      <c r="F181">
        <f t="shared" si="58"/>
        <v>89.5609877081438</v>
      </c>
      <c r="G181">
        <f t="shared" si="59"/>
        <v>140.751107325003</v>
      </c>
      <c r="L181">
        <f t="shared" si="60"/>
        <v>1.14618829185625</v>
      </c>
      <c r="M181">
        <f t="shared" si="61"/>
        <v>2.54862067499698</v>
      </c>
      <c r="N181" s="47">
        <f t="shared" si="42"/>
        <v>0</v>
      </c>
      <c r="O181">
        <f t="shared" si="43"/>
        <v>1.14618829185625</v>
      </c>
      <c r="P181">
        <f t="shared" si="44"/>
        <v>0</v>
      </c>
      <c r="Q181">
        <f t="shared" si="45"/>
        <v>0</v>
      </c>
      <c r="R181">
        <f t="shared" si="46"/>
        <v>0</v>
      </c>
      <c r="S181">
        <f t="shared" si="47"/>
        <v>2.54862067499698</v>
      </c>
      <c r="T181">
        <f t="shared" si="48"/>
        <v>0</v>
      </c>
      <c r="U181" s="52">
        <f t="shared" si="49"/>
        <v>0</v>
      </c>
      <c r="V181">
        <f t="shared" si="50"/>
        <v>0</v>
      </c>
      <c r="W181">
        <f t="shared" si="51"/>
        <v>90.707176</v>
      </c>
      <c r="X181">
        <f t="shared" si="52"/>
        <v>0</v>
      </c>
      <c r="Y181">
        <f t="shared" si="53"/>
        <v>0</v>
      </c>
      <c r="Z181">
        <f t="shared" si="54"/>
        <v>0</v>
      </c>
      <c r="AA181">
        <f t="shared" si="55"/>
        <v>143.299728</v>
      </c>
      <c r="AB181">
        <f t="shared" si="56"/>
        <v>0</v>
      </c>
      <c r="AC181">
        <f t="shared" si="57"/>
        <v>0</v>
      </c>
    </row>
    <row r="182" spans="2:29">
      <c r="B182" s="5">
        <v>163</v>
      </c>
      <c r="C182" s="6">
        <v>90.707176</v>
      </c>
      <c r="D182" s="6">
        <v>144.20462</v>
      </c>
      <c r="E182" s="42">
        <v>0.55</v>
      </c>
      <c r="F182">
        <f t="shared" si="58"/>
        <v>90.1913912686647</v>
      </c>
      <c r="G182">
        <f t="shared" si="59"/>
        <v>142.152848696251</v>
      </c>
      <c r="L182">
        <f t="shared" si="60"/>
        <v>0.515784731335316</v>
      </c>
      <c r="M182">
        <f t="shared" si="61"/>
        <v>2.05177130374867</v>
      </c>
      <c r="N182" s="47">
        <f t="shared" si="42"/>
        <v>0</v>
      </c>
      <c r="O182">
        <f t="shared" si="43"/>
        <v>0</v>
      </c>
      <c r="P182">
        <f t="shared" si="44"/>
        <v>0.515784731335316</v>
      </c>
      <c r="Q182">
        <f t="shared" si="45"/>
        <v>0</v>
      </c>
      <c r="R182">
        <f t="shared" si="46"/>
        <v>0</v>
      </c>
      <c r="S182">
        <f t="shared" si="47"/>
        <v>0</v>
      </c>
      <c r="T182">
        <f t="shared" si="48"/>
        <v>2.05177130374867</v>
      </c>
      <c r="U182" s="52">
        <f t="shared" si="49"/>
        <v>0</v>
      </c>
      <c r="V182">
        <f t="shared" si="50"/>
        <v>0</v>
      </c>
      <c r="W182">
        <f t="shared" si="51"/>
        <v>0</v>
      </c>
      <c r="X182">
        <f t="shared" si="52"/>
        <v>90.707176</v>
      </c>
      <c r="Y182">
        <f t="shared" si="53"/>
        <v>0</v>
      </c>
      <c r="Z182">
        <f t="shared" si="54"/>
        <v>0</v>
      </c>
      <c r="AA182">
        <f t="shared" si="55"/>
        <v>0</v>
      </c>
      <c r="AB182">
        <f t="shared" si="56"/>
        <v>144.20462</v>
      </c>
      <c r="AC182">
        <f t="shared" si="57"/>
        <v>0</v>
      </c>
    </row>
    <row r="183" spans="2:29">
      <c r="B183" s="5">
        <v>164</v>
      </c>
      <c r="C183" s="6">
        <v>93.133614</v>
      </c>
      <c r="D183" s="6">
        <v>146.392242</v>
      </c>
      <c r="E183" s="42">
        <v>0.75</v>
      </c>
      <c r="F183">
        <f t="shared" si="58"/>
        <v>90.5782298171662</v>
      </c>
      <c r="G183">
        <f t="shared" si="59"/>
        <v>143.691677174063</v>
      </c>
      <c r="L183">
        <f t="shared" si="60"/>
        <v>2.55538418283382</v>
      </c>
      <c r="M183">
        <f t="shared" si="61"/>
        <v>2.70056482593716</v>
      </c>
      <c r="N183" s="47">
        <f t="shared" si="42"/>
        <v>0</v>
      </c>
      <c r="O183">
        <f t="shared" si="43"/>
        <v>0</v>
      </c>
      <c r="P183">
        <f t="shared" si="44"/>
        <v>0</v>
      </c>
      <c r="Q183">
        <f t="shared" si="45"/>
        <v>2.55538418283382</v>
      </c>
      <c r="R183">
        <f t="shared" si="46"/>
        <v>0</v>
      </c>
      <c r="S183">
        <f t="shared" si="47"/>
        <v>0</v>
      </c>
      <c r="T183">
        <f t="shared" si="48"/>
        <v>0</v>
      </c>
      <c r="U183" s="52">
        <f t="shared" si="49"/>
        <v>2.70056482593716</v>
      </c>
      <c r="V183">
        <f t="shared" si="50"/>
        <v>0</v>
      </c>
      <c r="W183">
        <f t="shared" si="51"/>
        <v>0</v>
      </c>
      <c r="X183">
        <f t="shared" si="52"/>
        <v>0</v>
      </c>
      <c r="Y183">
        <f t="shared" si="53"/>
        <v>93.133614</v>
      </c>
      <c r="Z183">
        <f t="shared" si="54"/>
        <v>0</v>
      </c>
      <c r="AA183">
        <f t="shared" si="55"/>
        <v>0</v>
      </c>
      <c r="AB183">
        <f t="shared" si="56"/>
        <v>0</v>
      </c>
      <c r="AC183">
        <f t="shared" si="57"/>
        <v>146.392242</v>
      </c>
    </row>
    <row r="184" spans="2:29">
      <c r="B184" s="5">
        <v>165</v>
      </c>
      <c r="C184" s="6">
        <v>92.844635</v>
      </c>
      <c r="D184" s="6">
        <v>144.154892</v>
      </c>
      <c r="E184" s="42">
        <v>0.15</v>
      </c>
      <c r="F184">
        <f t="shared" si="58"/>
        <v>90.9615374445912</v>
      </c>
      <c r="G184">
        <f t="shared" si="59"/>
        <v>144.096761897953</v>
      </c>
      <c r="L184">
        <f t="shared" si="60"/>
        <v>1.88309755540875</v>
      </c>
      <c r="M184">
        <f t="shared" si="61"/>
        <v>0.0581301020465901</v>
      </c>
      <c r="N184" s="47">
        <f t="shared" si="42"/>
        <v>1.88309755540875</v>
      </c>
      <c r="O184">
        <f t="shared" si="43"/>
        <v>0</v>
      </c>
      <c r="P184">
        <f t="shared" si="44"/>
        <v>0</v>
      </c>
      <c r="Q184">
        <f t="shared" si="45"/>
        <v>0</v>
      </c>
      <c r="R184">
        <f t="shared" si="46"/>
        <v>0.0581301020465901</v>
      </c>
      <c r="S184">
        <f t="shared" si="47"/>
        <v>0</v>
      </c>
      <c r="T184">
        <f t="shared" si="48"/>
        <v>0</v>
      </c>
      <c r="U184" s="52">
        <f t="shared" si="49"/>
        <v>0</v>
      </c>
      <c r="V184">
        <f t="shared" si="50"/>
        <v>92.844635</v>
      </c>
      <c r="W184">
        <f t="shared" si="51"/>
        <v>0</v>
      </c>
      <c r="X184">
        <f t="shared" si="52"/>
        <v>0</v>
      </c>
      <c r="Y184">
        <f t="shared" si="53"/>
        <v>0</v>
      </c>
      <c r="Z184">
        <f t="shared" si="54"/>
        <v>144.154892</v>
      </c>
      <c r="AA184">
        <f t="shared" si="55"/>
        <v>0</v>
      </c>
      <c r="AB184">
        <f t="shared" si="56"/>
        <v>0</v>
      </c>
      <c r="AC184">
        <f t="shared" si="57"/>
        <v>0</v>
      </c>
    </row>
    <row r="185" spans="2:29">
      <c r="B185" s="5">
        <v>166</v>
      </c>
      <c r="C185" s="6">
        <v>95.006996</v>
      </c>
      <c r="D185" s="6">
        <v>144.771408</v>
      </c>
      <c r="E185" s="42">
        <v>0.35</v>
      </c>
      <c r="F185">
        <f t="shared" si="58"/>
        <v>91.6206215889843</v>
      </c>
      <c r="G185">
        <f t="shared" si="59"/>
        <v>144.11710743367</v>
      </c>
      <c r="L185">
        <f t="shared" si="60"/>
        <v>3.38637441101569</v>
      </c>
      <c r="M185">
        <f t="shared" si="61"/>
        <v>0.654300566330306</v>
      </c>
      <c r="N185" s="47">
        <f t="shared" si="42"/>
        <v>0</v>
      </c>
      <c r="O185">
        <f t="shared" si="43"/>
        <v>3.38637441101569</v>
      </c>
      <c r="P185">
        <f t="shared" si="44"/>
        <v>0</v>
      </c>
      <c r="Q185">
        <f t="shared" si="45"/>
        <v>0</v>
      </c>
      <c r="R185">
        <f t="shared" si="46"/>
        <v>0</v>
      </c>
      <c r="S185">
        <f t="shared" si="47"/>
        <v>0.654300566330306</v>
      </c>
      <c r="T185">
        <f t="shared" si="48"/>
        <v>0</v>
      </c>
      <c r="U185" s="52">
        <f t="shared" si="49"/>
        <v>0</v>
      </c>
      <c r="V185">
        <f t="shared" si="50"/>
        <v>0</v>
      </c>
      <c r="W185">
        <f t="shared" si="51"/>
        <v>95.006996</v>
      </c>
      <c r="X185">
        <f t="shared" si="52"/>
        <v>0</v>
      </c>
      <c r="Y185">
        <f t="shared" si="53"/>
        <v>0</v>
      </c>
      <c r="Z185">
        <f t="shared" si="54"/>
        <v>0</v>
      </c>
      <c r="AA185">
        <f t="shared" si="55"/>
        <v>144.771408</v>
      </c>
      <c r="AB185">
        <f t="shared" si="56"/>
        <v>0</v>
      </c>
      <c r="AC185">
        <f t="shared" si="57"/>
        <v>0</v>
      </c>
    </row>
    <row r="186" spans="2:29">
      <c r="B186" s="5">
        <v>167</v>
      </c>
      <c r="C186" s="6">
        <v>95.415558</v>
      </c>
      <c r="D186" s="6">
        <v>140.575134</v>
      </c>
      <c r="E186" s="42">
        <v>0.55</v>
      </c>
      <c r="F186">
        <f t="shared" si="58"/>
        <v>93.4831275150429</v>
      </c>
      <c r="G186">
        <f t="shared" si="59"/>
        <v>144.476972745151</v>
      </c>
      <c r="L186">
        <f t="shared" si="60"/>
        <v>1.93243048495707</v>
      </c>
      <c r="M186">
        <f t="shared" si="61"/>
        <v>3.90183874515137</v>
      </c>
      <c r="N186" s="47">
        <f t="shared" si="42"/>
        <v>0</v>
      </c>
      <c r="O186">
        <f t="shared" si="43"/>
        <v>0</v>
      </c>
      <c r="P186">
        <f t="shared" si="44"/>
        <v>1.93243048495707</v>
      </c>
      <c r="Q186">
        <f t="shared" si="45"/>
        <v>0</v>
      </c>
      <c r="R186">
        <f t="shared" si="46"/>
        <v>0</v>
      </c>
      <c r="S186">
        <f t="shared" si="47"/>
        <v>0</v>
      </c>
      <c r="T186">
        <f t="shared" si="48"/>
        <v>3.90183874515137</v>
      </c>
      <c r="U186" s="52">
        <f t="shared" si="49"/>
        <v>0</v>
      </c>
      <c r="V186">
        <f t="shared" si="50"/>
        <v>0</v>
      </c>
      <c r="W186">
        <f t="shared" si="51"/>
        <v>0</v>
      </c>
      <c r="X186">
        <f t="shared" si="52"/>
        <v>95.415558</v>
      </c>
      <c r="Y186">
        <f t="shared" si="53"/>
        <v>0</v>
      </c>
      <c r="Z186">
        <f t="shared" si="54"/>
        <v>0</v>
      </c>
      <c r="AA186">
        <f t="shared" si="55"/>
        <v>0</v>
      </c>
      <c r="AB186">
        <f t="shared" si="56"/>
        <v>140.575134</v>
      </c>
      <c r="AC186">
        <f t="shared" si="57"/>
        <v>0</v>
      </c>
    </row>
    <row r="187" spans="2:29">
      <c r="B187" s="5">
        <v>168</v>
      </c>
      <c r="C187" s="6">
        <v>95.582466</v>
      </c>
      <c r="D187" s="6">
        <v>141.649063</v>
      </c>
      <c r="E187" s="42">
        <v>0.75</v>
      </c>
      <c r="F187">
        <f t="shared" si="58"/>
        <v>94.9324503787607</v>
      </c>
      <c r="G187">
        <f t="shared" si="59"/>
        <v>141.550593686288</v>
      </c>
      <c r="L187">
        <f t="shared" si="60"/>
        <v>0.650015621239262</v>
      </c>
      <c r="M187">
        <f t="shared" si="61"/>
        <v>0.0984693137121724</v>
      </c>
      <c r="N187" s="47">
        <f t="shared" si="42"/>
        <v>0</v>
      </c>
      <c r="O187">
        <f t="shared" si="43"/>
        <v>0</v>
      </c>
      <c r="P187">
        <f t="shared" si="44"/>
        <v>0</v>
      </c>
      <c r="Q187">
        <f t="shared" si="45"/>
        <v>0.650015621239262</v>
      </c>
      <c r="R187">
        <f t="shared" si="46"/>
        <v>0</v>
      </c>
      <c r="S187">
        <f t="shared" si="47"/>
        <v>0</v>
      </c>
      <c r="T187">
        <f t="shared" si="48"/>
        <v>0</v>
      </c>
      <c r="U187" s="52">
        <f t="shared" si="49"/>
        <v>0.0984693137121724</v>
      </c>
      <c r="V187">
        <f t="shared" si="50"/>
        <v>0</v>
      </c>
      <c r="W187">
        <f t="shared" si="51"/>
        <v>0</v>
      </c>
      <c r="X187">
        <f t="shared" si="52"/>
        <v>0</v>
      </c>
      <c r="Y187">
        <f t="shared" si="53"/>
        <v>95.582466</v>
      </c>
      <c r="Z187">
        <f t="shared" si="54"/>
        <v>0</v>
      </c>
      <c r="AA187">
        <f t="shared" si="55"/>
        <v>0</v>
      </c>
      <c r="AB187">
        <f t="shared" si="56"/>
        <v>0</v>
      </c>
      <c r="AC187">
        <f t="shared" si="57"/>
        <v>141.649063</v>
      </c>
    </row>
    <row r="188" spans="2:29">
      <c r="B188" s="5">
        <v>169</v>
      </c>
      <c r="C188" s="6">
        <v>95.141525</v>
      </c>
      <c r="D188" s="6">
        <v>142.683228</v>
      </c>
      <c r="E188" s="42">
        <v>0.15</v>
      </c>
      <c r="F188">
        <f t="shared" si="58"/>
        <v>95.0299527219466</v>
      </c>
      <c r="G188">
        <f t="shared" si="59"/>
        <v>141.565364083345</v>
      </c>
      <c r="L188">
        <f t="shared" si="60"/>
        <v>0.111572278053387</v>
      </c>
      <c r="M188">
        <f t="shared" si="61"/>
        <v>1.11786391665535</v>
      </c>
      <c r="N188" s="47">
        <f t="shared" si="42"/>
        <v>0.111572278053387</v>
      </c>
      <c r="O188">
        <f t="shared" si="43"/>
        <v>0</v>
      </c>
      <c r="P188">
        <f t="shared" si="44"/>
        <v>0</v>
      </c>
      <c r="Q188">
        <f t="shared" si="45"/>
        <v>0</v>
      </c>
      <c r="R188">
        <f t="shared" si="46"/>
        <v>1.11786391665535</v>
      </c>
      <c r="S188">
        <f t="shared" si="47"/>
        <v>0</v>
      </c>
      <c r="T188">
        <f t="shared" si="48"/>
        <v>0</v>
      </c>
      <c r="U188" s="52">
        <f t="shared" si="49"/>
        <v>0</v>
      </c>
      <c r="V188">
        <f t="shared" si="50"/>
        <v>95.141525</v>
      </c>
      <c r="W188">
        <f t="shared" si="51"/>
        <v>0</v>
      </c>
      <c r="X188">
        <f t="shared" si="52"/>
        <v>0</v>
      </c>
      <c r="Y188">
        <f t="shared" si="53"/>
        <v>0</v>
      </c>
      <c r="Z188">
        <f t="shared" si="54"/>
        <v>142.683228</v>
      </c>
      <c r="AA188">
        <f t="shared" si="55"/>
        <v>0</v>
      </c>
      <c r="AB188">
        <f t="shared" si="56"/>
        <v>0</v>
      </c>
      <c r="AC188">
        <f t="shared" si="57"/>
        <v>0</v>
      </c>
    </row>
    <row r="189" spans="2:29">
      <c r="B189" s="5">
        <v>170</v>
      </c>
      <c r="C189" s="6">
        <v>96.715965</v>
      </c>
      <c r="D189" s="6">
        <v>147.267303</v>
      </c>
      <c r="E189" s="42">
        <v>0.35</v>
      </c>
      <c r="F189">
        <f t="shared" si="58"/>
        <v>95.0690030192653</v>
      </c>
      <c r="G189">
        <f t="shared" si="59"/>
        <v>141.956616454174</v>
      </c>
      <c r="L189">
        <f t="shared" si="60"/>
        <v>1.6469619807347</v>
      </c>
      <c r="M189">
        <f t="shared" si="61"/>
        <v>5.31068654582597</v>
      </c>
      <c r="N189" s="47">
        <f t="shared" si="42"/>
        <v>0</v>
      </c>
      <c r="O189">
        <f t="shared" si="43"/>
        <v>1.6469619807347</v>
      </c>
      <c r="P189">
        <f t="shared" si="44"/>
        <v>0</v>
      </c>
      <c r="Q189">
        <f t="shared" si="45"/>
        <v>0</v>
      </c>
      <c r="R189">
        <f t="shared" si="46"/>
        <v>0</v>
      </c>
      <c r="S189">
        <f t="shared" si="47"/>
        <v>5.31068654582597</v>
      </c>
      <c r="T189">
        <f t="shared" si="48"/>
        <v>0</v>
      </c>
      <c r="U189" s="52">
        <f t="shared" si="49"/>
        <v>0</v>
      </c>
      <c r="V189">
        <f t="shared" si="50"/>
        <v>0</v>
      </c>
      <c r="W189">
        <f t="shared" si="51"/>
        <v>96.715965</v>
      </c>
      <c r="X189">
        <f t="shared" si="52"/>
        <v>0</v>
      </c>
      <c r="Y189">
        <f t="shared" si="53"/>
        <v>0</v>
      </c>
      <c r="Z189">
        <f t="shared" si="54"/>
        <v>0</v>
      </c>
      <c r="AA189">
        <f t="shared" si="55"/>
        <v>147.267303</v>
      </c>
      <c r="AB189">
        <f t="shared" si="56"/>
        <v>0</v>
      </c>
      <c r="AC189">
        <f t="shared" si="57"/>
        <v>0</v>
      </c>
    </row>
    <row r="190" spans="2:29">
      <c r="B190" s="5">
        <v>171</v>
      </c>
      <c r="C190" s="6">
        <v>97.381111</v>
      </c>
      <c r="D190" s="6">
        <v>151.07576</v>
      </c>
      <c r="E190" s="42">
        <v>0.55</v>
      </c>
      <c r="F190">
        <f t="shared" si="58"/>
        <v>95.9748321086694</v>
      </c>
      <c r="G190">
        <f t="shared" si="59"/>
        <v>144.877494054378</v>
      </c>
      <c r="L190">
        <f t="shared" si="60"/>
        <v>1.40627889133063</v>
      </c>
      <c r="M190">
        <f t="shared" si="61"/>
        <v>6.1982659456217</v>
      </c>
      <c r="N190" s="47">
        <f t="shared" si="42"/>
        <v>0</v>
      </c>
      <c r="O190">
        <f t="shared" si="43"/>
        <v>0</v>
      </c>
      <c r="P190">
        <f t="shared" si="44"/>
        <v>1.40627889133063</v>
      </c>
      <c r="Q190">
        <f t="shared" si="45"/>
        <v>0</v>
      </c>
      <c r="R190">
        <f t="shared" si="46"/>
        <v>0</v>
      </c>
      <c r="S190">
        <f t="shared" si="47"/>
        <v>0</v>
      </c>
      <c r="T190">
        <f t="shared" si="48"/>
        <v>6.1982659456217</v>
      </c>
      <c r="U190" s="52">
        <f t="shared" si="49"/>
        <v>0</v>
      </c>
      <c r="V190">
        <f t="shared" si="50"/>
        <v>0</v>
      </c>
      <c r="W190">
        <f t="shared" si="51"/>
        <v>0</v>
      </c>
      <c r="X190">
        <f t="shared" si="52"/>
        <v>97.381111</v>
      </c>
      <c r="Y190">
        <f t="shared" si="53"/>
        <v>0</v>
      </c>
      <c r="Z190">
        <f t="shared" si="54"/>
        <v>0</v>
      </c>
      <c r="AA190">
        <f t="shared" si="55"/>
        <v>0</v>
      </c>
      <c r="AB190">
        <f t="shared" si="56"/>
        <v>151.07576</v>
      </c>
      <c r="AC190">
        <f t="shared" si="57"/>
        <v>0</v>
      </c>
    </row>
    <row r="191" spans="2:29">
      <c r="B191" s="5">
        <v>172</v>
      </c>
      <c r="C191" s="6">
        <v>96.182846</v>
      </c>
      <c r="D191" s="6">
        <v>152.219299</v>
      </c>
      <c r="E191" s="42">
        <v>0.75</v>
      </c>
      <c r="F191">
        <f t="shared" si="58"/>
        <v>97.0295412771673</v>
      </c>
      <c r="G191">
        <f t="shared" si="59"/>
        <v>149.526193513595</v>
      </c>
      <c r="L191">
        <f t="shared" si="60"/>
        <v>0.846695277167342</v>
      </c>
      <c r="M191">
        <f t="shared" si="61"/>
        <v>2.69310548640541</v>
      </c>
      <c r="N191" s="47">
        <f t="shared" si="42"/>
        <v>0</v>
      </c>
      <c r="O191">
        <f t="shared" si="43"/>
        <v>0</v>
      </c>
      <c r="P191">
        <f t="shared" si="44"/>
        <v>0</v>
      </c>
      <c r="Q191">
        <f t="shared" si="45"/>
        <v>0.846695277167342</v>
      </c>
      <c r="R191">
        <f t="shared" si="46"/>
        <v>0</v>
      </c>
      <c r="S191">
        <f t="shared" si="47"/>
        <v>0</v>
      </c>
      <c r="T191">
        <f t="shared" si="48"/>
        <v>0</v>
      </c>
      <c r="U191" s="52">
        <f t="shared" si="49"/>
        <v>2.69310548640541</v>
      </c>
      <c r="V191">
        <f t="shared" si="50"/>
        <v>0</v>
      </c>
      <c r="W191">
        <f t="shared" si="51"/>
        <v>0</v>
      </c>
      <c r="X191">
        <f t="shared" si="52"/>
        <v>0</v>
      </c>
      <c r="Y191">
        <f t="shared" si="53"/>
        <v>96.182846</v>
      </c>
      <c r="Z191">
        <f t="shared" si="54"/>
        <v>0</v>
      </c>
      <c r="AA191">
        <f t="shared" si="55"/>
        <v>0</v>
      </c>
      <c r="AB191">
        <f t="shared" si="56"/>
        <v>0</v>
      </c>
      <c r="AC191">
        <f t="shared" si="57"/>
        <v>152.219299</v>
      </c>
    </row>
    <row r="192" spans="2:29">
      <c r="B192" s="5">
        <v>173</v>
      </c>
      <c r="C192" s="6">
        <v>95.988533</v>
      </c>
      <c r="D192" s="6">
        <v>154.12851</v>
      </c>
      <c r="E192" s="42">
        <v>0.15</v>
      </c>
      <c r="F192">
        <f t="shared" si="58"/>
        <v>96.9025369855922</v>
      </c>
      <c r="G192">
        <f t="shared" si="59"/>
        <v>149.930159336555</v>
      </c>
      <c r="L192">
        <f t="shared" si="60"/>
        <v>0.914003985592231</v>
      </c>
      <c r="M192">
        <f t="shared" si="61"/>
        <v>4.19835066344461</v>
      </c>
      <c r="N192" s="47">
        <f t="shared" si="42"/>
        <v>0.914003985592231</v>
      </c>
      <c r="O192">
        <f t="shared" si="43"/>
        <v>0</v>
      </c>
      <c r="P192">
        <f t="shared" si="44"/>
        <v>0</v>
      </c>
      <c r="Q192">
        <f t="shared" si="45"/>
        <v>0</v>
      </c>
      <c r="R192">
        <f t="shared" si="46"/>
        <v>4.19835066344461</v>
      </c>
      <c r="S192">
        <f t="shared" si="47"/>
        <v>0</v>
      </c>
      <c r="T192">
        <f t="shared" si="48"/>
        <v>0</v>
      </c>
      <c r="U192" s="52">
        <f t="shared" si="49"/>
        <v>0</v>
      </c>
      <c r="V192">
        <f t="shared" si="50"/>
        <v>95.988533</v>
      </c>
      <c r="W192">
        <f t="shared" si="51"/>
        <v>0</v>
      </c>
      <c r="X192">
        <f t="shared" si="52"/>
        <v>0</v>
      </c>
      <c r="Y192">
        <f t="shared" si="53"/>
        <v>0</v>
      </c>
      <c r="Z192">
        <f t="shared" si="54"/>
        <v>154.12851</v>
      </c>
      <c r="AA192">
        <f t="shared" si="55"/>
        <v>0</v>
      </c>
      <c r="AB192">
        <f t="shared" si="56"/>
        <v>0</v>
      </c>
      <c r="AC192">
        <f t="shared" si="57"/>
        <v>0</v>
      </c>
    </row>
    <row r="193" spans="2:29">
      <c r="B193" s="5">
        <v>174</v>
      </c>
      <c r="C193" s="6">
        <v>98.011391</v>
      </c>
      <c r="D193" s="6">
        <v>152.527557</v>
      </c>
      <c r="E193" s="42">
        <v>0.35</v>
      </c>
      <c r="F193">
        <f t="shared" si="58"/>
        <v>96.582635590635</v>
      </c>
      <c r="G193">
        <f t="shared" si="59"/>
        <v>151.399582068761</v>
      </c>
      <c r="L193">
        <f t="shared" si="60"/>
        <v>1.42875540936504</v>
      </c>
      <c r="M193">
        <f t="shared" si="61"/>
        <v>1.12797493123901</v>
      </c>
      <c r="N193" s="47">
        <f t="shared" si="42"/>
        <v>0</v>
      </c>
      <c r="O193">
        <f t="shared" si="43"/>
        <v>1.42875540936504</v>
      </c>
      <c r="P193">
        <f t="shared" si="44"/>
        <v>0</v>
      </c>
      <c r="Q193">
        <f t="shared" si="45"/>
        <v>0</v>
      </c>
      <c r="R193">
        <f t="shared" si="46"/>
        <v>0</v>
      </c>
      <c r="S193">
        <f t="shared" si="47"/>
        <v>1.12797493123901</v>
      </c>
      <c r="T193">
        <f t="shared" si="48"/>
        <v>0</v>
      </c>
      <c r="U193" s="52">
        <f t="shared" si="49"/>
        <v>0</v>
      </c>
      <c r="V193">
        <f t="shared" si="50"/>
        <v>0</v>
      </c>
      <c r="W193">
        <f t="shared" si="51"/>
        <v>98.011391</v>
      </c>
      <c r="X193">
        <f t="shared" si="52"/>
        <v>0</v>
      </c>
      <c r="Y193">
        <f t="shared" si="53"/>
        <v>0</v>
      </c>
      <c r="Z193">
        <f t="shared" si="54"/>
        <v>0</v>
      </c>
      <c r="AA193">
        <f t="shared" si="55"/>
        <v>152.527557</v>
      </c>
      <c r="AB193">
        <f t="shared" si="56"/>
        <v>0</v>
      </c>
      <c r="AC193">
        <f t="shared" si="57"/>
        <v>0</v>
      </c>
    </row>
    <row r="194" spans="2:29">
      <c r="B194" s="5">
        <v>175</v>
      </c>
      <c r="C194" s="6">
        <v>96.658661</v>
      </c>
      <c r="D194" s="6">
        <v>153.889847</v>
      </c>
      <c r="E194" s="42">
        <v>0.55</v>
      </c>
      <c r="F194">
        <f t="shared" si="58"/>
        <v>97.3684510657857</v>
      </c>
      <c r="G194">
        <f t="shared" si="59"/>
        <v>152.019968280942</v>
      </c>
      <c r="L194">
        <f t="shared" si="60"/>
        <v>0.709790065785739</v>
      </c>
      <c r="M194">
        <f t="shared" si="61"/>
        <v>1.86987871905754</v>
      </c>
      <c r="N194" s="47">
        <f t="shared" si="42"/>
        <v>0</v>
      </c>
      <c r="O194">
        <f t="shared" si="43"/>
        <v>0</v>
      </c>
      <c r="P194">
        <f t="shared" si="44"/>
        <v>0.709790065785739</v>
      </c>
      <c r="Q194">
        <f t="shared" si="45"/>
        <v>0</v>
      </c>
      <c r="R194">
        <f t="shared" si="46"/>
        <v>0</v>
      </c>
      <c r="S194">
        <f t="shared" si="47"/>
        <v>0</v>
      </c>
      <c r="T194">
        <f t="shared" si="48"/>
        <v>1.86987871905754</v>
      </c>
      <c r="U194" s="52">
        <f t="shared" si="49"/>
        <v>0</v>
      </c>
      <c r="V194">
        <f t="shared" si="50"/>
        <v>0</v>
      </c>
      <c r="W194">
        <f t="shared" si="51"/>
        <v>0</v>
      </c>
      <c r="X194">
        <f t="shared" si="52"/>
        <v>96.658661</v>
      </c>
      <c r="Y194">
        <f t="shared" si="53"/>
        <v>0</v>
      </c>
      <c r="Z194">
        <f t="shared" si="54"/>
        <v>0</v>
      </c>
      <c r="AA194">
        <f t="shared" si="55"/>
        <v>0</v>
      </c>
      <c r="AB194">
        <f t="shared" si="56"/>
        <v>153.889847</v>
      </c>
      <c r="AC194">
        <f t="shared" si="57"/>
        <v>0</v>
      </c>
    </row>
    <row r="195" spans="2:29">
      <c r="B195" s="5">
        <v>176</v>
      </c>
      <c r="C195" s="6">
        <v>96.930199</v>
      </c>
      <c r="D195" s="6">
        <v>153.740692</v>
      </c>
      <c r="E195" s="42">
        <v>0.75</v>
      </c>
      <c r="F195">
        <f t="shared" si="58"/>
        <v>96.8361085164464</v>
      </c>
      <c r="G195">
        <f t="shared" si="59"/>
        <v>153.422377320236</v>
      </c>
      <c r="L195">
        <f t="shared" si="60"/>
        <v>0.0940904835535719</v>
      </c>
      <c r="M195">
        <f t="shared" si="61"/>
        <v>0.31831467976437</v>
      </c>
      <c r="N195" s="47">
        <f t="shared" si="42"/>
        <v>0</v>
      </c>
      <c r="O195">
        <f t="shared" si="43"/>
        <v>0</v>
      </c>
      <c r="P195">
        <f t="shared" si="44"/>
        <v>0</v>
      </c>
      <c r="Q195">
        <f t="shared" si="45"/>
        <v>0.0940904835535719</v>
      </c>
      <c r="R195">
        <f t="shared" si="46"/>
        <v>0</v>
      </c>
      <c r="S195">
        <f t="shared" si="47"/>
        <v>0</v>
      </c>
      <c r="T195">
        <f t="shared" si="48"/>
        <v>0</v>
      </c>
      <c r="U195" s="52">
        <f t="shared" si="49"/>
        <v>0.31831467976437</v>
      </c>
      <c r="V195">
        <f t="shared" si="50"/>
        <v>0</v>
      </c>
      <c r="W195">
        <f t="shared" si="51"/>
        <v>0</v>
      </c>
      <c r="X195">
        <f t="shared" si="52"/>
        <v>0</v>
      </c>
      <c r="Y195">
        <f t="shared" si="53"/>
        <v>96.930199</v>
      </c>
      <c r="Z195">
        <f t="shared" si="54"/>
        <v>0</v>
      </c>
      <c r="AA195">
        <f t="shared" si="55"/>
        <v>0</v>
      </c>
      <c r="AB195">
        <f t="shared" si="56"/>
        <v>0</v>
      </c>
      <c r="AC195">
        <f t="shared" si="57"/>
        <v>153.740692</v>
      </c>
    </row>
    <row r="196" spans="2:29">
      <c r="B196" s="5">
        <v>177</v>
      </c>
      <c r="C196" s="6">
        <v>92.518288</v>
      </c>
      <c r="D196" s="6">
        <v>152.865631</v>
      </c>
      <c r="E196" s="42">
        <v>0.15</v>
      </c>
      <c r="F196">
        <f t="shared" si="58"/>
        <v>96.8502220889794</v>
      </c>
      <c r="G196">
        <f t="shared" si="59"/>
        <v>153.4701245222</v>
      </c>
      <c r="L196">
        <f t="shared" si="60"/>
        <v>4.33193408897945</v>
      </c>
      <c r="M196">
        <f t="shared" si="61"/>
        <v>0.604493522200244</v>
      </c>
      <c r="N196" s="47">
        <f t="shared" si="42"/>
        <v>4.33193408897945</v>
      </c>
      <c r="O196">
        <f t="shared" si="43"/>
        <v>0</v>
      </c>
      <c r="P196">
        <f t="shared" si="44"/>
        <v>0</v>
      </c>
      <c r="Q196">
        <f t="shared" si="45"/>
        <v>0</v>
      </c>
      <c r="R196">
        <f t="shared" si="46"/>
        <v>0.604493522200244</v>
      </c>
      <c r="S196">
        <f t="shared" si="47"/>
        <v>0</v>
      </c>
      <c r="T196">
        <f t="shared" si="48"/>
        <v>0</v>
      </c>
      <c r="U196" s="52">
        <f t="shared" si="49"/>
        <v>0</v>
      </c>
      <c r="V196">
        <f t="shared" si="50"/>
        <v>92.518288</v>
      </c>
      <c r="W196">
        <f t="shared" si="51"/>
        <v>0</v>
      </c>
      <c r="X196">
        <f t="shared" si="52"/>
        <v>0</v>
      </c>
      <c r="Y196">
        <f t="shared" si="53"/>
        <v>0</v>
      </c>
      <c r="Z196">
        <f t="shared" si="54"/>
        <v>152.865631</v>
      </c>
      <c r="AA196">
        <f t="shared" si="55"/>
        <v>0</v>
      </c>
      <c r="AB196">
        <f t="shared" si="56"/>
        <v>0</v>
      </c>
      <c r="AC196">
        <f t="shared" si="57"/>
        <v>0</v>
      </c>
    </row>
    <row r="197" spans="2:29">
      <c r="B197" s="5">
        <v>178</v>
      </c>
      <c r="C197" s="6">
        <v>92.289093</v>
      </c>
      <c r="D197" s="6">
        <v>148.589813</v>
      </c>
      <c r="E197" s="42">
        <v>0.35</v>
      </c>
      <c r="F197">
        <f t="shared" si="58"/>
        <v>95.3340451578366</v>
      </c>
      <c r="G197">
        <f t="shared" si="59"/>
        <v>153.25855178943</v>
      </c>
      <c r="L197">
        <f t="shared" si="60"/>
        <v>3.04495215783665</v>
      </c>
      <c r="M197">
        <f t="shared" si="61"/>
        <v>4.66873878943017</v>
      </c>
      <c r="N197" s="47">
        <f t="shared" si="42"/>
        <v>0</v>
      </c>
      <c r="O197">
        <f t="shared" si="43"/>
        <v>3.04495215783665</v>
      </c>
      <c r="P197">
        <f t="shared" si="44"/>
        <v>0</v>
      </c>
      <c r="Q197">
        <f t="shared" si="45"/>
        <v>0</v>
      </c>
      <c r="R197">
        <f t="shared" si="46"/>
        <v>0</v>
      </c>
      <c r="S197">
        <f t="shared" si="47"/>
        <v>4.66873878943017</v>
      </c>
      <c r="T197">
        <f t="shared" si="48"/>
        <v>0</v>
      </c>
      <c r="U197" s="52">
        <f t="shared" si="49"/>
        <v>0</v>
      </c>
      <c r="V197">
        <f t="shared" si="50"/>
        <v>0</v>
      </c>
      <c r="W197">
        <f t="shared" si="51"/>
        <v>92.289093</v>
      </c>
      <c r="X197">
        <f t="shared" si="52"/>
        <v>0</v>
      </c>
      <c r="Y197">
        <f t="shared" si="53"/>
        <v>0</v>
      </c>
      <c r="Z197">
        <f t="shared" si="54"/>
        <v>0</v>
      </c>
      <c r="AA197">
        <f t="shared" si="55"/>
        <v>148.589813</v>
      </c>
      <c r="AB197">
        <f t="shared" si="56"/>
        <v>0</v>
      </c>
      <c r="AC197">
        <f t="shared" si="57"/>
        <v>0</v>
      </c>
    </row>
    <row r="198" spans="2:29">
      <c r="B198" s="5">
        <v>179</v>
      </c>
      <c r="C198" s="6">
        <v>94.476364</v>
      </c>
      <c r="D198" s="6">
        <v>149.912338</v>
      </c>
      <c r="E198" s="42">
        <v>0.55</v>
      </c>
      <c r="F198">
        <f t="shared" si="58"/>
        <v>93.6593214710265</v>
      </c>
      <c r="G198">
        <f t="shared" si="59"/>
        <v>150.690745455244</v>
      </c>
      <c r="L198">
        <f t="shared" si="60"/>
        <v>0.817042528973516</v>
      </c>
      <c r="M198">
        <f t="shared" si="61"/>
        <v>0.778407455243581</v>
      </c>
      <c r="N198" s="47">
        <f t="shared" si="42"/>
        <v>0</v>
      </c>
      <c r="O198">
        <f t="shared" si="43"/>
        <v>0</v>
      </c>
      <c r="P198">
        <f t="shared" si="44"/>
        <v>0.817042528973516</v>
      </c>
      <c r="Q198">
        <f t="shared" si="45"/>
        <v>0</v>
      </c>
      <c r="R198">
        <f t="shared" si="46"/>
        <v>0</v>
      </c>
      <c r="S198">
        <f t="shared" si="47"/>
        <v>0</v>
      </c>
      <c r="T198">
        <f t="shared" si="48"/>
        <v>0.778407455243581</v>
      </c>
      <c r="U198" s="52">
        <f t="shared" si="49"/>
        <v>0</v>
      </c>
      <c r="V198">
        <f t="shared" si="50"/>
        <v>0</v>
      </c>
      <c r="W198">
        <f t="shared" si="51"/>
        <v>0</v>
      </c>
      <c r="X198">
        <f t="shared" si="52"/>
        <v>94.476364</v>
      </c>
      <c r="Y198">
        <f t="shared" si="53"/>
        <v>0</v>
      </c>
      <c r="Z198">
        <f t="shared" si="54"/>
        <v>0</v>
      </c>
      <c r="AA198">
        <f t="shared" si="55"/>
        <v>0</v>
      </c>
      <c r="AB198">
        <f t="shared" si="56"/>
        <v>149.912338</v>
      </c>
      <c r="AC198">
        <f t="shared" si="57"/>
        <v>0</v>
      </c>
    </row>
    <row r="199" spans="2:29">
      <c r="B199" s="5">
        <v>180</v>
      </c>
      <c r="C199" s="6">
        <v>92.924355</v>
      </c>
      <c r="D199" s="6">
        <v>151.155304</v>
      </c>
      <c r="E199" s="42">
        <v>0.75</v>
      </c>
      <c r="F199">
        <f t="shared" si="58"/>
        <v>94.2721033677566</v>
      </c>
      <c r="G199">
        <f t="shared" si="59"/>
        <v>150.106939863811</v>
      </c>
      <c r="L199">
        <f t="shared" si="60"/>
        <v>1.34774836775662</v>
      </c>
      <c r="M199">
        <f t="shared" si="61"/>
        <v>1.04836413618909</v>
      </c>
      <c r="N199" s="47">
        <f t="shared" si="42"/>
        <v>0</v>
      </c>
      <c r="O199">
        <f t="shared" si="43"/>
        <v>0</v>
      </c>
      <c r="P199">
        <f t="shared" si="44"/>
        <v>0</v>
      </c>
      <c r="Q199">
        <f t="shared" si="45"/>
        <v>1.34774836775662</v>
      </c>
      <c r="R199">
        <f t="shared" si="46"/>
        <v>0</v>
      </c>
      <c r="S199">
        <f t="shared" si="47"/>
        <v>0</v>
      </c>
      <c r="T199">
        <f t="shared" si="48"/>
        <v>0</v>
      </c>
      <c r="U199" s="52">
        <f t="shared" si="49"/>
        <v>1.04836413618909</v>
      </c>
      <c r="V199">
        <f t="shared" si="50"/>
        <v>0</v>
      </c>
      <c r="W199">
        <f t="shared" si="51"/>
        <v>0</v>
      </c>
      <c r="X199">
        <f t="shared" si="52"/>
        <v>0</v>
      </c>
      <c r="Y199">
        <f t="shared" si="53"/>
        <v>92.924355</v>
      </c>
      <c r="Z199">
        <f t="shared" si="54"/>
        <v>0</v>
      </c>
      <c r="AA199">
        <f t="shared" si="55"/>
        <v>0</v>
      </c>
      <c r="AB199">
        <f t="shared" si="56"/>
        <v>0</v>
      </c>
      <c r="AC199">
        <f t="shared" si="57"/>
        <v>151.155304</v>
      </c>
    </row>
    <row r="200" spans="2:29">
      <c r="B200" s="5">
        <v>181</v>
      </c>
      <c r="C200" s="6">
        <v>94.705559</v>
      </c>
      <c r="D200" s="6">
        <v>153.710861</v>
      </c>
      <c r="E200" s="42">
        <v>0.15</v>
      </c>
      <c r="F200">
        <f t="shared" si="58"/>
        <v>94.0699411125931</v>
      </c>
      <c r="G200">
        <f t="shared" si="59"/>
        <v>150.264194484239</v>
      </c>
      <c r="L200">
        <f t="shared" si="60"/>
        <v>0.635617887406866</v>
      </c>
      <c r="M200">
        <f t="shared" si="61"/>
        <v>3.44666651576074</v>
      </c>
      <c r="N200" s="47">
        <f t="shared" si="42"/>
        <v>0.635617887406866</v>
      </c>
      <c r="O200">
        <f t="shared" si="43"/>
        <v>0</v>
      </c>
      <c r="P200">
        <f t="shared" si="44"/>
        <v>0</v>
      </c>
      <c r="Q200">
        <f t="shared" si="45"/>
        <v>0</v>
      </c>
      <c r="R200">
        <f t="shared" si="46"/>
        <v>3.44666651576074</v>
      </c>
      <c r="S200">
        <f t="shared" si="47"/>
        <v>0</v>
      </c>
      <c r="T200">
        <f t="shared" si="48"/>
        <v>0</v>
      </c>
      <c r="U200" s="52">
        <f t="shared" si="49"/>
        <v>0</v>
      </c>
      <c r="V200">
        <f t="shared" si="50"/>
        <v>94.705559</v>
      </c>
      <c r="W200">
        <f t="shared" si="51"/>
        <v>0</v>
      </c>
      <c r="X200">
        <f t="shared" si="52"/>
        <v>0</v>
      </c>
      <c r="Y200">
        <f t="shared" si="53"/>
        <v>0</v>
      </c>
      <c r="Z200">
        <f t="shared" si="54"/>
        <v>153.710861</v>
      </c>
      <c r="AA200">
        <f t="shared" si="55"/>
        <v>0</v>
      </c>
      <c r="AB200">
        <f t="shared" si="56"/>
        <v>0</v>
      </c>
      <c r="AC200">
        <f t="shared" si="57"/>
        <v>0</v>
      </c>
    </row>
    <row r="201" spans="2:29">
      <c r="B201" s="5">
        <v>182</v>
      </c>
      <c r="C201" s="6">
        <v>95.851517</v>
      </c>
      <c r="D201" s="6">
        <v>148.321335</v>
      </c>
      <c r="E201" s="42">
        <v>0.35</v>
      </c>
      <c r="F201">
        <f t="shared" si="58"/>
        <v>94.2924073731855</v>
      </c>
      <c r="G201">
        <f t="shared" si="59"/>
        <v>151.470527764756</v>
      </c>
      <c r="L201">
        <f t="shared" si="60"/>
        <v>1.55910962681446</v>
      </c>
      <c r="M201">
        <f t="shared" si="61"/>
        <v>3.14919276475553</v>
      </c>
      <c r="N201" s="47">
        <f t="shared" si="42"/>
        <v>0</v>
      </c>
      <c r="O201">
        <f t="shared" si="43"/>
        <v>1.55910962681446</v>
      </c>
      <c r="P201">
        <f t="shared" si="44"/>
        <v>0</v>
      </c>
      <c r="Q201">
        <f t="shared" si="45"/>
        <v>0</v>
      </c>
      <c r="R201">
        <f t="shared" si="46"/>
        <v>0</v>
      </c>
      <c r="S201">
        <f t="shared" si="47"/>
        <v>3.14919276475553</v>
      </c>
      <c r="T201">
        <f t="shared" si="48"/>
        <v>0</v>
      </c>
      <c r="U201" s="52">
        <f t="shared" si="49"/>
        <v>0</v>
      </c>
      <c r="V201">
        <f t="shared" si="50"/>
        <v>0</v>
      </c>
      <c r="W201">
        <f t="shared" si="51"/>
        <v>95.851517</v>
      </c>
      <c r="X201">
        <f t="shared" si="52"/>
        <v>0</v>
      </c>
      <c r="Y201">
        <f t="shared" si="53"/>
        <v>0</v>
      </c>
      <c r="Z201">
        <f t="shared" si="54"/>
        <v>0</v>
      </c>
      <c r="AA201">
        <f t="shared" si="55"/>
        <v>148.321335</v>
      </c>
      <c r="AB201">
        <f t="shared" si="56"/>
        <v>0</v>
      </c>
      <c r="AC201">
        <f t="shared" si="57"/>
        <v>0</v>
      </c>
    </row>
    <row r="202" spans="2:29">
      <c r="B202" s="5">
        <v>183</v>
      </c>
      <c r="C202" s="6">
        <v>105.886086</v>
      </c>
      <c r="D202" s="6">
        <v>148.530151</v>
      </c>
      <c r="E202" s="42">
        <v>0.55</v>
      </c>
      <c r="F202">
        <f t="shared" si="58"/>
        <v>95.1499176679335</v>
      </c>
      <c r="G202">
        <f t="shared" si="59"/>
        <v>149.73847174414</v>
      </c>
      <c r="L202">
        <f t="shared" si="60"/>
        <v>10.7361683320665</v>
      </c>
      <c r="M202">
        <f t="shared" si="61"/>
        <v>1.20832074414</v>
      </c>
      <c r="N202" s="47">
        <f t="shared" si="42"/>
        <v>0</v>
      </c>
      <c r="O202">
        <f t="shared" si="43"/>
        <v>0</v>
      </c>
      <c r="P202">
        <f t="shared" si="44"/>
        <v>10.7361683320665</v>
      </c>
      <c r="Q202">
        <f t="shared" si="45"/>
        <v>0</v>
      </c>
      <c r="R202">
        <f t="shared" si="46"/>
        <v>0</v>
      </c>
      <c r="S202">
        <f t="shared" si="47"/>
        <v>0</v>
      </c>
      <c r="T202">
        <f t="shared" si="48"/>
        <v>1.20832074414</v>
      </c>
      <c r="U202" s="52">
        <f t="shared" si="49"/>
        <v>0</v>
      </c>
      <c r="V202">
        <f t="shared" si="50"/>
        <v>0</v>
      </c>
      <c r="W202">
        <f t="shared" si="51"/>
        <v>0</v>
      </c>
      <c r="X202">
        <f t="shared" si="52"/>
        <v>105.886086</v>
      </c>
      <c r="Y202">
        <f t="shared" si="53"/>
        <v>0</v>
      </c>
      <c r="Z202">
        <f t="shared" si="54"/>
        <v>0</v>
      </c>
      <c r="AA202">
        <f t="shared" si="55"/>
        <v>0</v>
      </c>
      <c r="AB202">
        <f t="shared" si="56"/>
        <v>148.530151</v>
      </c>
      <c r="AC202">
        <f t="shared" si="57"/>
        <v>0</v>
      </c>
    </row>
    <row r="203" spans="2:29">
      <c r="B203" s="5">
        <v>184</v>
      </c>
      <c r="C203" s="6">
        <v>108.554153</v>
      </c>
      <c r="D203" s="6">
        <v>147.694885</v>
      </c>
      <c r="E203" s="42">
        <v>0.75</v>
      </c>
      <c r="F203">
        <f t="shared" si="58"/>
        <v>103.202043916983</v>
      </c>
      <c r="G203">
        <f t="shared" si="59"/>
        <v>148.832231186035</v>
      </c>
      <c r="L203">
        <f t="shared" si="60"/>
        <v>5.35210908301661</v>
      </c>
      <c r="M203">
        <f t="shared" si="61"/>
        <v>1.13734618603499</v>
      </c>
      <c r="N203" s="47">
        <f t="shared" si="42"/>
        <v>0</v>
      </c>
      <c r="O203">
        <f t="shared" si="43"/>
        <v>0</v>
      </c>
      <c r="P203">
        <f t="shared" si="44"/>
        <v>0</v>
      </c>
      <c r="Q203">
        <f t="shared" si="45"/>
        <v>5.35210908301661</v>
      </c>
      <c r="R203">
        <f t="shared" si="46"/>
        <v>0</v>
      </c>
      <c r="S203">
        <f t="shared" si="47"/>
        <v>0</v>
      </c>
      <c r="T203">
        <f t="shared" si="48"/>
        <v>0</v>
      </c>
      <c r="U203" s="52">
        <f t="shared" si="49"/>
        <v>1.13734618603499</v>
      </c>
      <c r="V203">
        <f t="shared" si="50"/>
        <v>0</v>
      </c>
      <c r="W203">
        <f t="shared" si="51"/>
        <v>0</v>
      </c>
      <c r="X203">
        <f t="shared" si="52"/>
        <v>0</v>
      </c>
      <c r="Y203">
        <f t="shared" si="53"/>
        <v>108.554153</v>
      </c>
      <c r="Z203">
        <f t="shared" si="54"/>
        <v>0</v>
      </c>
      <c r="AA203">
        <f t="shared" si="55"/>
        <v>0</v>
      </c>
      <c r="AB203">
        <f t="shared" si="56"/>
        <v>0</v>
      </c>
      <c r="AC203">
        <f t="shared" si="57"/>
        <v>147.694885</v>
      </c>
    </row>
    <row r="204" spans="2:29">
      <c r="B204" s="5">
        <v>185</v>
      </c>
      <c r="C204" s="6">
        <v>109.279099</v>
      </c>
      <c r="D204" s="6">
        <v>146.501633</v>
      </c>
      <c r="E204" s="42">
        <v>0.15</v>
      </c>
      <c r="F204">
        <f t="shared" si="58"/>
        <v>104.004860279436</v>
      </c>
      <c r="G204">
        <f t="shared" si="59"/>
        <v>148.66162925813</v>
      </c>
      <c r="L204">
        <f t="shared" si="60"/>
        <v>5.27423872056414</v>
      </c>
      <c r="M204">
        <f t="shared" si="61"/>
        <v>2.15999625812972</v>
      </c>
      <c r="N204" s="47">
        <f t="shared" si="42"/>
        <v>5.27423872056414</v>
      </c>
      <c r="O204">
        <f t="shared" si="43"/>
        <v>0</v>
      </c>
      <c r="P204">
        <f t="shared" si="44"/>
        <v>0</v>
      </c>
      <c r="Q204">
        <f t="shared" si="45"/>
        <v>0</v>
      </c>
      <c r="R204">
        <f t="shared" si="46"/>
        <v>2.15999625812972</v>
      </c>
      <c r="S204">
        <f t="shared" si="47"/>
        <v>0</v>
      </c>
      <c r="T204">
        <f t="shared" si="48"/>
        <v>0</v>
      </c>
      <c r="U204" s="52">
        <f t="shared" si="49"/>
        <v>0</v>
      </c>
      <c r="V204">
        <f t="shared" si="50"/>
        <v>109.279099</v>
      </c>
      <c r="W204">
        <f t="shared" si="51"/>
        <v>0</v>
      </c>
      <c r="X204">
        <f t="shared" si="52"/>
        <v>0</v>
      </c>
      <c r="Y204">
        <f t="shared" si="53"/>
        <v>0</v>
      </c>
      <c r="Z204">
        <f t="shared" si="54"/>
        <v>146.501633</v>
      </c>
      <c r="AA204">
        <f t="shared" si="55"/>
        <v>0</v>
      </c>
      <c r="AB204">
        <f t="shared" si="56"/>
        <v>0</v>
      </c>
      <c r="AC204">
        <f t="shared" si="57"/>
        <v>0</v>
      </c>
    </row>
    <row r="205" spans="2:29">
      <c r="B205" s="5">
        <v>186</v>
      </c>
      <c r="C205" s="6">
        <v>109.675194</v>
      </c>
      <c r="D205" s="6">
        <v>149.972015</v>
      </c>
      <c r="E205" s="42">
        <v>0.35</v>
      </c>
      <c r="F205">
        <f t="shared" si="58"/>
        <v>105.850843831633</v>
      </c>
      <c r="G205">
        <f t="shared" si="59"/>
        <v>147.905630567784</v>
      </c>
      <c r="L205">
        <f t="shared" si="60"/>
        <v>3.82435016836669</v>
      </c>
      <c r="M205">
        <f t="shared" si="61"/>
        <v>2.06638443221567</v>
      </c>
      <c r="N205" s="47">
        <f t="shared" si="42"/>
        <v>0</v>
      </c>
      <c r="O205">
        <f t="shared" si="43"/>
        <v>3.82435016836669</v>
      </c>
      <c r="P205">
        <f t="shared" si="44"/>
        <v>0</v>
      </c>
      <c r="Q205">
        <f t="shared" si="45"/>
        <v>0</v>
      </c>
      <c r="R205">
        <f t="shared" si="46"/>
        <v>0</v>
      </c>
      <c r="S205">
        <f t="shared" si="47"/>
        <v>2.06638443221567</v>
      </c>
      <c r="T205">
        <f t="shared" si="48"/>
        <v>0</v>
      </c>
      <c r="U205" s="52">
        <f t="shared" si="49"/>
        <v>0</v>
      </c>
      <c r="V205">
        <f t="shared" si="50"/>
        <v>0</v>
      </c>
      <c r="W205">
        <f t="shared" si="51"/>
        <v>109.675194</v>
      </c>
      <c r="X205">
        <f t="shared" si="52"/>
        <v>0</v>
      </c>
      <c r="Y205">
        <f t="shared" si="53"/>
        <v>0</v>
      </c>
      <c r="Z205">
        <f t="shared" si="54"/>
        <v>0</v>
      </c>
      <c r="AA205">
        <f t="shared" si="55"/>
        <v>149.972015</v>
      </c>
      <c r="AB205">
        <f t="shared" si="56"/>
        <v>0</v>
      </c>
      <c r="AC205">
        <f t="shared" si="57"/>
        <v>0</v>
      </c>
    </row>
    <row r="206" spans="2:29">
      <c r="B206" s="5">
        <v>187</v>
      </c>
      <c r="C206" s="6">
        <v>113.501678</v>
      </c>
      <c r="D206" s="6">
        <v>151.722107</v>
      </c>
      <c r="E206" s="42">
        <v>0.55</v>
      </c>
      <c r="F206">
        <f t="shared" si="58"/>
        <v>107.954236424235</v>
      </c>
      <c r="G206">
        <f t="shared" si="59"/>
        <v>149.042142005503</v>
      </c>
      <c r="L206">
        <f t="shared" si="60"/>
        <v>5.54744157576499</v>
      </c>
      <c r="M206">
        <f t="shared" si="61"/>
        <v>2.67996499449703</v>
      </c>
      <c r="N206" s="47">
        <f t="shared" si="42"/>
        <v>0</v>
      </c>
      <c r="O206">
        <f t="shared" si="43"/>
        <v>0</v>
      </c>
      <c r="P206">
        <f t="shared" si="44"/>
        <v>5.54744157576499</v>
      </c>
      <c r="Q206">
        <f t="shared" si="45"/>
        <v>0</v>
      </c>
      <c r="R206">
        <f t="shared" si="46"/>
        <v>0</v>
      </c>
      <c r="S206">
        <f t="shared" si="47"/>
        <v>0</v>
      </c>
      <c r="T206">
        <f t="shared" si="48"/>
        <v>2.67996499449703</v>
      </c>
      <c r="U206" s="52">
        <f t="shared" si="49"/>
        <v>0</v>
      </c>
      <c r="V206">
        <f t="shared" si="50"/>
        <v>0</v>
      </c>
      <c r="W206">
        <f t="shared" si="51"/>
        <v>0</v>
      </c>
      <c r="X206">
        <f t="shared" si="52"/>
        <v>113.501678</v>
      </c>
      <c r="Y206">
        <f t="shared" si="53"/>
        <v>0</v>
      </c>
      <c r="Z206">
        <f t="shared" si="54"/>
        <v>0</v>
      </c>
      <c r="AA206">
        <f t="shared" si="55"/>
        <v>0</v>
      </c>
      <c r="AB206">
        <f t="shared" si="56"/>
        <v>151.722107</v>
      </c>
      <c r="AC206">
        <f t="shared" si="57"/>
        <v>0</v>
      </c>
    </row>
    <row r="207" spans="2:29">
      <c r="B207" s="5">
        <v>188</v>
      </c>
      <c r="C207" s="6">
        <v>110.921135</v>
      </c>
      <c r="D207" s="6">
        <v>154.237885</v>
      </c>
      <c r="E207" s="42">
        <v>0.75</v>
      </c>
      <c r="F207">
        <f t="shared" si="58"/>
        <v>112.114817606059</v>
      </c>
      <c r="G207">
        <f t="shared" si="59"/>
        <v>151.052115751376</v>
      </c>
      <c r="L207">
        <f t="shared" si="60"/>
        <v>1.19368260605874</v>
      </c>
      <c r="M207">
        <f t="shared" si="61"/>
        <v>3.18576924862427</v>
      </c>
      <c r="N207" s="47">
        <f t="shared" si="42"/>
        <v>0</v>
      </c>
      <c r="O207">
        <f t="shared" si="43"/>
        <v>0</v>
      </c>
      <c r="P207">
        <f t="shared" si="44"/>
        <v>0</v>
      </c>
      <c r="Q207">
        <f t="shared" si="45"/>
        <v>1.19368260605874</v>
      </c>
      <c r="R207">
        <f t="shared" si="46"/>
        <v>0</v>
      </c>
      <c r="S207">
        <f t="shared" si="47"/>
        <v>0</v>
      </c>
      <c r="T207">
        <f t="shared" si="48"/>
        <v>0</v>
      </c>
      <c r="U207" s="52">
        <f t="shared" si="49"/>
        <v>3.18576924862427</v>
      </c>
      <c r="V207">
        <f t="shared" si="50"/>
        <v>0</v>
      </c>
      <c r="W207">
        <f t="shared" si="51"/>
        <v>0</v>
      </c>
      <c r="X207">
        <f t="shared" si="52"/>
        <v>0</v>
      </c>
      <c r="Y207">
        <f t="shared" si="53"/>
        <v>110.921135</v>
      </c>
      <c r="Z207">
        <f t="shared" si="54"/>
        <v>0</v>
      </c>
      <c r="AA207">
        <f t="shared" si="55"/>
        <v>0</v>
      </c>
      <c r="AB207">
        <f t="shared" si="56"/>
        <v>0</v>
      </c>
      <c r="AC207">
        <f t="shared" si="57"/>
        <v>154.237885</v>
      </c>
    </row>
    <row r="208" spans="2:29">
      <c r="B208" s="5">
        <v>189</v>
      </c>
      <c r="C208" s="6">
        <v>112.533356</v>
      </c>
      <c r="D208" s="6">
        <v>158.533585</v>
      </c>
      <c r="E208" s="42">
        <v>0.15</v>
      </c>
      <c r="F208">
        <f t="shared" si="58"/>
        <v>111.93576521515</v>
      </c>
      <c r="G208">
        <f t="shared" si="59"/>
        <v>151.529981138669</v>
      </c>
      <c r="L208">
        <f t="shared" si="60"/>
        <v>0.597590784850055</v>
      </c>
      <c r="M208">
        <f t="shared" si="61"/>
        <v>7.00360386133062</v>
      </c>
      <c r="N208" s="47">
        <f t="shared" si="42"/>
        <v>0.597590784850055</v>
      </c>
      <c r="O208">
        <f t="shared" si="43"/>
        <v>0</v>
      </c>
      <c r="P208">
        <f t="shared" si="44"/>
        <v>0</v>
      </c>
      <c r="Q208">
        <f t="shared" si="45"/>
        <v>0</v>
      </c>
      <c r="R208">
        <f t="shared" si="46"/>
        <v>7.00360386133062</v>
      </c>
      <c r="S208">
        <f t="shared" si="47"/>
        <v>0</v>
      </c>
      <c r="T208">
        <f t="shared" si="48"/>
        <v>0</v>
      </c>
      <c r="U208" s="52">
        <f t="shared" si="49"/>
        <v>0</v>
      </c>
      <c r="V208">
        <f t="shared" si="50"/>
        <v>112.533356</v>
      </c>
      <c r="W208">
        <f t="shared" si="51"/>
        <v>0</v>
      </c>
      <c r="X208">
        <f t="shared" si="52"/>
        <v>0</v>
      </c>
      <c r="Y208">
        <f t="shared" si="53"/>
        <v>0</v>
      </c>
      <c r="Z208">
        <f t="shared" si="54"/>
        <v>158.533585</v>
      </c>
      <c r="AA208">
        <f t="shared" si="55"/>
        <v>0</v>
      </c>
      <c r="AB208">
        <f t="shared" si="56"/>
        <v>0</v>
      </c>
      <c r="AC208">
        <f t="shared" si="57"/>
        <v>0</v>
      </c>
    </row>
    <row r="209" spans="2:29">
      <c r="B209" s="5">
        <v>190</v>
      </c>
      <c r="C209" s="6">
        <v>109.186623</v>
      </c>
      <c r="D209" s="6">
        <v>159.378815</v>
      </c>
      <c r="E209" s="42">
        <v>0.35</v>
      </c>
      <c r="F209">
        <f t="shared" si="58"/>
        <v>112.144921989847</v>
      </c>
      <c r="G209">
        <f t="shared" si="59"/>
        <v>153.981242490135</v>
      </c>
      <c r="L209">
        <f t="shared" si="60"/>
        <v>2.95829898984746</v>
      </c>
      <c r="M209">
        <f t="shared" si="61"/>
        <v>5.39757250986491</v>
      </c>
      <c r="N209" s="47">
        <f t="shared" si="42"/>
        <v>0</v>
      </c>
      <c r="O209">
        <f t="shared" si="43"/>
        <v>2.95829898984746</v>
      </c>
      <c r="P209">
        <f t="shared" si="44"/>
        <v>0</v>
      </c>
      <c r="Q209">
        <f t="shared" si="45"/>
        <v>0</v>
      </c>
      <c r="R209">
        <f t="shared" si="46"/>
        <v>0</v>
      </c>
      <c r="S209">
        <f t="shared" si="47"/>
        <v>5.39757250986491</v>
      </c>
      <c r="T209">
        <f t="shared" si="48"/>
        <v>0</v>
      </c>
      <c r="U209" s="52">
        <f t="shared" si="49"/>
        <v>0</v>
      </c>
      <c r="V209">
        <f t="shared" si="50"/>
        <v>0</v>
      </c>
      <c r="W209">
        <f t="shared" si="51"/>
        <v>109.186623</v>
      </c>
      <c r="X209">
        <f t="shared" si="52"/>
        <v>0</v>
      </c>
      <c r="Y209">
        <f t="shared" si="53"/>
        <v>0</v>
      </c>
      <c r="Z209">
        <f t="shared" si="54"/>
        <v>0</v>
      </c>
      <c r="AA209">
        <f t="shared" si="55"/>
        <v>159.378815</v>
      </c>
      <c r="AB209">
        <f t="shared" si="56"/>
        <v>0</v>
      </c>
      <c r="AC209">
        <f t="shared" si="57"/>
        <v>0</v>
      </c>
    </row>
    <row r="210" spans="2:29">
      <c r="B210" s="5">
        <v>191</v>
      </c>
      <c r="C210" s="6">
        <v>112.815369</v>
      </c>
      <c r="D210" s="6">
        <v>159.169998</v>
      </c>
      <c r="E210" s="42">
        <v>0.55</v>
      </c>
      <c r="F210">
        <f t="shared" si="58"/>
        <v>110.517857545431</v>
      </c>
      <c r="G210">
        <f t="shared" si="59"/>
        <v>156.949907370561</v>
      </c>
      <c r="L210">
        <f t="shared" si="60"/>
        <v>2.29751145456865</v>
      </c>
      <c r="M210">
        <f t="shared" si="61"/>
        <v>2.22009062943923</v>
      </c>
      <c r="N210" s="47">
        <f t="shared" si="42"/>
        <v>0</v>
      </c>
      <c r="O210">
        <f t="shared" si="43"/>
        <v>0</v>
      </c>
      <c r="P210">
        <f t="shared" si="44"/>
        <v>2.29751145456865</v>
      </c>
      <c r="Q210">
        <f t="shared" si="45"/>
        <v>0</v>
      </c>
      <c r="R210">
        <f t="shared" si="46"/>
        <v>0</v>
      </c>
      <c r="S210">
        <f t="shared" si="47"/>
        <v>0</v>
      </c>
      <c r="T210">
        <f t="shared" si="48"/>
        <v>2.22009062943923</v>
      </c>
      <c r="U210" s="52">
        <f t="shared" si="49"/>
        <v>0</v>
      </c>
      <c r="V210">
        <f t="shared" si="50"/>
        <v>0</v>
      </c>
      <c r="W210">
        <f t="shared" si="51"/>
        <v>0</v>
      </c>
      <c r="X210">
        <f t="shared" si="52"/>
        <v>112.815369</v>
      </c>
      <c r="Y210">
        <f t="shared" si="53"/>
        <v>0</v>
      </c>
      <c r="Z210">
        <f t="shared" si="54"/>
        <v>0</v>
      </c>
      <c r="AA210">
        <f t="shared" si="55"/>
        <v>0</v>
      </c>
      <c r="AB210">
        <f t="shared" si="56"/>
        <v>159.169998</v>
      </c>
      <c r="AC210">
        <f t="shared" si="57"/>
        <v>0</v>
      </c>
    </row>
    <row r="211" spans="2:29">
      <c r="B211" s="5">
        <v>192</v>
      </c>
      <c r="C211" s="6">
        <v>114.81192</v>
      </c>
      <c r="D211" s="6">
        <v>158.979996</v>
      </c>
      <c r="E211" s="42">
        <v>0.75</v>
      </c>
      <c r="F211">
        <f t="shared" si="58"/>
        <v>112.240991136358</v>
      </c>
      <c r="G211">
        <f t="shared" si="59"/>
        <v>158.61497534264</v>
      </c>
      <c r="L211">
        <f t="shared" si="60"/>
        <v>2.57092886364217</v>
      </c>
      <c r="M211">
        <f t="shared" si="61"/>
        <v>0.365020657359793</v>
      </c>
      <c r="N211" s="47">
        <f t="shared" si="42"/>
        <v>0</v>
      </c>
      <c r="O211">
        <f t="shared" si="43"/>
        <v>0</v>
      </c>
      <c r="P211">
        <f t="shared" si="44"/>
        <v>0</v>
      </c>
      <c r="Q211">
        <f t="shared" si="45"/>
        <v>2.57092886364217</v>
      </c>
      <c r="R211">
        <f t="shared" si="46"/>
        <v>0</v>
      </c>
      <c r="S211">
        <f t="shared" si="47"/>
        <v>0</v>
      </c>
      <c r="T211">
        <f t="shared" si="48"/>
        <v>0</v>
      </c>
      <c r="U211" s="52">
        <f t="shared" si="49"/>
        <v>0.365020657359793</v>
      </c>
      <c r="V211">
        <f t="shared" si="50"/>
        <v>0</v>
      </c>
      <c r="W211">
        <f t="shared" si="51"/>
        <v>0</v>
      </c>
      <c r="X211">
        <f t="shared" si="52"/>
        <v>0</v>
      </c>
      <c r="Y211">
        <f t="shared" si="53"/>
        <v>114.81192</v>
      </c>
      <c r="Z211">
        <f t="shared" si="54"/>
        <v>0</v>
      </c>
      <c r="AA211">
        <f t="shared" si="55"/>
        <v>0</v>
      </c>
      <c r="AB211">
        <f t="shared" si="56"/>
        <v>0</v>
      </c>
      <c r="AC211">
        <f t="shared" si="57"/>
        <v>158.979996</v>
      </c>
    </row>
    <row r="212" spans="2:29">
      <c r="B212" s="5">
        <v>193</v>
      </c>
      <c r="C212" s="6">
        <v>114.709602</v>
      </c>
      <c r="D212" s="6">
        <v>160.279999</v>
      </c>
      <c r="E212" s="42">
        <v>0.15</v>
      </c>
      <c r="F212">
        <f t="shared" si="58"/>
        <v>112.626630465904</v>
      </c>
      <c r="G212">
        <f t="shared" si="59"/>
        <v>158.669728441244</v>
      </c>
      <c r="L212">
        <f t="shared" si="60"/>
        <v>2.08297153409585</v>
      </c>
      <c r="M212">
        <f t="shared" si="61"/>
        <v>1.61027055875584</v>
      </c>
      <c r="N212" s="47">
        <f t="shared" si="42"/>
        <v>2.08297153409585</v>
      </c>
      <c r="O212">
        <f t="shared" si="43"/>
        <v>0</v>
      </c>
      <c r="P212">
        <f t="shared" si="44"/>
        <v>0</v>
      </c>
      <c r="Q212">
        <f t="shared" si="45"/>
        <v>0</v>
      </c>
      <c r="R212">
        <f t="shared" si="46"/>
        <v>1.61027055875584</v>
      </c>
      <c r="S212">
        <f t="shared" si="47"/>
        <v>0</v>
      </c>
      <c r="T212">
        <f t="shared" si="48"/>
        <v>0</v>
      </c>
      <c r="U212" s="52">
        <f t="shared" si="49"/>
        <v>0</v>
      </c>
      <c r="V212">
        <f t="shared" si="50"/>
        <v>114.709602</v>
      </c>
      <c r="W212">
        <f t="shared" si="51"/>
        <v>0</v>
      </c>
      <c r="X212">
        <f t="shared" si="52"/>
        <v>0</v>
      </c>
      <c r="Y212">
        <f t="shared" si="53"/>
        <v>0</v>
      </c>
      <c r="Z212">
        <f t="shared" si="54"/>
        <v>160.279999</v>
      </c>
      <c r="AA212">
        <f t="shared" si="55"/>
        <v>0</v>
      </c>
      <c r="AB212">
        <f t="shared" si="56"/>
        <v>0</v>
      </c>
      <c r="AC212">
        <f t="shared" si="57"/>
        <v>0</v>
      </c>
    </row>
    <row r="213" spans="2:29">
      <c r="B213" s="5">
        <v>194</v>
      </c>
      <c r="C213" s="6">
        <v>114.41011</v>
      </c>
      <c r="D213" s="6">
        <v>158.759995</v>
      </c>
      <c r="E213" s="42">
        <v>0.35</v>
      </c>
      <c r="F213">
        <f t="shared" si="58"/>
        <v>113.355670502838</v>
      </c>
      <c r="G213">
        <f t="shared" si="59"/>
        <v>159.233323136809</v>
      </c>
      <c r="L213">
        <f t="shared" si="60"/>
        <v>1.05443949716231</v>
      </c>
      <c r="M213">
        <f t="shared" si="61"/>
        <v>0.473328136808703</v>
      </c>
      <c r="N213" s="47">
        <f t="shared" ref="N213:N272" si="62">IF(E213=0.15,L213,0)</f>
        <v>0</v>
      </c>
      <c r="O213">
        <f t="shared" ref="O213:O272" si="63">IF(E213=0.35,L213,0)</f>
        <v>1.05443949716231</v>
      </c>
      <c r="P213">
        <f t="shared" ref="P213:P272" si="64">IF(E213=0.55,L213,0)</f>
        <v>0</v>
      </c>
      <c r="Q213">
        <f t="shared" ref="Q213:Q272" si="65">IF(E213=0.75,L213,0)</f>
        <v>0</v>
      </c>
      <c r="R213">
        <f t="shared" ref="R213:R272" si="66">IF(E213=0.15,M213,0)</f>
        <v>0</v>
      </c>
      <c r="S213">
        <f t="shared" ref="S213:S272" si="67">IF(E213=0.35,M213,0)</f>
        <v>0.473328136808703</v>
      </c>
      <c r="T213">
        <f t="shared" ref="T213:T272" si="68">IF(E213=0.55,M213,0)</f>
        <v>0</v>
      </c>
      <c r="U213" s="52">
        <f t="shared" ref="U213:U272" si="69">IF(E213=0.75,M213,0)</f>
        <v>0</v>
      </c>
      <c r="V213">
        <f t="shared" ref="V213:V272" si="70">IF(E213=0.15,C213,0)</f>
        <v>0</v>
      </c>
      <c r="W213">
        <f t="shared" ref="W213:W272" si="71">IF(E213=0.35,C213,0)</f>
        <v>114.41011</v>
      </c>
      <c r="X213">
        <f t="shared" ref="X213:X272" si="72">IF(E213=0.55,C213,0)</f>
        <v>0</v>
      </c>
      <c r="Y213">
        <f t="shared" ref="Y213:Y272" si="73">IF(E213=0.75,C213,0)</f>
        <v>0</v>
      </c>
      <c r="Z213">
        <f t="shared" ref="Z213:Z272" si="74">IF(E213=0.15,D213,0)</f>
        <v>0</v>
      </c>
      <c r="AA213">
        <f t="shared" ref="AA213:AA272" si="75">IF(E213=0.35,D213,0)</f>
        <v>158.759995</v>
      </c>
      <c r="AB213">
        <f t="shared" ref="AB213:AB272" si="76">IF(E213=0.55,D213,0)</f>
        <v>0</v>
      </c>
      <c r="AC213">
        <f t="shared" ref="AC213:AC272" si="77">IF(E213=0.75,D213,0)</f>
        <v>0</v>
      </c>
    </row>
    <row r="214" spans="2:29">
      <c r="B214" s="5">
        <v>195</v>
      </c>
      <c r="C214" s="6">
        <v>115.363472</v>
      </c>
      <c r="D214" s="6">
        <v>157.380005</v>
      </c>
      <c r="E214" s="42">
        <v>0.55</v>
      </c>
      <c r="F214">
        <f t="shared" ref="F214:F272" si="78">(E214*C213)+((1-E214)*F213)</f>
        <v>113.935612226277</v>
      </c>
      <c r="G214">
        <f t="shared" ref="G214:G272" si="79">(E214*D213)+((1-E214)*G213)</f>
        <v>158.972992661564</v>
      </c>
      <c r="L214">
        <f t="shared" si="60"/>
        <v>1.42785977372304</v>
      </c>
      <c r="M214">
        <f t="shared" si="61"/>
        <v>1.59298766156391</v>
      </c>
      <c r="N214" s="47">
        <f t="shared" si="62"/>
        <v>0</v>
      </c>
      <c r="O214">
        <f t="shared" si="63"/>
        <v>0</v>
      </c>
      <c r="P214">
        <f t="shared" si="64"/>
        <v>1.42785977372304</v>
      </c>
      <c r="Q214">
        <f t="shared" si="65"/>
        <v>0</v>
      </c>
      <c r="R214">
        <f t="shared" si="66"/>
        <v>0</v>
      </c>
      <c r="S214">
        <f t="shared" si="67"/>
        <v>0</v>
      </c>
      <c r="T214">
        <f t="shared" si="68"/>
        <v>1.59298766156391</v>
      </c>
      <c r="U214" s="52">
        <f t="shared" si="69"/>
        <v>0</v>
      </c>
      <c r="V214">
        <f t="shared" si="70"/>
        <v>0</v>
      </c>
      <c r="W214">
        <f t="shared" si="71"/>
        <v>0</v>
      </c>
      <c r="X214">
        <f t="shared" si="72"/>
        <v>115.363472</v>
      </c>
      <c r="Y214">
        <f t="shared" si="73"/>
        <v>0</v>
      </c>
      <c r="Z214">
        <f t="shared" si="74"/>
        <v>0</v>
      </c>
      <c r="AA214">
        <f t="shared" si="75"/>
        <v>0</v>
      </c>
      <c r="AB214">
        <f t="shared" si="76"/>
        <v>157.380005</v>
      </c>
      <c r="AC214">
        <f t="shared" si="77"/>
        <v>0</v>
      </c>
    </row>
    <row r="215" spans="2:29">
      <c r="B215" s="5">
        <v>196</v>
      </c>
      <c r="C215" s="6">
        <v>115.508217</v>
      </c>
      <c r="D215" s="6">
        <v>156.850006</v>
      </c>
      <c r="E215" s="42">
        <v>0.75</v>
      </c>
      <c r="F215">
        <f t="shared" si="78"/>
        <v>115.006507056569</v>
      </c>
      <c r="G215">
        <f t="shared" si="79"/>
        <v>157.778251915391</v>
      </c>
      <c r="L215">
        <f t="shared" ref="L215:L272" si="80">ABS(C215-F215)</f>
        <v>0.501709943430768</v>
      </c>
      <c r="M215">
        <f t="shared" ref="M215:M272" si="81">ABS(D215-G215)</f>
        <v>0.928245915390988</v>
      </c>
      <c r="N215" s="47">
        <f t="shared" si="62"/>
        <v>0</v>
      </c>
      <c r="O215">
        <f t="shared" si="63"/>
        <v>0</v>
      </c>
      <c r="P215">
        <f t="shared" si="64"/>
        <v>0</v>
      </c>
      <c r="Q215">
        <f t="shared" si="65"/>
        <v>0.501709943430768</v>
      </c>
      <c r="R215">
        <f t="shared" si="66"/>
        <v>0</v>
      </c>
      <c r="S215">
        <f t="shared" si="67"/>
        <v>0</v>
      </c>
      <c r="T215">
        <f t="shared" si="68"/>
        <v>0</v>
      </c>
      <c r="U215" s="52">
        <f t="shared" si="69"/>
        <v>0.928245915390988</v>
      </c>
      <c r="V215">
        <f t="shared" si="70"/>
        <v>0</v>
      </c>
      <c r="W215">
        <f t="shared" si="71"/>
        <v>0</v>
      </c>
      <c r="X215">
        <f t="shared" si="72"/>
        <v>0</v>
      </c>
      <c r="Y215">
        <f t="shared" si="73"/>
        <v>115.508217</v>
      </c>
      <c r="Z215">
        <f t="shared" si="74"/>
        <v>0</v>
      </c>
      <c r="AA215">
        <f t="shared" si="75"/>
        <v>0</v>
      </c>
      <c r="AB215">
        <f t="shared" si="76"/>
        <v>0</v>
      </c>
      <c r="AC215">
        <f t="shared" si="77"/>
        <v>156.850006</v>
      </c>
    </row>
    <row r="216" spans="2:29">
      <c r="B216" s="5">
        <v>197</v>
      </c>
      <c r="C216" s="6">
        <v>118.071297</v>
      </c>
      <c r="D216" s="6">
        <v>156.169998</v>
      </c>
      <c r="E216" s="42">
        <v>0.15</v>
      </c>
      <c r="F216">
        <f t="shared" si="78"/>
        <v>115.081763548084</v>
      </c>
      <c r="G216">
        <f t="shared" si="79"/>
        <v>157.639015028082</v>
      </c>
      <c r="L216">
        <f t="shared" si="80"/>
        <v>2.98953345191616</v>
      </c>
      <c r="M216">
        <f t="shared" si="81"/>
        <v>1.46901702808236</v>
      </c>
      <c r="N216" s="47">
        <f t="shared" si="62"/>
        <v>2.98953345191616</v>
      </c>
      <c r="O216">
        <f t="shared" si="63"/>
        <v>0</v>
      </c>
      <c r="P216">
        <f t="shared" si="64"/>
        <v>0</v>
      </c>
      <c r="Q216">
        <f t="shared" si="65"/>
        <v>0</v>
      </c>
      <c r="R216">
        <f t="shared" si="66"/>
        <v>1.46901702808236</v>
      </c>
      <c r="S216">
        <f t="shared" si="67"/>
        <v>0</v>
      </c>
      <c r="T216">
        <f t="shared" si="68"/>
        <v>0</v>
      </c>
      <c r="U216" s="52">
        <f t="shared" si="69"/>
        <v>0</v>
      </c>
      <c r="V216">
        <f t="shared" si="70"/>
        <v>118.071297</v>
      </c>
      <c r="W216">
        <f t="shared" si="71"/>
        <v>0</v>
      </c>
      <c r="X216">
        <f t="shared" si="72"/>
        <v>0</v>
      </c>
      <c r="Y216">
        <f t="shared" si="73"/>
        <v>0</v>
      </c>
      <c r="Z216">
        <f t="shared" si="74"/>
        <v>156.169998</v>
      </c>
      <c r="AA216">
        <f t="shared" si="75"/>
        <v>0</v>
      </c>
      <c r="AB216">
        <f t="shared" si="76"/>
        <v>0</v>
      </c>
      <c r="AC216">
        <f t="shared" si="77"/>
        <v>0</v>
      </c>
    </row>
    <row r="217" spans="2:29">
      <c r="B217" s="5">
        <v>198</v>
      </c>
      <c r="C217" s="6">
        <v>124.1558</v>
      </c>
      <c r="D217" s="6">
        <v>157.5</v>
      </c>
      <c r="E217" s="42">
        <v>0.35</v>
      </c>
      <c r="F217">
        <f t="shared" si="78"/>
        <v>116.128100256254</v>
      </c>
      <c r="G217">
        <f t="shared" si="79"/>
        <v>157.124859068254</v>
      </c>
      <c r="L217">
        <f t="shared" si="80"/>
        <v>8.0276997437455</v>
      </c>
      <c r="M217">
        <f t="shared" si="81"/>
        <v>0.375140931746472</v>
      </c>
      <c r="N217" s="47">
        <f t="shared" si="62"/>
        <v>0</v>
      </c>
      <c r="O217">
        <f t="shared" si="63"/>
        <v>8.0276997437455</v>
      </c>
      <c r="P217">
        <f t="shared" si="64"/>
        <v>0</v>
      </c>
      <c r="Q217">
        <f t="shared" si="65"/>
        <v>0</v>
      </c>
      <c r="R217">
        <f t="shared" si="66"/>
        <v>0</v>
      </c>
      <c r="S217">
        <f t="shared" si="67"/>
        <v>0.375140931746472</v>
      </c>
      <c r="T217">
        <f t="shared" si="68"/>
        <v>0</v>
      </c>
      <c r="U217" s="52">
        <f t="shared" si="69"/>
        <v>0</v>
      </c>
      <c r="V217">
        <f t="shared" si="70"/>
        <v>0</v>
      </c>
      <c r="W217">
        <f t="shared" si="71"/>
        <v>124.1558</v>
      </c>
      <c r="X217">
        <f t="shared" si="72"/>
        <v>0</v>
      </c>
      <c r="Y217">
        <f t="shared" si="73"/>
        <v>0</v>
      </c>
      <c r="Z217">
        <f t="shared" si="74"/>
        <v>0</v>
      </c>
      <c r="AA217">
        <f t="shared" si="75"/>
        <v>157.5</v>
      </c>
      <c r="AB217">
        <f t="shared" si="76"/>
        <v>0</v>
      </c>
      <c r="AC217">
        <f t="shared" si="77"/>
        <v>0</v>
      </c>
    </row>
    <row r="218" spans="2:29">
      <c r="B218" s="5">
        <v>199</v>
      </c>
      <c r="C218" s="6">
        <v>125.640739</v>
      </c>
      <c r="D218" s="6">
        <v>159.369995</v>
      </c>
      <c r="E218" s="42">
        <v>0.55</v>
      </c>
      <c r="F218">
        <f t="shared" si="78"/>
        <v>120.543335115315</v>
      </c>
      <c r="G218">
        <f t="shared" si="79"/>
        <v>157.331186580714</v>
      </c>
      <c r="L218">
        <f t="shared" si="80"/>
        <v>5.09740388468548</v>
      </c>
      <c r="M218">
        <f t="shared" si="81"/>
        <v>2.03880841928591</v>
      </c>
      <c r="N218" s="47">
        <f t="shared" si="62"/>
        <v>0</v>
      </c>
      <c r="O218">
        <f t="shared" si="63"/>
        <v>0</v>
      </c>
      <c r="P218">
        <f t="shared" si="64"/>
        <v>5.09740388468548</v>
      </c>
      <c r="Q218">
        <f t="shared" si="65"/>
        <v>0</v>
      </c>
      <c r="R218">
        <f t="shared" si="66"/>
        <v>0</v>
      </c>
      <c r="S218">
        <f t="shared" si="67"/>
        <v>0</v>
      </c>
      <c r="T218">
        <f t="shared" si="68"/>
        <v>2.03880841928591</v>
      </c>
      <c r="U218" s="52">
        <f t="shared" si="69"/>
        <v>0</v>
      </c>
      <c r="V218">
        <f t="shared" si="70"/>
        <v>0</v>
      </c>
      <c r="W218">
        <f t="shared" si="71"/>
        <v>0</v>
      </c>
      <c r="X218">
        <f t="shared" si="72"/>
        <v>125.640739</v>
      </c>
      <c r="Y218">
        <f t="shared" si="73"/>
        <v>0</v>
      </c>
      <c r="Z218">
        <f t="shared" si="74"/>
        <v>0</v>
      </c>
      <c r="AA218">
        <f t="shared" si="75"/>
        <v>0</v>
      </c>
      <c r="AB218">
        <f t="shared" si="76"/>
        <v>159.369995</v>
      </c>
      <c r="AC218">
        <f t="shared" si="77"/>
        <v>0</v>
      </c>
    </row>
    <row r="219" spans="2:29">
      <c r="B219" s="5">
        <v>200</v>
      </c>
      <c r="C219" s="6">
        <v>124.610016</v>
      </c>
      <c r="D219" s="6">
        <v>164.529999</v>
      </c>
      <c r="E219" s="42">
        <v>0.75</v>
      </c>
      <c r="F219">
        <f t="shared" si="78"/>
        <v>124.366388028829</v>
      </c>
      <c r="G219">
        <f t="shared" si="79"/>
        <v>158.860292895179</v>
      </c>
      <c r="L219">
        <f t="shared" si="80"/>
        <v>0.243627971171378</v>
      </c>
      <c r="M219">
        <f t="shared" si="81"/>
        <v>5.6697061048215</v>
      </c>
      <c r="N219" s="47">
        <f t="shared" si="62"/>
        <v>0</v>
      </c>
      <c r="O219">
        <f t="shared" si="63"/>
        <v>0</v>
      </c>
      <c r="P219">
        <f t="shared" si="64"/>
        <v>0</v>
      </c>
      <c r="Q219">
        <f t="shared" si="65"/>
        <v>0.243627971171378</v>
      </c>
      <c r="R219">
        <f t="shared" si="66"/>
        <v>0</v>
      </c>
      <c r="S219">
        <f t="shared" si="67"/>
        <v>0</v>
      </c>
      <c r="T219">
        <f t="shared" si="68"/>
        <v>0</v>
      </c>
      <c r="U219" s="52">
        <f t="shared" si="69"/>
        <v>5.6697061048215</v>
      </c>
      <c r="V219">
        <f t="shared" si="70"/>
        <v>0</v>
      </c>
      <c r="W219">
        <f t="shared" si="71"/>
        <v>0</v>
      </c>
      <c r="X219">
        <f t="shared" si="72"/>
        <v>0</v>
      </c>
      <c r="Y219">
        <f t="shared" si="73"/>
        <v>124.610016</v>
      </c>
      <c r="Z219">
        <f t="shared" si="74"/>
        <v>0</v>
      </c>
      <c r="AA219">
        <f t="shared" si="75"/>
        <v>0</v>
      </c>
      <c r="AB219">
        <f t="shared" si="76"/>
        <v>0</v>
      </c>
      <c r="AC219">
        <f t="shared" si="77"/>
        <v>164.529999</v>
      </c>
    </row>
    <row r="220" spans="2:29">
      <c r="B220" s="5">
        <v>201</v>
      </c>
      <c r="C220" s="6">
        <v>126.304596</v>
      </c>
      <c r="D220" s="6">
        <v>165.309998</v>
      </c>
      <c r="E220" s="42">
        <v>0.15</v>
      </c>
      <c r="F220">
        <f t="shared" si="78"/>
        <v>124.402932224504</v>
      </c>
      <c r="G220">
        <f t="shared" si="79"/>
        <v>159.710748810902</v>
      </c>
      <c r="L220">
        <f t="shared" si="80"/>
        <v>1.90166377549568</v>
      </c>
      <c r="M220">
        <f t="shared" si="81"/>
        <v>5.59924918909826</v>
      </c>
      <c r="N220" s="47">
        <f t="shared" si="62"/>
        <v>1.90166377549568</v>
      </c>
      <c r="O220">
        <f t="shared" si="63"/>
        <v>0</v>
      </c>
      <c r="P220">
        <f t="shared" si="64"/>
        <v>0</v>
      </c>
      <c r="Q220">
        <f t="shared" si="65"/>
        <v>0</v>
      </c>
      <c r="R220">
        <f t="shared" si="66"/>
        <v>5.59924918909826</v>
      </c>
      <c r="S220">
        <f t="shared" si="67"/>
        <v>0</v>
      </c>
      <c r="T220">
        <f t="shared" si="68"/>
        <v>0</v>
      </c>
      <c r="U220" s="52">
        <f t="shared" si="69"/>
        <v>0</v>
      </c>
      <c r="V220">
        <f t="shared" si="70"/>
        <v>126.304596</v>
      </c>
      <c r="W220">
        <f t="shared" si="71"/>
        <v>0</v>
      </c>
      <c r="X220">
        <f t="shared" si="72"/>
        <v>0</v>
      </c>
      <c r="Y220">
        <f t="shared" si="73"/>
        <v>0</v>
      </c>
      <c r="Z220">
        <f t="shared" si="74"/>
        <v>165.309998</v>
      </c>
      <c r="AA220">
        <f t="shared" si="75"/>
        <v>0</v>
      </c>
      <c r="AB220">
        <f t="shared" si="76"/>
        <v>0</v>
      </c>
      <c r="AC220">
        <f t="shared" si="77"/>
        <v>0</v>
      </c>
    </row>
    <row r="221" spans="2:29">
      <c r="B221" s="5">
        <v>202</v>
      </c>
      <c r="C221" s="6">
        <v>124.794701</v>
      </c>
      <c r="D221" s="6">
        <v>165.990005</v>
      </c>
      <c r="E221" s="42">
        <v>0.35</v>
      </c>
      <c r="F221">
        <f t="shared" si="78"/>
        <v>125.068514545928</v>
      </c>
      <c r="G221">
        <f t="shared" si="79"/>
        <v>161.670486027086</v>
      </c>
      <c r="L221">
        <f t="shared" si="80"/>
        <v>0.273813545927808</v>
      </c>
      <c r="M221">
        <f t="shared" si="81"/>
        <v>4.31951897291387</v>
      </c>
      <c r="N221" s="47">
        <f t="shared" si="62"/>
        <v>0</v>
      </c>
      <c r="O221">
        <f t="shared" si="63"/>
        <v>0.273813545927808</v>
      </c>
      <c r="P221">
        <f t="shared" si="64"/>
        <v>0</v>
      </c>
      <c r="Q221">
        <f t="shared" si="65"/>
        <v>0</v>
      </c>
      <c r="R221">
        <f t="shared" si="66"/>
        <v>0</v>
      </c>
      <c r="S221">
        <f t="shared" si="67"/>
        <v>4.31951897291387</v>
      </c>
      <c r="T221">
        <f t="shared" si="68"/>
        <v>0</v>
      </c>
      <c r="U221" s="52">
        <f t="shared" si="69"/>
        <v>0</v>
      </c>
      <c r="V221">
        <f t="shared" si="70"/>
        <v>0</v>
      </c>
      <c r="W221">
        <f t="shared" si="71"/>
        <v>124.794701</v>
      </c>
      <c r="X221">
        <f t="shared" si="72"/>
        <v>0</v>
      </c>
      <c r="Y221">
        <f t="shared" si="73"/>
        <v>0</v>
      </c>
      <c r="Z221">
        <f t="shared" si="74"/>
        <v>0</v>
      </c>
      <c r="AA221">
        <f t="shared" si="75"/>
        <v>165.990005</v>
      </c>
      <c r="AB221">
        <f t="shared" si="76"/>
        <v>0</v>
      </c>
      <c r="AC221">
        <f t="shared" si="77"/>
        <v>0</v>
      </c>
    </row>
    <row r="222" spans="2:29">
      <c r="B222" s="5">
        <v>203</v>
      </c>
      <c r="C222" s="6">
        <v>124.592552</v>
      </c>
      <c r="D222" s="6">
        <v>168.380005</v>
      </c>
      <c r="E222" s="42">
        <v>0.55</v>
      </c>
      <c r="F222">
        <f t="shared" si="78"/>
        <v>124.917917095668</v>
      </c>
      <c r="G222">
        <f t="shared" si="79"/>
        <v>164.046221462189</v>
      </c>
      <c r="L222">
        <f t="shared" si="80"/>
        <v>0.325365095667522</v>
      </c>
      <c r="M222">
        <f t="shared" si="81"/>
        <v>4.33378353781126</v>
      </c>
      <c r="N222" s="47">
        <f t="shared" si="62"/>
        <v>0</v>
      </c>
      <c r="O222">
        <f t="shared" si="63"/>
        <v>0</v>
      </c>
      <c r="P222">
        <f t="shared" si="64"/>
        <v>0.325365095667522</v>
      </c>
      <c r="Q222">
        <f t="shared" si="65"/>
        <v>0</v>
      </c>
      <c r="R222">
        <f t="shared" si="66"/>
        <v>0</v>
      </c>
      <c r="S222">
        <f t="shared" si="67"/>
        <v>0</v>
      </c>
      <c r="T222">
        <f t="shared" si="68"/>
        <v>4.33378353781126</v>
      </c>
      <c r="U222" s="52">
        <f t="shared" si="69"/>
        <v>0</v>
      </c>
      <c r="V222">
        <f t="shared" si="70"/>
        <v>0</v>
      </c>
      <c r="W222">
        <f t="shared" si="71"/>
        <v>0</v>
      </c>
      <c r="X222">
        <f t="shared" si="72"/>
        <v>124.592552</v>
      </c>
      <c r="Y222">
        <f t="shared" si="73"/>
        <v>0</v>
      </c>
      <c r="Z222">
        <f t="shared" si="74"/>
        <v>0</v>
      </c>
      <c r="AA222">
        <f t="shared" si="75"/>
        <v>0</v>
      </c>
      <c r="AB222">
        <f t="shared" si="76"/>
        <v>168.380005</v>
      </c>
      <c r="AC222">
        <f t="shared" si="77"/>
        <v>0</v>
      </c>
    </row>
    <row r="223" spans="2:29">
      <c r="B223" s="5">
        <v>204</v>
      </c>
      <c r="C223" s="6">
        <v>128.817749</v>
      </c>
      <c r="D223" s="6">
        <v>165.550003</v>
      </c>
      <c r="E223" s="42">
        <v>0.75</v>
      </c>
      <c r="F223">
        <f t="shared" si="78"/>
        <v>124.673893273917</v>
      </c>
      <c r="G223">
        <f t="shared" si="79"/>
        <v>167.296559115547</v>
      </c>
      <c r="L223">
        <f t="shared" si="80"/>
        <v>4.14385572608312</v>
      </c>
      <c r="M223">
        <f t="shared" si="81"/>
        <v>1.74655611554721</v>
      </c>
      <c r="N223" s="47">
        <f t="shared" si="62"/>
        <v>0</v>
      </c>
      <c r="O223">
        <f t="shared" si="63"/>
        <v>0</v>
      </c>
      <c r="P223">
        <f t="shared" si="64"/>
        <v>0</v>
      </c>
      <c r="Q223">
        <f t="shared" si="65"/>
        <v>4.14385572608312</v>
      </c>
      <c r="R223">
        <f t="shared" si="66"/>
        <v>0</v>
      </c>
      <c r="S223">
        <f t="shared" si="67"/>
        <v>0</v>
      </c>
      <c r="T223">
        <f t="shared" si="68"/>
        <v>0</v>
      </c>
      <c r="U223" s="52">
        <f t="shared" si="69"/>
        <v>1.74655611554721</v>
      </c>
      <c r="V223">
        <f t="shared" si="70"/>
        <v>0</v>
      </c>
      <c r="W223">
        <f t="shared" si="71"/>
        <v>0</v>
      </c>
      <c r="X223">
        <f t="shared" si="72"/>
        <v>0</v>
      </c>
      <c r="Y223">
        <f t="shared" si="73"/>
        <v>128.817749</v>
      </c>
      <c r="Z223">
        <f t="shared" si="74"/>
        <v>0</v>
      </c>
      <c r="AA223">
        <f t="shared" si="75"/>
        <v>0</v>
      </c>
      <c r="AB223">
        <f t="shared" si="76"/>
        <v>0</v>
      </c>
      <c r="AC223">
        <f t="shared" si="77"/>
        <v>165.550003</v>
      </c>
    </row>
    <row r="224" spans="2:29">
      <c r="B224" s="5">
        <v>205</v>
      </c>
      <c r="C224" s="6">
        <v>133.948898</v>
      </c>
      <c r="D224" s="6">
        <v>167.970001</v>
      </c>
      <c r="E224" s="42">
        <v>0.15</v>
      </c>
      <c r="F224">
        <f t="shared" si="78"/>
        <v>125.295471632829</v>
      </c>
      <c r="G224">
        <f t="shared" si="79"/>
        <v>167.034575698215</v>
      </c>
      <c r="L224">
        <f t="shared" si="80"/>
        <v>8.65342636717067</v>
      </c>
      <c r="M224">
        <f t="shared" si="81"/>
        <v>0.935425301784875</v>
      </c>
      <c r="N224" s="47">
        <f t="shared" si="62"/>
        <v>8.65342636717067</v>
      </c>
      <c r="O224">
        <f t="shared" si="63"/>
        <v>0</v>
      </c>
      <c r="P224">
        <f t="shared" si="64"/>
        <v>0</v>
      </c>
      <c r="Q224">
        <f t="shared" si="65"/>
        <v>0</v>
      </c>
      <c r="R224">
        <f t="shared" si="66"/>
        <v>0.935425301784875</v>
      </c>
      <c r="S224">
        <f t="shared" si="67"/>
        <v>0</v>
      </c>
      <c r="T224">
        <f t="shared" si="68"/>
        <v>0</v>
      </c>
      <c r="U224" s="52">
        <f t="shared" si="69"/>
        <v>0</v>
      </c>
      <c r="V224">
        <f t="shared" si="70"/>
        <v>133.948898</v>
      </c>
      <c r="W224">
        <f t="shared" si="71"/>
        <v>0</v>
      </c>
      <c r="X224">
        <f t="shared" si="72"/>
        <v>0</v>
      </c>
      <c r="Y224">
        <f t="shared" si="73"/>
        <v>0</v>
      </c>
      <c r="Z224">
        <f t="shared" si="74"/>
        <v>167.970001</v>
      </c>
      <c r="AA224">
        <f t="shared" si="75"/>
        <v>0</v>
      </c>
      <c r="AB224">
        <f t="shared" si="76"/>
        <v>0</v>
      </c>
      <c r="AC224">
        <f t="shared" si="77"/>
        <v>0</v>
      </c>
    </row>
    <row r="225" spans="2:29">
      <c r="B225" s="5">
        <v>206</v>
      </c>
      <c r="C225" s="6">
        <v>131.173691</v>
      </c>
      <c r="D225" s="6">
        <v>172.470001</v>
      </c>
      <c r="E225" s="42">
        <v>0.35</v>
      </c>
      <c r="F225">
        <f t="shared" si="78"/>
        <v>128.324170861339</v>
      </c>
      <c r="G225">
        <f t="shared" si="79"/>
        <v>167.36197455384</v>
      </c>
      <c r="L225">
        <f t="shared" si="80"/>
        <v>2.84952013866092</v>
      </c>
      <c r="M225">
        <f t="shared" si="81"/>
        <v>5.10802644616015</v>
      </c>
      <c r="N225" s="47">
        <f t="shared" si="62"/>
        <v>0</v>
      </c>
      <c r="O225">
        <f t="shared" si="63"/>
        <v>2.84952013866092</v>
      </c>
      <c r="P225">
        <f t="shared" si="64"/>
        <v>0</v>
      </c>
      <c r="Q225">
        <f t="shared" si="65"/>
        <v>0</v>
      </c>
      <c r="R225">
        <f t="shared" si="66"/>
        <v>0</v>
      </c>
      <c r="S225">
        <f t="shared" si="67"/>
        <v>5.10802644616015</v>
      </c>
      <c r="T225">
        <f t="shared" si="68"/>
        <v>0</v>
      </c>
      <c r="U225" s="52">
        <f t="shared" si="69"/>
        <v>0</v>
      </c>
      <c r="V225">
        <f t="shared" si="70"/>
        <v>0</v>
      </c>
      <c r="W225">
        <f t="shared" si="71"/>
        <v>131.173691</v>
      </c>
      <c r="X225">
        <f t="shared" si="72"/>
        <v>0</v>
      </c>
      <c r="Y225">
        <f t="shared" si="73"/>
        <v>0</v>
      </c>
      <c r="Z225">
        <f t="shared" si="74"/>
        <v>0</v>
      </c>
      <c r="AA225">
        <f t="shared" si="75"/>
        <v>172.470001</v>
      </c>
      <c r="AB225">
        <f t="shared" si="76"/>
        <v>0</v>
      </c>
      <c r="AC225">
        <f t="shared" si="77"/>
        <v>0</v>
      </c>
    </row>
    <row r="226" spans="2:29">
      <c r="B226" s="5">
        <v>207</v>
      </c>
      <c r="C226" s="6">
        <v>120.671806</v>
      </c>
      <c r="D226" s="6">
        <v>166.300003</v>
      </c>
      <c r="E226" s="42">
        <v>0.55</v>
      </c>
      <c r="F226">
        <f t="shared" si="78"/>
        <v>129.891406937603</v>
      </c>
      <c r="G226">
        <f t="shared" si="79"/>
        <v>170.171389099228</v>
      </c>
      <c r="L226">
        <f t="shared" si="80"/>
        <v>9.21960093760259</v>
      </c>
      <c r="M226">
        <f t="shared" si="81"/>
        <v>3.87138609922792</v>
      </c>
      <c r="N226" s="47">
        <f t="shared" si="62"/>
        <v>0</v>
      </c>
      <c r="O226">
        <f t="shared" si="63"/>
        <v>0</v>
      </c>
      <c r="P226">
        <f t="shared" si="64"/>
        <v>9.21960093760259</v>
      </c>
      <c r="Q226">
        <f t="shared" si="65"/>
        <v>0</v>
      </c>
      <c r="R226">
        <f t="shared" si="66"/>
        <v>0</v>
      </c>
      <c r="S226">
        <f t="shared" si="67"/>
        <v>0</v>
      </c>
      <c r="T226">
        <f t="shared" si="68"/>
        <v>3.87138609922792</v>
      </c>
      <c r="U226" s="52">
        <f t="shared" si="69"/>
        <v>0</v>
      </c>
      <c r="V226">
        <f t="shared" si="70"/>
        <v>0</v>
      </c>
      <c r="W226">
        <f t="shared" si="71"/>
        <v>0</v>
      </c>
      <c r="X226">
        <f t="shared" si="72"/>
        <v>120.671806</v>
      </c>
      <c r="Y226">
        <f t="shared" si="73"/>
        <v>0</v>
      </c>
      <c r="Z226">
        <f t="shared" si="74"/>
        <v>0</v>
      </c>
      <c r="AA226">
        <f t="shared" si="75"/>
        <v>0</v>
      </c>
      <c r="AB226">
        <f t="shared" si="76"/>
        <v>166.300003</v>
      </c>
      <c r="AC226">
        <f t="shared" si="77"/>
        <v>0</v>
      </c>
    </row>
    <row r="227" spans="2:29">
      <c r="B227" s="5">
        <v>208</v>
      </c>
      <c r="C227" s="6">
        <v>120.751671</v>
      </c>
      <c r="D227" s="6">
        <v>166.690002</v>
      </c>
      <c r="E227" s="42">
        <v>0.75</v>
      </c>
      <c r="F227">
        <f t="shared" si="78"/>
        <v>122.976706234401</v>
      </c>
      <c r="G227">
        <f t="shared" si="79"/>
        <v>167.267849524807</v>
      </c>
      <c r="L227">
        <f t="shared" si="80"/>
        <v>2.22503523440065</v>
      </c>
      <c r="M227">
        <f t="shared" si="81"/>
        <v>0.577847524806998</v>
      </c>
      <c r="N227" s="47">
        <f t="shared" si="62"/>
        <v>0</v>
      </c>
      <c r="O227">
        <f t="shared" si="63"/>
        <v>0</v>
      </c>
      <c r="P227">
        <f t="shared" si="64"/>
        <v>0</v>
      </c>
      <c r="Q227">
        <f t="shared" si="65"/>
        <v>2.22503523440065</v>
      </c>
      <c r="R227">
        <f t="shared" si="66"/>
        <v>0</v>
      </c>
      <c r="S227">
        <f t="shared" si="67"/>
        <v>0</v>
      </c>
      <c r="T227">
        <f t="shared" si="68"/>
        <v>0</v>
      </c>
      <c r="U227" s="52">
        <f t="shared" si="69"/>
        <v>0.577847524806998</v>
      </c>
      <c r="V227">
        <f t="shared" si="70"/>
        <v>0</v>
      </c>
      <c r="W227">
        <f t="shared" si="71"/>
        <v>0</v>
      </c>
      <c r="X227">
        <f t="shared" si="72"/>
        <v>0</v>
      </c>
      <c r="Y227">
        <f t="shared" si="73"/>
        <v>120.751671</v>
      </c>
      <c r="Z227">
        <f t="shared" si="74"/>
        <v>0</v>
      </c>
      <c r="AA227">
        <f t="shared" si="75"/>
        <v>0</v>
      </c>
      <c r="AB227">
        <f t="shared" si="76"/>
        <v>0</v>
      </c>
      <c r="AC227">
        <f t="shared" si="77"/>
        <v>166.690002</v>
      </c>
    </row>
    <row r="228" spans="2:29">
      <c r="B228" s="5">
        <v>209</v>
      </c>
      <c r="C228" s="6">
        <v>112.625694</v>
      </c>
      <c r="D228" s="6">
        <v>164.270004</v>
      </c>
      <c r="E228" s="42">
        <v>0.15</v>
      </c>
      <c r="F228">
        <f t="shared" si="78"/>
        <v>122.642950949241</v>
      </c>
      <c r="G228">
        <f t="shared" si="79"/>
        <v>167.181172396086</v>
      </c>
      <c r="L228">
        <f t="shared" si="80"/>
        <v>10.0172569492405</v>
      </c>
      <c r="M228">
        <f t="shared" si="81"/>
        <v>2.91116839608591</v>
      </c>
      <c r="N228" s="47">
        <f t="shared" si="62"/>
        <v>10.0172569492405</v>
      </c>
      <c r="O228">
        <f t="shared" si="63"/>
        <v>0</v>
      </c>
      <c r="P228">
        <f t="shared" si="64"/>
        <v>0</v>
      </c>
      <c r="Q228">
        <f t="shared" si="65"/>
        <v>0</v>
      </c>
      <c r="R228">
        <f t="shared" si="66"/>
        <v>2.91116839608591</v>
      </c>
      <c r="S228">
        <f t="shared" si="67"/>
        <v>0</v>
      </c>
      <c r="T228">
        <f t="shared" si="68"/>
        <v>0</v>
      </c>
      <c r="U228" s="52">
        <f t="shared" si="69"/>
        <v>0</v>
      </c>
      <c r="V228">
        <f t="shared" si="70"/>
        <v>112.625694</v>
      </c>
      <c r="W228">
        <f t="shared" si="71"/>
        <v>0</v>
      </c>
      <c r="X228">
        <f t="shared" si="72"/>
        <v>0</v>
      </c>
      <c r="Y228">
        <f t="shared" si="73"/>
        <v>0</v>
      </c>
      <c r="Z228">
        <f t="shared" si="74"/>
        <v>164.270004</v>
      </c>
      <c r="AA228">
        <f t="shared" si="75"/>
        <v>0</v>
      </c>
      <c r="AB228">
        <f t="shared" si="76"/>
        <v>0</v>
      </c>
      <c r="AC228">
        <f t="shared" si="77"/>
        <v>0</v>
      </c>
    </row>
    <row r="229" spans="2:29">
      <c r="B229" s="5">
        <v>210</v>
      </c>
      <c r="C229" s="6">
        <v>117.117943</v>
      </c>
      <c r="D229" s="6">
        <v>165.75</v>
      </c>
      <c r="E229" s="42">
        <v>0.35</v>
      </c>
      <c r="F229">
        <f t="shared" si="78"/>
        <v>119.136911017006</v>
      </c>
      <c r="G229">
        <f t="shared" si="79"/>
        <v>166.162263457456</v>
      </c>
      <c r="L229">
        <f t="shared" si="80"/>
        <v>2.01896801700636</v>
      </c>
      <c r="M229">
        <f t="shared" si="81"/>
        <v>0.41226345745585</v>
      </c>
      <c r="N229" s="47">
        <f t="shared" si="62"/>
        <v>0</v>
      </c>
      <c r="O229">
        <f t="shared" si="63"/>
        <v>2.01896801700636</v>
      </c>
      <c r="P229">
        <f t="shared" si="64"/>
        <v>0</v>
      </c>
      <c r="Q229">
        <f t="shared" si="65"/>
        <v>0</v>
      </c>
      <c r="R229">
        <f t="shared" si="66"/>
        <v>0</v>
      </c>
      <c r="S229">
        <f t="shared" si="67"/>
        <v>0.41226345745585</v>
      </c>
      <c r="T229">
        <f t="shared" si="68"/>
        <v>0</v>
      </c>
      <c r="U229" s="52">
        <f t="shared" si="69"/>
        <v>0</v>
      </c>
      <c r="V229">
        <f t="shared" si="70"/>
        <v>0</v>
      </c>
      <c r="W229">
        <f t="shared" si="71"/>
        <v>117.117943</v>
      </c>
      <c r="X229">
        <f t="shared" si="72"/>
        <v>0</v>
      </c>
      <c r="Y229">
        <f t="shared" si="73"/>
        <v>0</v>
      </c>
      <c r="Z229">
        <f t="shared" si="74"/>
        <v>0</v>
      </c>
      <c r="AA229">
        <f t="shared" si="75"/>
        <v>165.75</v>
      </c>
      <c r="AB229">
        <f t="shared" si="76"/>
        <v>0</v>
      </c>
      <c r="AC229">
        <f t="shared" si="77"/>
        <v>0</v>
      </c>
    </row>
    <row r="230" spans="2:29">
      <c r="B230" s="5">
        <v>211</v>
      </c>
      <c r="C230" s="6">
        <v>113.29454</v>
      </c>
      <c r="D230" s="6">
        <v>164.270004</v>
      </c>
      <c r="E230" s="42">
        <v>0.55</v>
      </c>
      <c r="F230">
        <f t="shared" si="78"/>
        <v>118.026478607653</v>
      </c>
      <c r="G230">
        <f t="shared" si="79"/>
        <v>165.935518555855</v>
      </c>
      <c r="L230">
        <f t="shared" si="80"/>
        <v>4.73193860765285</v>
      </c>
      <c r="M230">
        <f t="shared" si="81"/>
        <v>1.66551455585514</v>
      </c>
      <c r="N230" s="47">
        <f t="shared" si="62"/>
        <v>0</v>
      </c>
      <c r="O230">
        <f t="shared" si="63"/>
        <v>0</v>
      </c>
      <c r="P230">
        <f t="shared" si="64"/>
        <v>4.73193860765285</v>
      </c>
      <c r="Q230">
        <f t="shared" si="65"/>
        <v>0</v>
      </c>
      <c r="R230">
        <f t="shared" si="66"/>
        <v>0</v>
      </c>
      <c r="S230">
        <f t="shared" si="67"/>
        <v>0</v>
      </c>
      <c r="T230">
        <f t="shared" si="68"/>
        <v>1.66551455585514</v>
      </c>
      <c r="U230" s="52">
        <f t="shared" si="69"/>
        <v>0</v>
      </c>
      <c r="V230">
        <f t="shared" si="70"/>
        <v>0</v>
      </c>
      <c r="W230">
        <f t="shared" si="71"/>
        <v>0</v>
      </c>
      <c r="X230">
        <f t="shared" si="72"/>
        <v>113.29454</v>
      </c>
      <c r="Y230">
        <f t="shared" si="73"/>
        <v>0</v>
      </c>
      <c r="Z230">
        <f t="shared" si="74"/>
        <v>0</v>
      </c>
      <c r="AA230">
        <f t="shared" si="75"/>
        <v>0</v>
      </c>
      <c r="AB230">
        <f t="shared" si="76"/>
        <v>164.270004</v>
      </c>
      <c r="AC230">
        <f t="shared" si="77"/>
        <v>0</v>
      </c>
    </row>
    <row r="231" spans="2:29">
      <c r="B231" s="5">
        <v>212</v>
      </c>
      <c r="C231" s="6">
        <v>111.807106</v>
      </c>
      <c r="D231" s="6">
        <v>166.449997</v>
      </c>
      <c r="E231" s="42">
        <v>0.75</v>
      </c>
      <c r="F231">
        <f t="shared" si="78"/>
        <v>114.477524651913</v>
      </c>
      <c r="G231">
        <f t="shared" si="79"/>
        <v>164.686382638964</v>
      </c>
      <c r="L231">
        <f t="shared" si="80"/>
        <v>2.67041865191321</v>
      </c>
      <c r="M231">
        <f t="shared" si="81"/>
        <v>1.76361436103622</v>
      </c>
      <c r="N231" s="47">
        <f t="shared" si="62"/>
        <v>0</v>
      </c>
      <c r="O231">
        <f t="shared" si="63"/>
        <v>0</v>
      </c>
      <c r="P231">
        <f t="shared" si="64"/>
        <v>0</v>
      </c>
      <c r="Q231">
        <f t="shared" si="65"/>
        <v>2.67041865191321</v>
      </c>
      <c r="R231">
        <f t="shared" si="66"/>
        <v>0</v>
      </c>
      <c r="S231">
        <f t="shared" si="67"/>
        <v>0</v>
      </c>
      <c r="T231">
        <f t="shared" si="68"/>
        <v>0</v>
      </c>
      <c r="U231" s="52">
        <f t="shared" si="69"/>
        <v>1.76361436103622</v>
      </c>
      <c r="V231">
        <f t="shared" si="70"/>
        <v>0</v>
      </c>
      <c r="W231">
        <f t="shared" si="71"/>
        <v>0</v>
      </c>
      <c r="X231">
        <f t="shared" si="72"/>
        <v>0</v>
      </c>
      <c r="Y231">
        <f t="shared" si="73"/>
        <v>111.807106</v>
      </c>
      <c r="Z231">
        <f t="shared" si="74"/>
        <v>0</v>
      </c>
      <c r="AA231">
        <f t="shared" si="75"/>
        <v>0</v>
      </c>
      <c r="AB231">
        <f t="shared" si="76"/>
        <v>0</v>
      </c>
      <c r="AC231">
        <f t="shared" si="77"/>
        <v>166.449997</v>
      </c>
    </row>
    <row r="232" spans="2:29">
      <c r="B232" s="5">
        <v>213</v>
      </c>
      <c r="C232" s="6">
        <v>115.161316</v>
      </c>
      <c r="D232" s="6">
        <v>168.470001</v>
      </c>
      <c r="E232" s="42">
        <v>0.15</v>
      </c>
      <c r="F232">
        <f t="shared" si="78"/>
        <v>114.076961854126</v>
      </c>
      <c r="G232">
        <f t="shared" si="79"/>
        <v>164.950924793119</v>
      </c>
      <c r="L232">
        <f t="shared" si="80"/>
        <v>1.08435414587377</v>
      </c>
      <c r="M232">
        <f t="shared" si="81"/>
        <v>3.51907620688078</v>
      </c>
      <c r="N232" s="47">
        <f t="shared" si="62"/>
        <v>1.08435414587377</v>
      </c>
      <c r="O232">
        <f t="shared" si="63"/>
        <v>0</v>
      </c>
      <c r="P232">
        <f t="shared" si="64"/>
        <v>0</v>
      </c>
      <c r="Q232">
        <f t="shared" si="65"/>
        <v>0</v>
      </c>
      <c r="R232">
        <f t="shared" si="66"/>
        <v>3.51907620688078</v>
      </c>
      <c r="S232">
        <f t="shared" si="67"/>
        <v>0</v>
      </c>
      <c r="T232">
        <f t="shared" si="68"/>
        <v>0</v>
      </c>
      <c r="U232" s="52">
        <f t="shared" si="69"/>
        <v>0</v>
      </c>
      <c r="V232">
        <f t="shared" si="70"/>
        <v>115.161316</v>
      </c>
      <c r="W232">
        <f t="shared" si="71"/>
        <v>0</v>
      </c>
      <c r="X232">
        <f t="shared" si="72"/>
        <v>0</v>
      </c>
      <c r="Y232">
        <f t="shared" si="73"/>
        <v>0</v>
      </c>
      <c r="Z232">
        <f t="shared" si="74"/>
        <v>168.470001</v>
      </c>
      <c r="AA232">
        <f t="shared" si="75"/>
        <v>0</v>
      </c>
      <c r="AB232">
        <f t="shared" si="76"/>
        <v>0</v>
      </c>
      <c r="AC232">
        <f t="shared" si="77"/>
        <v>0</v>
      </c>
    </row>
    <row r="233" spans="2:29">
      <c r="B233" s="5">
        <v>214</v>
      </c>
      <c r="C233" s="6">
        <v>115.341011</v>
      </c>
      <c r="D233" s="6">
        <v>168.300003</v>
      </c>
      <c r="E233" s="42">
        <v>0.35</v>
      </c>
      <c r="F233">
        <f t="shared" si="78"/>
        <v>114.456485805182</v>
      </c>
      <c r="G233">
        <f t="shared" si="79"/>
        <v>166.182601465527</v>
      </c>
      <c r="L233">
        <f t="shared" si="80"/>
        <v>0.884525194817954</v>
      </c>
      <c r="M233">
        <f t="shared" si="81"/>
        <v>2.11740153447252</v>
      </c>
      <c r="N233" s="47">
        <f t="shared" si="62"/>
        <v>0</v>
      </c>
      <c r="O233">
        <f t="shared" si="63"/>
        <v>0.884525194817954</v>
      </c>
      <c r="P233">
        <f t="shared" si="64"/>
        <v>0</v>
      </c>
      <c r="Q233">
        <f t="shared" si="65"/>
        <v>0</v>
      </c>
      <c r="R233">
        <f t="shared" si="66"/>
        <v>0</v>
      </c>
      <c r="S233">
        <f t="shared" si="67"/>
        <v>2.11740153447252</v>
      </c>
      <c r="T233">
        <f t="shared" si="68"/>
        <v>0</v>
      </c>
      <c r="U233" s="52">
        <f t="shared" si="69"/>
        <v>0</v>
      </c>
      <c r="V233">
        <f t="shared" si="70"/>
        <v>0</v>
      </c>
      <c r="W233">
        <f t="shared" si="71"/>
        <v>115.341011</v>
      </c>
      <c r="X233">
        <f t="shared" si="72"/>
        <v>0</v>
      </c>
      <c r="Y233">
        <f t="shared" si="73"/>
        <v>0</v>
      </c>
      <c r="Z233">
        <f t="shared" si="74"/>
        <v>0</v>
      </c>
      <c r="AA233">
        <f t="shared" si="75"/>
        <v>168.300003</v>
      </c>
      <c r="AB233">
        <f t="shared" si="76"/>
        <v>0</v>
      </c>
      <c r="AC233">
        <f t="shared" si="77"/>
        <v>0</v>
      </c>
    </row>
    <row r="234" spans="2:29">
      <c r="B234" s="5">
        <v>215</v>
      </c>
      <c r="C234" s="6">
        <v>111.936882</v>
      </c>
      <c r="D234" s="6">
        <v>170</v>
      </c>
      <c r="E234" s="42">
        <v>0.55</v>
      </c>
      <c r="F234">
        <f t="shared" si="78"/>
        <v>114.942974662332</v>
      </c>
      <c r="G234">
        <f t="shared" si="79"/>
        <v>167.347172309487</v>
      </c>
      <c r="L234">
        <f t="shared" si="80"/>
        <v>3.00609266233192</v>
      </c>
      <c r="M234">
        <f t="shared" si="81"/>
        <v>2.65282769051262</v>
      </c>
      <c r="N234" s="47">
        <f t="shared" si="62"/>
        <v>0</v>
      </c>
      <c r="O234">
        <f t="shared" si="63"/>
        <v>0</v>
      </c>
      <c r="P234">
        <f t="shared" si="64"/>
        <v>3.00609266233192</v>
      </c>
      <c r="Q234">
        <f t="shared" si="65"/>
        <v>0</v>
      </c>
      <c r="R234">
        <f t="shared" si="66"/>
        <v>0</v>
      </c>
      <c r="S234">
        <f t="shared" si="67"/>
        <v>0</v>
      </c>
      <c r="T234">
        <f t="shared" si="68"/>
        <v>2.65282769051262</v>
      </c>
      <c r="U234" s="52">
        <f t="shared" si="69"/>
        <v>0</v>
      </c>
      <c r="V234">
        <f t="shared" si="70"/>
        <v>0</v>
      </c>
      <c r="W234">
        <f t="shared" si="71"/>
        <v>0</v>
      </c>
      <c r="X234">
        <f t="shared" si="72"/>
        <v>111.936882</v>
      </c>
      <c r="Y234">
        <f t="shared" si="73"/>
        <v>0</v>
      </c>
      <c r="Z234">
        <f t="shared" si="74"/>
        <v>0</v>
      </c>
      <c r="AA234">
        <f t="shared" si="75"/>
        <v>0</v>
      </c>
      <c r="AB234">
        <f t="shared" si="76"/>
        <v>170</v>
      </c>
      <c r="AC234">
        <f t="shared" si="77"/>
        <v>0</v>
      </c>
    </row>
    <row r="235" spans="2:29">
      <c r="B235" s="5">
        <v>216</v>
      </c>
      <c r="C235" s="6">
        <v>110.149963</v>
      </c>
      <c r="D235" s="6">
        <v>170.339996</v>
      </c>
      <c r="E235" s="42">
        <v>0.75</v>
      </c>
      <c r="F235">
        <f t="shared" si="78"/>
        <v>112.688405165583</v>
      </c>
      <c r="G235">
        <f t="shared" si="79"/>
        <v>169.336793077372</v>
      </c>
      <c r="L235">
        <f t="shared" si="80"/>
        <v>2.53844216558299</v>
      </c>
      <c r="M235">
        <f t="shared" si="81"/>
        <v>1.00320292262816</v>
      </c>
      <c r="N235" s="47">
        <f t="shared" si="62"/>
        <v>0</v>
      </c>
      <c r="O235">
        <f t="shared" si="63"/>
        <v>0</v>
      </c>
      <c r="P235">
        <f t="shared" si="64"/>
        <v>0</v>
      </c>
      <c r="Q235">
        <f t="shared" si="65"/>
        <v>2.53844216558299</v>
      </c>
      <c r="R235">
        <f t="shared" si="66"/>
        <v>0</v>
      </c>
      <c r="S235">
        <f t="shared" si="67"/>
        <v>0</v>
      </c>
      <c r="T235">
        <f t="shared" si="68"/>
        <v>0</v>
      </c>
      <c r="U235" s="52">
        <f t="shared" si="69"/>
        <v>1.00320292262816</v>
      </c>
      <c r="V235">
        <f t="shared" si="70"/>
        <v>0</v>
      </c>
      <c r="W235">
        <f t="shared" si="71"/>
        <v>0</v>
      </c>
      <c r="X235">
        <f t="shared" si="72"/>
        <v>0</v>
      </c>
      <c r="Y235">
        <f t="shared" si="73"/>
        <v>110.149963</v>
      </c>
      <c r="Z235">
        <f t="shared" si="74"/>
        <v>0</v>
      </c>
      <c r="AA235">
        <f t="shared" si="75"/>
        <v>0</v>
      </c>
      <c r="AB235">
        <f t="shared" si="76"/>
        <v>0</v>
      </c>
      <c r="AC235">
        <f t="shared" si="77"/>
        <v>170.339996</v>
      </c>
    </row>
    <row r="236" spans="2:29">
      <c r="B236" s="5">
        <v>217</v>
      </c>
      <c r="C236" s="6">
        <v>106.655991</v>
      </c>
      <c r="D236" s="6">
        <v>168.699997</v>
      </c>
      <c r="E236" s="42">
        <v>0.15</v>
      </c>
      <c r="F236">
        <f t="shared" si="78"/>
        <v>112.307638840746</v>
      </c>
      <c r="G236">
        <f t="shared" si="79"/>
        <v>169.487273515766</v>
      </c>
      <c r="L236">
        <f t="shared" si="80"/>
        <v>5.65164784074554</v>
      </c>
      <c r="M236">
        <f t="shared" si="81"/>
        <v>0.787276515766081</v>
      </c>
      <c r="N236" s="47">
        <f t="shared" si="62"/>
        <v>5.65164784074554</v>
      </c>
      <c r="O236">
        <f t="shared" si="63"/>
        <v>0</v>
      </c>
      <c r="P236">
        <f t="shared" si="64"/>
        <v>0</v>
      </c>
      <c r="Q236">
        <f t="shared" si="65"/>
        <v>0</v>
      </c>
      <c r="R236">
        <f t="shared" si="66"/>
        <v>0.787276515766081</v>
      </c>
      <c r="S236">
        <f t="shared" si="67"/>
        <v>0</v>
      </c>
      <c r="T236">
        <f t="shared" si="68"/>
        <v>0</v>
      </c>
      <c r="U236" s="52">
        <f t="shared" si="69"/>
        <v>0</v>
      </c>
      <c r="V236">
        <f t="shared" si="70"/>
        <v>106.655991</v>
      </c>
      <c r="W236">
        <f t="shared" si="71"/>
        <v>0</v>
      </c>
      <c r="X236">
        <f t="shared" si="72"/>
        <v>0</v>
      </c>
      <c r="Y236">
        <f t="shared" si="73"/>
        <v>0</v>
      </c>
      <c r="Z236">
        <f t="shared" si="74"/>
        <v>168.699997</v>
      </c>
      <c r="AA236">
        <f t="shared" si="75"/>
        <v>0</v>
      </c>
      <c r="AB236">
        <f t="shared" si="76"/>
        <v>0</v>
      </c>
      <c r="AC236">
        <f t="shared" si="77"/>
        <v>0</v>
      </c>
    </row>
    <row r="237" spans="2:29">
      <c r="B237" s="5">
        <v>218</v>
      </c>
      <c r="C237" s="6">
        <v>109.890411</v>
      </c>
      <c r="D237" s="6">
        <v>161.369995</v>
      </c>
      <c r="E237" s="42">
        <v>0.35</v>
      </c>
      <c r="F237">
        <f t="shared" si="78"/>
        <v>110.329562096485</v>
      </c>
      <c r="G237">
        <f t="shared" si="79"/>
        <v>169.211726735248</v>
      </c>
      <c r="L237">
        <f t="shared" si="80"/>
        <v>0.439151096484608</v>
      </c>
      <c r="M237">
        <f t="shared" si="81"/>
        <v>7.84173173524798</v>
      </c>
      <c r="N237" s="47">
        <f t="shared" si="62"/>
        <v>0</v>
      </c>
      <c r="O237">
        <f t="shared" si="63"/>
        <v>0.439151096484608</v>
      </c>
      <c r="P237">
        <f t="shared" si="64"/>
        <v>0</v>
      </c>
      <c r="Q237">
        <f t="shared" si="65"/>
        <v>0</v>
      </c>
      <c r="R237">
        <f t="shared" si="66"/>
        <v>0</v>
      </c>
      <c r="S237">
        <f t="shared" si="67"/>
        <v>7.84173173524798</v>
      </c>
      <c r="T237">
        <f t="shared" si="68"/>
        <v>0</v>
      </c>
      <c r="U237" s="52">
        <f t="shared" si="69"/>
        <v>0</v>
      </c>
      <c r="V237">
        <f t="shared" si="70"/>
        <v>0</v>
      </c>
      <c r="W237">
        <f t="shared" si="71"/>
        <v>109.890411</v>
      </c>
      <c r="X237">
        <f t="shared" si="72"/>
        <v>0</v>
      </c>
      <c r="Y237">
        <f t="shared" si="73"/>
        <v>0</v>
      </c>
      <c r="Z237">
        <f t="shared" si="74"/>
        <v>0</v>
      </c>
      <c r="AA237">
        <f t="shared" si="75"/>
        <v>161.369995</v>
      </c>
      <c r="AB237">
        <f t="shared" si="76"/>
        <v>0</v>
      </c>
      <c r="AC237">
        <f t="shared" si="77"/>
        <v>0</v>
      </c>
    </row>
    <row r="238" spans="2:29">
      <c r="B238" s="5">
        <v>219</v>
      </c>
      <c r="C238" s="6">
        <v>111.617432</v>
      </c>
      <c r="D238" s="6">
        <v>162.679993</v>
      </c>
      <c r="E238" s="42">
        <v>0.55</v>
      </c>
      <c r="F238">
        <f t="shared" si="78"/>
        <v>110.088028993418</v>
      </c>
      <c r="G238">
        <f t="shared" si="79"/>
        <v>164.898774280862</v>
      </c>
      <c r="L238">
        <f t="shared" si="80"/>
        <v>1.52940300658192</v>
      </c>
      <c r="M238">
        <f t="shared" si="81"/>
        <v>2.21878128086158</v>
      </c>
      <c r="N238" s="47">
        <f t="shared" si="62"/>
        <v>0</v>
      </c>
      <c r="O238">
        <f t="shared" si="63"/>
        <v>0</v>
      </c>
      <c r="P238">
        <f t="shared" si="64"/>
        <v>1.52940300658192</v>
      </c>
      <c r="Q238">
        <f t="shared" si="65"/>
        <v>0</v>
      </c>
      <c r="R238">
        <f t="shared" si="66"/>
        <v>0</v>
      </c>
      <c r="S238">
        <f t="shared" si="67"/>
        <v>0</v>
      </c>
      <c r="T238">
        <f t="shared" si="68"/>
        <v>2.21878128086158</v>
      </c>
      <c r="U238" s="52">
        <f t="shared" si="69"/>
        <v>0</v>
      </c>
      <c r="V238">
        <f t="shared" si="70"/>
        <v>0</v>
      </c>
      <c r="W238">
        <f t="shared" si="71"/>
        <v>0</v>
      </c>
      <c r="X238">
        <f t="shared" si="72"/>
        <v>111.617432</v>
      </c>
      <c r="Y238">
        <f t="shared" si="73"/>
        <v>0</v>
      </c>
      <c r="Z238">
        <f t="shared" si="74"/>
        <v>0</v>
      </c>
      <c r="AA238">
        <f t="shared" si="75"/>
        <v>0</v>
      </c>
      <c r="AB238">
        <f t="shared" si="76"/>
        <v>162.679993</v>
      </c>
      <c r="AC238">
        <f t="shared" si="77"/>
        <v>0</v>
      </c>
    </row>
    <row r="239" spans="2:29">
      <c r="B239" s="5">
        <v>220</v>
      </c>
      <c r="C239" s="6">
        <v>106.935509</v>
      </c>
      <c r="D239" s="6">
        <v>158.789993</v>
      </c>
      <c r="E239" s="42">
        <v>0.75</v>
      </c>
      <c r="F239">
        <f t="shared" si="78"/>
        <v>111.235081248355</v>
      </c>
      <c r="G239">
        <f t="shared" si="79"/>
        <v>163.234688320215</v>
      </c>
      <c r="L239">
        <f t="shared" si="80"/>
        <v>4.29957224835451</v>
      </c>
      <c r="M239">
        <f t="shared" si="81"/>
        <v>4.4446953202154</v>
      </c>
      <c r="N239" s="47">
        <f t="shared" si="62"/>
        <v>0</v>
      </c>
      <c r="O239">
        <f t="shared" si="63"/>
        <v>0</v>
      </c>
      <c r="P239">
        <f t="shared" si="64"/>
        <v>0</v>
      </c>
      <c r="Q239">
        <f t="shared" si="65"/>
        <v>4.29957224835451</v>
      </c>
      <c r="R239">
        <f t="shared" si="66"/>
        <v>0</v>
      </c>
      <c r="S239">
        <f t="shared" si="67"/>
        <v>0</v>
      </c>
      <c r="T239">
        <f t="shared" si="68"/>
        <v>0</v>
      </c>
      <c r="U239" s="52">
        <f t="shared" si="69"/>
        <v>4.4446953202154</v>
      </c>
      <c r="V239">
        <f t="shared" si="70"/>
        <v>0</v>
      </c>
      <c r="W239">
        <f t="shared" si="71"/>
        <v>0</v>
      </c>
      <c r="X239">
        <f t="shared" si="72"/>
        <v>0</v>
      </c>
      <c r="Y239">
        <f t="shared" si="73"/>
        <v>106.935509</v>
      </c>
      <c r="Z239">
        <f t="shared" si="74"/>
        <v>0</v>
      </c>
      <c r="AA239">
        <f t="shared" si="75"/>
        <v>0</v>
      </c>
      <c r="AB239">
        <f t="shared" si="76"/>
        <v>0</v>
      </c>
      <c r="AC239">
        <f t="shared" si="77"/>
        <v>158.789993</v>
      </c>
    </row>
    <row r="240" spans="2:29">
      <c r="B240" s="5">
        <v>221</v>
      </c>
      <c r="C240" s="6">
        <v>108.033615</v>
      </c>
      <c r="D240" s="6">
        <v>158.759995</v>
      </c>
      <c r="E240" s="42">
        <v>0.15</v>
      </c>
      <c r="F240">
        <f t="shared" si="78"/>
        <v>110.590145411101</v>
      </c>
      <c r="G240">
        <f t="shared" si="79"/>
        <v>162.567984022183</v>
      </c>
      <c r="L240">
        <f t="shared" si="80"/>
        <v>2.55653041110133</v>
      </c>
      <c r="M240">
        <f t="shared" si="81"/>
        <v>3.80798902218308</v>
      </c>
      <c r="N240" s="47">
        <f t="shared" si="62"/>
        <v>2.55653041110133</v>
      </c>
      <c r="O240">
        <f t="shared" si="63"/>
        <v>0</v>
      </c>
      <c r="P240">
        <f t="shared" si="64"/>
        <v>0</v>
      </c>
      <c r="Q240">
        <f t="shared" si="65"/>
        <v>0</v>
      </c>
      <c r="R240">
        <f t="shared" si="66"/>
        <v>3.80798902218308</v>
      </c>
      <c r="S240">
        <f t="shared" si="67"/>
        <v>0</v>
      </c>
      <c r="T240">
        <f t="shared" si="68"/>
        <v>0</v>
      </c>
      <c r="U240" s="52">
        <f t="shared" si="69"/>
        <v>0</v>
      </c>
      <c r="V240">
        <f t="shared" si="70"/>
        <v>108.033615</v>
      </c>
      <c r="W240">
        <f t="shared" si="71"/>
        <v>0</v>
      </c>
      <c r="X240">
        <f t="shared" si="72"/>
        <v>0</v>
      </c>
      <c r="Y240">
        <f t="shared" si="73"/>
        <v>0</v>
      </c>
      <c r="Z240">
        <f t="shared" si="74"/>
        <v>158.759995</v>
      </c>
      <c r="AA240">
        <f t="shared" si="75"/>
        <v>0</v>
      </c>
      <c r="AB240">
        <f t="shared" si="76"/>
        <v>0</v>
      </c>
      <c r="AC240">
        <f t="shared" si="77"/>
        <v>0</v>
      </c>
    </row>
    <row r="241" spans="2:29">
      <c r="B241" s="5">
        <v>222</v>
      </c>
      <c r="C241" s="6">
        <v>112.086624</v>
      </c>
      <c r="D241" s="6">
        <v>161.490005</v>
      </c>
      <c r="E241" s="42">
        <v>0.35</v>
      </c>
      <c r="F241">
        <f t="shared" si="78"/>
        <v>109.695359767216</v>
      </c>
      <c r="G241">
        <f t="shared" si="79"/>
        <v>161.235187864419</v>
      </c>
      <c r="L241">
        <f t="shared" si="80"/>
        <v>2.39126423278414</v>
      </c>
      <c r="M241">
        <f t="shared" si="81"/>
        <v>0.254817135580993</v>
      </c>
      <c r="N241" s="47">
        <f t="shared" si="62"/>
        <v>0</v>
      </c>
      <c r="O241">
        <f t="shared" si="63"/>
        <v>2.39126423278414</v>
      </c>
      <c r="P241">
        <f t="shared" si="64"/>
        <v>0</v>
      </c>
      <c r="Q241">
        <f t="shared" si="65"/>
        <v>0</v>
      </c>
      <c r="R241">
        <f t="shared" si="66"/>
        <v>0</v>
      </c>
      <c r="S241">
        <f t="shared" si="67"/>
        <v>0.254817135580993</v>
      </c>
      <c r="T241">
        <f t="shared" si="68"/>
        <v>0</v>
      </c>
      <c r="U241" s="52">
        <f t="shared" si="69"/>
        <v>0</v>
      </c>
      <c r="V241">
        <f t="shared" si="70"/>
        <v>0</v>
      </c>
      <c r="W241">
        <f t="shared" si="71"/>
        <v>112.086624</v>
      </c>
      <c r="X241">
        <f t="shared" si="72"/>
        <v>0</v>
      </c>
      <c r="Y241">
        <f t="shared" si="73"/>
        <v>0</v>
      </c>
      <c r="Z241">
        <f t="shared" si="74"/>
        <v>0</v>
      </c>
      <c r="AA241">
        <f t="shared" si="75"/>
        <v>161.490005</v>
      </c>
      <c r="AB241">
        <f t="shared" si="76"/>
        <v>0</v>
      </c>
      <c r="AC241">
        <f t="shared" si="77"/>
        <v>0</v>
      </c>
    </row>
    <row r="242" spans="2:29">
      <c r="B242" s="5">
        <v>223</v>
      </c>
      <c r="C242" s="6">
        <v>114.762009</v>
      </c>
      <c r="D242" s="6">
        <v>164.639999</v>
      </c>
      <c r="E242" s="42">
        <v>0.55</v>
      </c>
      <c r="F242">
        <f t="shared" si="78"/>
        <v>111.010555095247</v>
      </c>
      <c r="G242">
        <f t="shared" si="79"/>
        <v>161.375337288989</v>
      </c>
      <c r="L242">
        <f t="shared" si="80"/>
        <v>3.75145390475288</v>
      </c>
      <c r="M242">
        <f t="shared" si="81"/>
        <v>3.26466171101143</v>
      </c>
      <c r="N242" s="47">
        <f t="shared" si="62"/>
        <v>0</v>
      </c>
      <c r="O242">
        <f t="shared" si="63"/>
        <v>0</v>
      </c>
      <c r="P242">
        <f t="shared" si="64"/>
        <v>3.75145390475288</v>
      </c>
      <c r="Q242">
        <f t="shared" si="65"/>
        <v>0</v>
      </c>
      <c r="R242">
        <f t="shared" si="66"/>
        <v>0</v>
      </c>
      <c r="S242">
        <f t="shared" si="67"/>
        <v>0</v>
      </c>
      <c r="T242">
        <f t="shared" si="68"/>
        <v>3.26466171101143</v>
      </c>
      <c r="U242" s="52">
        <f t="shared" si="69"/>
        <v>0</v>
      </c>
      <c r="V242">
        <f t="shared" si="70"/>
        <v>0</v>
      </c>
      <c r="W242">
        <f t="shared" si="71"/>
        <v>0</v>
      </c>
      <c r="X242">
        <f t="shared" si="72"/>
        <v>114.762009</v>
      </c>
      <c r="Y242">
        <f t="shared" si="73"/>
        <v>0</v>
      </c>
      <c r="Z242">
        <f t="shared" si="74"/>
        <v>0</v>
      </c>
      <c r="AA242">
        <f t="shared" si="75"/>
        <v>0</v>
      </c>
      <c r="AB242">
        <f t="shared" si="76"/>
        <v>164.639999</v>
      </c>
      <c r="AC242">
        <f t="shared" si="77"/>
        <v>0</v>
      </c>
    </row>
    <row r="243" spans="2:29">
      <c r="B243" s="5">
        <v>224</v>
      </c>
      <c r="C243" s="6">
        <v>113.893501</v>
      </c>
      <c r="D243" s="6">
        <v>164.509995</v>
      </c>
      <c r="E243" s="42">
        <v>0.75</v>
      </c>
      <c r="F243">
        <f t="shared" si="78"/>
        <v>113.824145523812</v>
      </c>
      <c r="G243">
        <f t="shared" si="79"/>
        <v>163.823833572247</v>
      </c>
      <c r="L243">
        <f t="shared" si="80"/>
        <v>0.0693554761882211</v>
      </c>
      <c r="M243">
        <f t="shared" si="81"/>
        <v>0.686161427752864</v>
      </c>
      <c r="N243" s="47">
        <f t="shared" si="62"/>
        <v>0</v>
      </c>
      <c r="O243">
        <f t="shared" si="63"/>
        <v>0</v>
      </c>
      <c r="P243">
        <f t="shared" si="64"/>
        <v>0</v>
      </c>
      <c r="Q243">
        <f t="shared" si="65"/>
        <v>0.0693554761882211</v>
      </c>
      <c r="R243">
        <f t="shared" si="66"/>
        <v>0</v>
      </c>
      <c r="S243">
        <f t="shared" si="67"/>
        <v>0</v>
      </c>
      <c r="T243">
        <f t="shared" si="68"/>
        <v>0</v>
      </c>
      <c r="U243" s="52">
        <f t="shared" si="69"/>
        <v>0.686161427752864</v>
      </c>
      <c r="V243">
        <f t="shared" si="70"/>
        <v>0</v>
      </c>
      <c r="W243">
        <f t="shared" si="71"/>
        <v>0</v>
      </c>
      <c r="X243">
        <f t="shared" si="72"/>
        <v>0</v>
      </c>
      <c r="Y243">
        <f t="shared" si="73"/>
        <v>113.893501</v>
      </c>
      <c r="Z243">
        <f t="shared" si="74"/>
        <v>0</v>
      </c>
      <c r="AA243">
        <f t="shared" si="75"/>
        <v>0</v>
      </c>
      <c r="AB243">
        <f t="shared" si="76"/>
        <v>0</v>
      </c>
      <c r="AC243">
        <f t="shared" si="77"/>
        <v>164.509995</v>
      </c>
    </row>
    <row r="244" spans="2:29">
      <c r="B244" s="5">
        <v>225</v>
      </c>
      <c r="C244" s="6">
        <v>115.610542</v>
      </c>
      <c r="D244" s="6">
        <v>164.610001</v>
      </c>
      <c r="E244" s="42">
        <v>0.15</v>
      </c>
      <c r="F244">
        <f t="shared" si="78"/>
        <v>113.83454884524</v>
      </c>
      <c r="G244">
        <f t="shared" si="79"/>
        <v>163.92675778641</v>
      </c>
      <c r="L244">
        <f t="shared" si="80"/>
        <v>1.77599315475999</v>
      </c>
      <c r="M244">
        <f t="shared" si="81"/>
        <v>0.683243213589947</v>
      </c>
      <c r="N244" s="47">
        <f t="shared" si="62"/>
        <v>1.77599315475999</v>
      </c>
      <c r="O244">
        <f t="shared" si="63"/>
        <v>0</v>
      </c>
      <c r="P244">
        <f t="shared" si="64"/>
        <v>0</v>
      </c>
      <c r="Q244">
        <f t="shared" si="65"/>
        <v>0</v>
      </c>
      <c r="R244">
        <f t="shared" si="66"/>
        <v>0.683243213589947</v>
      </c>
      <c r="S244">
        <f t="shared" si="67"/>
        <v>0</v>
      </c>
      <c r="T244">
        <f t="shared" si="68"/>
        <v>0</v>
      </c>
      <c r="U244" s="52">
        <f t="shared" si="69"/>
        <v>0</v>
      </c>
      <c r="V244">
        <f t="shared" si="70"/>
        <v>115.610542</v>
      </c>
      <c r="W244">
        <f t="shared" si="71"/>
        <v>0</v>
      </c>
      <c r="X244">
        <f t="shared" si="72"/>
        <v>0</v>
      </c>
      <c r="Y244">
        <f t="shared" si="73"/>
        <v>0</v>
      </c>
      <c r="Z244">
        <f t="shared" si="74"/>
        <v>164.610001</v>
      </c>
      <c r="AA244">
        <f t="shared" si="75"/>
        <v>0</v>
      </c>
      <c r="AB244">
        <f t="shared" si="76"/>
        <v>0</v>
      </c>
      <c r="AC244">
        <f t="shared" si="77"/>
        <v>0</v>
      </c>
    </row>
    <row r="245" spans="2:29">
      <c r="B245" s="5">
        <v>226</v>
      </c>
      <c r="C245" s="6">
        <v>116.58886</v>
      </c>
      <c r="D245" s="6">
        <v>163.679993</v>
      </c>
      <c r="E245" s="42">
        <v>0.35</v>
      </c>
      <c r="F245">
        <f t="shared" si="78"/>
        <v>114.456146449406</v>
      </c>
      <c r="G245">
        <f t="shared" si="79"/>
        <v>164.165892911167</v>
      </c>
      <c r="L245">
        <f t="shared" si="80"/>
        <v>2.132713550594</v>
      </c>
      <c r="M245">
        <f t="shared" si="81"/>
        <v>0.485899911166541</v>
      </c>
      <c r="N245" s="47">
        <f t="shared" si="62"/>
        <v>0</v>
      </c>
      <c r="O245">
        <f t="shared" si="63"/>
        <v>2.132713550594</v>
      </c>
      <c r="P245">
        <f t="shared" si="64"/>
        <v>0</v>
      </c>
      <c r="Q245">
        <f t="shared" si="65"/>
        <v>0</v>
      </c>
      <c r="R245">
        <f t="shared" si="66"/>
        <v>0</v>
      </c>
      <c r="S245">
        <f t="shared" si="67"/>
        <v>0.485899911166541</v>
      </c>
      <c r="T245">
        <f t="shared" si="68"/>
        <v>0</v>
      </c>
      <c r="U245" s="52">
        <f t="shared" si="69"/>
        <v>0</v>
      </c>
      <c r="V245">
        <f t="shared" si="70"/>
        <v>0</v>
      </c>
      <c r="W245">
        <f t="shared" si="71"/>
        <v>116.58886</v>
      </c>
      <c r="X245">
        <f t="shared" si="72"/>
        <v>0</v>
      </c>
      <c r="Y245">
        <f t="shared" si="73"/>
        <v>0</v>
      </c>
      <c r="Z245">
        <f t="shared" si="74"/>
        <v>0</v>
      </c>
      <c r="AA245">
        <f t="shared" si="75"/>
        <v>163.679993</v>
      </c>
      <c r="AB245">
        <f t="shared" si="76"/>
        <v>0</v>
      </c>
      <c r="AC245">
        <f t="shared" si="77"/>
        <v>0</v>
      </c>
    </row>
    <row r="246" spans="2:29">
      <c r="B246" s="5">
        <v>227</v>
      </c>
      <c r="C246" s="6">
        <v>112.825348</v>
      </c>
      <c r="D246" s="6">
        <v>165.610001</v>
      </c>
      <c r="E246" s="42">
        <v>0.55</v>
      </c>
      <c r="F246">
        <f t="shared" si="78"/>
        <v>115.629138902233</v>
      </c>
      <c r="G246">
        <f t="shared" si="79"/>
        <v>163.898647960025</v>
      </c>
      <c r="L246">
        <f t="shared" si="80"/>
        <v>2.80379090223269</v>
      </c>
      <c r="M246">
        <f t="shared" si="81"/>
        <v>1.71135303997508</v>
      </c>
      <c r="N246" s="47">
        <f t="shared" si="62"/>
        <v>0</v>
      </c>
      <c r="O246">
        <f t="shared" si="63"/>
        <v>0</v>
      </c>
      <c r="P246">
        <f t="shared" si="64"/>
        <v>2.80379090223269</v>
      </c>
      <c r="Q246">
        <f t="shared" si="65"/>
        <v>0</v>
      </c>
      <c r="R246">
        <f t="shared" si="66"/>
        <v>0</v>
      </c>
      <c r="S246">
        <f t="shared" si="67"/>
        <v>0</v>
      </c>
      <c r="T246">
        <f t="shared" si="68"/>
        <v>1.71135303997508</v>
      </c>
      <c r="U246" s="52">
        <f t="shared" si="69"/>
        <v>0</v>
      </c>
      <c r="V246">
        <f t="shared" si="70"/>
        <v>0</v>
      </c>
      <c r="W246">
        <f t="shared" si="71"/>
        <v>0</v>
      </c>
      <c r="X246">
        <f t="shared" si="72"/>
        <v>112.825348</v>
      </c>
      <c r="Y246">
        <f t="shared" si="73"/>
        <v>0</v>
      </c>
      <c r="Z246">
        <f t="shared" si="74"/>
        <v>0</v>
      </c>
      <c r="AA246">
        <f t="shared" si="75"/>
        <v>0</v>
      </c>
      <c r="AB246">
        <f t="shared" si="76"/>
        <v>165.610001</v>
      </c>
      <c r="AC246">
        <f t="shared" si="77"/>
        <v>0</v>
      </c>
    </row>
    <row r="247" spans="2:29">
      <c r="B247" s="5">
        <v>228</v>
      </c>
      <c r="C247" s="6">
        <v>116.299355</v>
      </c>
      <c r="D247" s="6">
        <v>168.720001</v>
      </c>
      <c r="E247" s="42">
        <v>0.75</v>
      </c>
      <c r="F247">
        <f t="shared" si="78"/>
        <v>113.526295725558</v>
      </c>
      <c r="G247">
        <f t="shared" si="79"/>
        <v>165.182162740006</v>
      </c>
      <c r="L247">
        <f t="shared" si="80"/>
        <v>2.77305927444183</v>
      </c>
      <c r="M247">
        <f t="shared" si="81"/>
        <v>3.53783825999375</v>
      </c>
      <c r="N247" s="47">
        <f t="shared" si="62"/>
        <v>0</v>
      </c>
      <c r="O247">
        <f t="shared" si="63"/>
        <v>0</v>
      </c>
      <c r="P247">
        <f t="shared" si="64"/>
        <v>0</v>
      </c>
      <c r="Q247">
        <f t="shared" si="65"/>
        <v>2.77305927444183</v>
      </c>
      <c r="R247">
        <f t="shared" si="66"/>
        <v>0</v>
      </c>
      <c r="S247">
        <f t="shared" si="67"/>
        <v>0</v>
      </c>
      <c r="T247">
        <f t="shared" si="68"/>
        <v>0</v>
      </c>
      <c r="U247" s="52">
        <f t="shared" si="69"/>
        <v>3.53783825999375</v>
      </c>
      <c r="V247">
        <f t="shared" si="70"/>
        <v>0</v>
      </c>
      <c r="W247">
        <f t="shared" si="71"/>
        <v>0</v>
      </c>
      <c r="X247">
        <f t="shared" si="72"/>
        <v>0</v>
      </c>
      <c r="Y247">
        <f t="shared" si="73"/>
        <v>116.299355</v>
      </c>
      <c r="Z247">
        <f t="shared" si="74"/>
        <v>0</v>
      </c>
      <c r="AA247">
        <f t="shared" si="75"/>
        <v>0</v>
      </c>
      <c r="AB247">
        <f t="shared" si="76"/>
        <v>0</v>
      </c>
      <c r="AC247">
        <f t="shared" si="77"/>
        <v>168.720001</v>
      </c>
    </row>
    <row r="248" spans="2:29">
      <c r="B248" s="5">
        <v>229</v>
      </c>
      <c r="C248" s="6">
        <v>112.965111</v>
      </c>
      <c r="D248" s="6">
        <v>166.889999</v>
      </c>
      <c r="E248" s="42">
        <v>0.15</v>
      </c>
      <c r="F248">
        <f t="shared" si="78"/>
        <v>113.942254616724</v>
      </c>
      <c r="G248">
        <f t="shared" si="79"/>
        <v>165.712838479005</v>
      </c>
      <c r="L248">
        <f t="shared" si="80"/>
        <v>0.977143616724447</v>
      </c>
      <c r="M248">
        <f t="shared" si="81"/>
        <v>1.17716052099468</v>
      </c>
      <c r="N248" s="47">
        <f t="shared" si="62"/>
        <v>0.977143616724447</v>
      </c>
      <c r="O248">
        <f t="shared" si="63"/>
        <v>0</v>
      </c>
      <c r="P248">
        <f t="shared" si="64"/>
        <v>0</v>
      </c>
      <c r="Q248">
        <f t="shared" si="65"/>
        <v>0</v>
      </c>
      <c r="R248">
        <f t="shared" si="66"/>
        <v>1.17716052099468</v>
      </c>
      <c r="S248">
        <f t="shared" si="67"/>
        <v>0</v>
      </c>
      <c r="T248">
        <f t="shared" si="68"/>
        <v>0</v>
      </c>
      <c r="U248" s="52">
        <f t="shared" si="69"/>
        <v>0</v>
      </c>
      <c r="V248">
        <f t="shared" si="70"/>
        <v>112.965111</v>
      </c>
      <c r="W248">
        <f t="shared" si="71"/>
        <v>0</v>
      </c>
      <c r="X248">
        <f t="shared" si="72"/>
        <v>0</v>
      </c>
      <c r="Y248">
        <f t="shared" si="73"/>
        <v>0</v>
      </c>
      <c r="Z248">
        <f t="shared" si="74"/>
        <v>166.889999</v>
      </c>
      <c r="AA248">
        <f t="shared" si="75"/>
        <v>0</v>
      </c>
      <c r="AB248">
        <f t="shared" si="76"/>
        <v>0</v>
      </c>
      <c r="AC248">
        <f t="shared" si="77"/>
        <v>0</v>
      </c>
    </row>
    <row r="249" spans="2:29">
      <c r="B249" s="5">
        <v>230</v>
      </c>
      <c r="C249" s="6">
        <v>114.881805</v>
      </c>
      <c r="D249" s="6">
        <v>171.550003</v>
      </c>
      <c r="E249" s="42">
        <v>0.35</v>
      </c>
      <c r="F249">
        <f t="shared" si="78"/>
        <v>113.600254350871</v>
      </c>
      <c r="G249">
        <f t="shared" si="79"/>
        <v>166.124844661353</v>
      </c>
      <c r="L249">
        <f t="shared" si="80"/>
        <v>1.28155064912912</v>
      </c>
      <c r="M249">
        <f t="shared" si="81"/>
        <v>5.42515833864655</v>
      </c>
      <c r="N249" s="47">
        <f t="shared" si="62"/>
        <v>0</v>
      </c>
      <c r="O249">
        <f t="shared" si="63"/>
        <v>1.28155064912912</v>
      </c>
      <c r="P249">
        <f t="shared" si="64"/>
        <v>0</v>
      </c>
      <c r="Q249">
        <f t="shared" si="65"/>
        <v>0</v>
      </c>
      <c r="R249">
        <f t="shared" si="66"/>
        <v>0</v>
      </c>
      <c r="S249">
        <f t="shared" si="67"/>
        <v>5.42515833864655</v>
      </c>
      <c r="T249">
        <f t="shared" si="68"/>
        <v>0</v>
      </c>
      <c r="U249" s="52">
        <f t="shared" si="69"/>
        <v>0</v>
      </c>
      <c r="V249">
        <f t="shared" si="70"/>
        <v>0</v>
      </c>
      <c r="W249">
        <f t="shared" si="71"/>
        <v>114.881805</v>
      </c>
      <c r="X249">
        <f t="shared" si="72"/>
        <v>0</v>
      </c>
      <c r="Y249">
        <f t="shared" si="73"/>
        <v>0</v>
      </c>
      <c r="Z249">
        <f t="shared" si="74"/>
        <v>0</v>
      </c>
      <c r="AA249">
        <f t="shared" si="75"/>
        <v>171.550003</v>
      </c>
      <c r="AB249">
        <f t="shared" si="76"/>
        <v>0</v>
      </c>
      <c r="AC249">
        <f t="shared" si="77"/>
        <v>0</v>
      </c>
    </row>
    <row r="250" spans="2:29">
      <c r="B250" s="5">
        <v>231</v>
      </c>
      <c r="C250" s="6">
        <v>114.771988</v>
      </c>
      <c r="D250" s="6">
        <v>173.779999</v>
      </c>
      <c r="E250" s="42">
        <v>0.55</v>
      </c>
      <c r="F250">
        <f t="shared" si="78"/>
        <v>114.305107207892</v>
      </c>
      <c r="G250">
        <f t="shared" si="79"/>
        <v>169.108681747609</v>
      </c>
      <c r="L250">
        <f t="shared" si="80"/>
        <v>0.4668807921081</v>
      </c>
      <c r="M250">
        <f t="shared" si="81"/>
        <v>4.67131725239093</v>
      </c>
      <c r="N250" s="47">
        <f t="shared" si="62"/>
        <v>0</v>
      </c>
      <c r="O250">
        <f t="shared" si="63"/>
        <v>0</v>
      </c>
      <c r="P250">
        <f t="shared" si="64"/>
        <v>0.4668807921081</v>
      </c>
      <c r="Q250">
        <f t="shared" si="65"/>
        <v>0</v>
      </c>
      <c r="R250">
        <f t="shared" si="66"/>
        <v>0</v>
      </c>
      <c r="S250">
        <f t="shared" si="67"/>
        <v>0</v>
      </c>
      <c r="T250">
        <f t="shared" si="68"/>
        <v>4.67131725239093</v>
      </c>
      <c r="U250" s="52">
        <f t="shared" si="69"/>
        <v>0</v>
      </c>
      <c r="V250">
        <f t="shared" si="70"/>
        <v>0</v>
      </c>
      <c r="W250">
        <f t="shared" si="71"/>
        <v>0</v>
      </c>
      <c r="X250">
        <f t="shared" si="72"/>
        <v>114.771988</v>
      </c>
      <c r="Y250">
        <f t="shared" si="73"/>
        <v>0</v>
      </c>
      <c r="Z250">
        <f t="shared" si="74"/>
        <v>0</v>
      </c>
      <c r="AA250">
        <f t="shared" si="75"/>
        <v>0</v>
      </c>
      <c r="AB250">
        <f t="shared" si="76"/>
        <v>173.779999</v>
      </c>
      <c r="AC250">
        <f t="shared" si="77"/>
        <v>0</v>
      </c>
    </row>
    <row r="251" spans="2:29">
      <c r="B251" s="5">
        <v>232</v>
      </c>
      <c r="C251" s="6">
        <v>116.768547</v>
      </c>
      <c r="D251" s="6">
        <v>174.380005</v>
      </c>
      <c r="E251" s="42">
        <v>0.75</v>
      </c>
      <c r="F251">
        <f t="shared" si="78"/>
        <v>114.655267801973</v>
      </c>
      <c r="G251">
        <f t="shared" si="79"/>
        <v>172.612169686902</v>
      </c>
      <c r="L251">
        <f t="shared" si="80"/>
        <v>2.11327919802703</v>
      </c>
      <c r="M251">
        <f t="shared" si="81"/>
        <v>1.76783531309772</v>
      </c>
      <c r="N251" s="47">
        <f t="shared" si="62"/>
        <v>0</v>
      </c>
      <c r="O251">
        <f t="shared" si="63"/>
        <v>0</v>
      </c>
      <c r="P251">
        <f t="shared" si="64"/>
        <v>0</v>
      </c>
      <c r="Q251">
        <f t="shared" si="65"/>
        <v>2.11327919802703</v>
      </c>
      <c r="R251">
        <f t="shared" si="66"/>
        <v>0</v>
      </c>
      <c r="S251">
        <f t="shared" si="67"/>
        <v>0</v>
      </c>
      <c r="T251">
        <f t="shared" si="68"/>
        <v>0</v>
      </c>
      <c r="U251" s="52">
        <f t="shared" si="69"/>
        <v>1.76783531309772</v>
      </c>
      <c r="V251">
        <f t="shared" si="70"/>
        <v>0</v>
      </c>
      <c r="W251">
        <f t="shared" si="71"/>
        <v>0</v>
      </c>
      <c r="X251">
        <f t="shared" si="72"/>
        <v>0</v>
      </c>
      <c r="Y251">
        <f t="shared" si="73"/>
        <v>116.768547</v>
      </c>
      <c r="Z251">
        <f t="shared" si="74"/>
        <v>0</v>
      </c>
      <c r="AA251">
        <f t="shared" si="75"/>
        <v>0</v>
      </c>
      <c r="AB251">
        <f t="shared" si="76"/>
        <v>0</v>
      </c>
      <c r="AC251">
        <f t="shared" si="77"/>
        <v>174.380005</v>
      </c>
    </row>
    <row r="252" spans="2:29">
      <c r="B252" s="5">
        <v>233</v>
      </c>
      <c r="C252" s="6">
        <v>124.185753</v>
      </c>
      <c r="D252" s="6">
        <v>175.360001</v>
      </c>
      <c r="E252" s="42">
        <v>0.15</v>
      </c>
      <c r="F252">
        <f t="shared" si="78"/>
        <v>114.972259681677</v>
      </c>
      <c r="G252">
        <f t="shared" si="79"/>
        <v>172.877344983867</v>
      </c>
      <c r="L252">
        <f t="shared" si="80"/>
        <v>9.21349331832299</v>
      </c>
      <c r="M252">
        <f t="shared" si="81"/>
        <v>2.48265601613306</v>
      </c>
      <c r="N252" s="47">
        <f t="shared" si="62"/>
        <v>9.21349331832299</v>
      </c>
      <c r="O252">
        <f t="shared" si="63"/>
        <v>0</v>
      </c>
      <c r="P252">
        <f t="shared" si="64"/>
        <v>0</v>
      </c>
      <c r="Q252">
        <f t="shared" si="65"/>
        <v>0</v>
      </c>
      <c r="R252">
        <f t="shared" si="66"/>
        <v>2.48265601613306</v>
      </c>
      <c r="S252">
        <f t="shared" si="67"/>
        <v>0</v>
      </c>
      <c r="T252">
        <f t="shared" si="68"/>
        <v>0</v>
      </c>
      <c r="U252" s="52">
        <f t="shared" si="69"/>
        <v>0</v>
      </c>
      <c r="V252">
        <f t="shared" si="70"/>
        <v>124.185753</v>
      </c>
      <c r="W252">
        <f t="shared" si="71"/>
        <v>0</v>
      </c>
      <c r="X252">
        <f t="shared" si="72"/>
        <v>0</v>
      </c>
      <c r="Y252">
        <f t="shared" si="73"/>
        <v>0</v>
      </c>
      <c r="Z252">
        <f t="shared" si="74"/>
        <v>175.360001</v>
      </c>
      <c r="AA252">
        <f t="shared" si="75"/>
        <v>0</v>
      </c>
      <c r="AB252">
        <f t="shared" si="76"/>
        <v>0</v>
      </c>
      <c r="AC252">
        <f t="shared" si="77"/>
        <v>0</v>
      </c>
    </row>
    <row r="253" spans="2:29">
      <c r="B253" s="5">
        <v>234</v>
      </c>
      <c r="C253" s="6">
        <v>120.891434</v>
      </c>
      <c r="D253" s="6">
        <v>171.550003</v>
      </c>
      <c r="E253" s="42">
        <v>0.35</v>
      </c>
      <c r="F253">
        <f t="shared" si="78"/>
        <v>118.19698234309</v>
      </c>
      <c r="G253">
        <f t="shared" si="79"/>
        <v>173.746274589514</v>
      </c>
      <c r="L253">
        <f t="shared" si="80"/>
        <v>2.69445165690993</v>
      </c>
      <c r="M253">
        <f t="shared" si="81"/>
        <v>2.19627158951351</v>
      </c>
      <c r="N253" s="47">
        <f t="shared" si="62"/>
        <v>0</v>
      </c>
      <c r="O253">
        <f t="shared" si="63"/>
        <v>2.69445165690993</v>
      </c>
      <c r="P253">
        <f t="shared" si="64"/>
        <v>0</v>
      </c>
      <c r="Q253">
        <f t="shared" si="65"/>
        <v>0</v>
      </c>
      <c r="R253">
        <f t="shared" si="66"/>
        <v>0</v>
      </c>
      <c r="S253">
        <f t="shared" si="67"/>
        <v>2.19627158951351</v>
      </c>
      <c r="T253">
        <f t="shared" si="68"/>
        <v>0</v>
      </c>
      <c r="U253" s="52">
        <f t="shared" si="69"/>
        <v>0</v>
      </c>
      <c r="V253">
        <f t="shared" si="70"/>
        <v>0</v>
      </c>
      <c r="W253">
        <f t="shared" si="71"/>
        <v>120.891434</v>
      </c>
      <c r="X253">
        <f t="shared" si="72"/>
        <v>0</v>
      </c>
      <c r="Y253">
        <f t="shared" si="73"/>
        <v>0</v>
      </c>
      <c r="Z253">
        <f t="shared" si="74"/>
        <v>0</v>
      </c>
      <c r="AA253">
        <f t="shared" si="75"/>
        <v>171.550003</v>
      </c>
      <c r="AB253">
        <f t="shared" si="76"/>
        <v>0</v>
      </c>
      <c r="AC253">
        <f t="shared" si="77"/>
        <v>0</v>
      </c>
    </row>
    <row r="254" spans="2:29">
      <c r="B254" s="5">
        <v>235</v>
      </c>
      <c r="C254" s="6">
        <v>120.981277</v>
      </c>
      <c r="D254" s="6">
        <v>173.470001</v>
      </c>
      <c r="E254" s="42">
        <v>0.55</v>
      </c>
      <c r="F254">
        <f t="shared" si="78"/>
        <v>119.678930754391</v>
      </c>
      <c r="G254">
        <f t="shared" si="79"/>
        <v>172.538325215281</v>
      </c>
      <c r="L254">
        <f t="shared" si="80"/>
        <v>1.30234624560947</v>
      </c>
      <c r="M254">
        <f t="shared" si="81"/>
        <v>0.931675784718919</v>
      </c>
      <c r="N254" s="47">
        <f t="shared" si="62"/>
        <v>0</v>
      </c>
      <c r="O254">
        <f t="shared" si="63"/>
        <v>0</v>
      </c>
      <c r="P254">
        <f t="shared" si="64"/>
        <v>1.30234624560947</v>
      </c>
      <c r="Q254">
        <f t="shared" si="65"/>
        <v>0</v>
      </c>
      <c r="R254">
        <f t="shared" si="66"/>
        <v>0</v>
      </c>
      <c r="S254">
        <f t="shared" si="67"/>
        <v>0</v>
      </c>
      <c r="T254">
        <f t="shared" si="68"/>
        <v>0.931675784718919</v>
      </c>
      <c r="U254" s="52">
        <f t="shared" si="69"/>
        <v>0</v>
      </c>
      <c r="V254">
        <f t="shared" si="70"/>
        <v>0</v>
      </c>
      <c r="W254">
        <f t="shared" si="71"/>
        <v>0</v>
      </c>
      <c r="X254">
        <f t="shared" si="72"/>
        <v>120.981277</v>
      </c>
      <c r="Y254">
        <f t="shared" si="73"/>
        <v>0</v>
      </c>
      <c r="Z254">
        <f t="shared" si="74"/>
        <v>0</v>
      </c>
      <c r="AA254">
        <f t="shared" si="75"/>
        <v>0</v>
      </c>
      <c r="AB254">
        <f t="shared" si="76"/>
        <v>173.470001</v>
      </c>
      <c r="AC254">
        <f t="shared" si="77"/>
        <v>0</v>
      </c>
    </row>
    <row r="255" spans="2:29">
      <c r="B255" s="5">
        <v>236</v>
      </c>
      <c r="C255" s="6">
        <v>120.502106</v>
      </c>
      <c r="D255" s="6">
        <v>172.610001</v>
      </c>
      <c r="E255" s="42">
        <v>0.75</v>
      </c>
      <c r="F255">
        <f t="shared" si="78"/>
        <v>120.655690438598</v>
      </c>
      <c r="G255">
        <f t="shared" si="79"/>
        <v>173.23708205382</v>
      </c>
      <c r="L255">
        <f t="shared" si="80"/>
        <v>0.153584438597647</v>
      </c>
      <c r="M255">
        <f t="shared" si="81"/>
        <v>0.627081053820234</v>
      </c>
      <c r="N255" s="47">
        <f t="shared" si="62"/>
        <v>0</v>
      </c>
      <c r="O255">
        <f t="shared" si="63"/>
        <v>0</v>
      </c>
      <c r="P255">
        <f t="shared" si="64"/>
        <v>0</v>
      </c>
      <c r="Q255">
        <f t="shared" si="65"/>
        <v>0.153584438597647</v>
      </c>
      <c r="R255">
        <f t="shared" si="66"/>
        <v>0</v>
      </c>
      <c r="S255">
        <f t="shared" si="67"/>
        <v>0</v>
      </c>
      <c r="T255">
        <f t="shared" si="68"/>
        <v>0</v>
      </c>
      <c r="U255" s="52">
        <f t="shared" si="69"/>
        <v>0.627081053820234</v>
      </c>
      <c r="V255">
        <f t="shared" si="70"/>
        <v>0</v>
      </c>
      <c r="W255">
        <f t="shared" si="71"/>
        <v>0</v>
      </c>
      <c r="X255">
        <f t="shared" si="72"/>
        <v>0</v>
      </c>
      <c r="Y255">
        <f t="shared" si="73"/>
        <v>120.502106</v>
      </c>
      <c r="Z255">
        <f t="shared" si="74"/>
        <v>0</v>
      </c>
      <c r="AA255">
        <f t="shared" si="75"/>
        <v>0</v>
      </c>
      <c r="AB255">
        <f t="shared" si="76"/>
        <v>0</v>
      </c>
      <c r="AC255">
        <f t="shared" si="77"/>
        <v>172.610001</v>
      </c>
    </row>
    <row r="256" spans="2:29">
      <c r="B256" s="5">
        <v>237</v>
      </c>
      <c r="C256" s="6">
        <v>118.81501</v>
      </c>
      <c r="D256" s="6">
        <v>174.860001</v>
      </c>
      <c r="E256" s="42">
        <v>0.15</v>
      </c>
      <c r="F256">
        <f t="shared" si="78"/>
        <v>120.632652772808</v>
      </c>
      <c r="G256">
        <f t="shared" si="79"/>
        <v>173.143019895747</v>
      </c>
      <c r="L256">
        <f t="shared" si="80"/>
        <v>1.817642772808</v>
      </c>
      <c r="M256">
        <f t="shared" si="81"/>
        <v>1.7169811042528</v>
      </c>
      <c r="N256" s="47">
        <f t="shared" si="62"/>
        <v>1.817642772808</v>
      </c>
      <c r="O256">
        <f t="shared" si="63"/>
        <v>0</v>
      </c>
      <c r="P256">
        <f t="shared" si="64"/>
        <v>0</v>
      </c>
      <c r="Q256">
        <f t="shared" si="65"/>
        <v>0</v>
      </c>
      <c r="R256">
        <f t="shared" si="66"/>
        <v>1.7169811042528</v>
      </c>
      <c r="S256">
        <f t="shared" si="67"/>
        <v>0</v>
      </c>
      <c r="T256">
        <f t="shared" si="68"/>
        <v>0</v>
      </c>
      <c r="U256" s="52">
        <f t="shared" si="69"/>
        <v>0</v>
      </c>
      <c r="V256">
        <f t="shared" si="70"/>
        <v>118.81501</v>
      </c>
      <c r="W256">
        <f t="shared" si="71"/>
        <v>0</v>
      </c>
      <c r="X256">
        <f t="shared" si="72"/>
        <v>0</v>
      </c>
      <c r="Y256">
        <f t="shared" si="73"/>
        <v>0</v>
      </c>
      <c r="Z256">
        <f t="shared" si="74"/>
        <v>174.860001</v>
      </c>
      <c r="AA256">
        <f t="shared" si="75"/>
        <v>0</v>
      </c>
      <c r="AB256">
        <f t="shared" si="76"/>
        <v>0</v>
      </c>
      <c r="AC256">
        <f t="shared" si="77"/>
        <v>0</v>
      </c>
    </row>
    <row r="257" spans="2:29">
      <c r="B257" s="5">
        <v>238</v>
      </c>
      <c r="C257" s="6">
        <v>115.780251</v>
      </c>
      <c r="D257" s="6">
        <v>171.589996</v>
      </c>
      <c r="E257" s="42">
        <v>0.35</v>
      </c>
      <c r="F257">
        <f t="shared" si="78"/>
        <v>119.996477802325</v>
      </c>
      <c r="G257">
        <f t="shared" si="79"/>
        <v>173.743963282236</v>
      </c>
      <c r="L257">
        <f t="shared" si="80"/>
        <v>4.21622680232521</v>
      </c>
      <c r="M257">
        <f t="shared" si="81"/>
        <v>2.1539672822357</v>
      </c>
      <c r="N257" s="47">
        <f t="shared" si="62"/>
        <v>0</v>
      </c>
      <c r="O257">
        <f t="shared" si="63"/>
        <v>4.21622680232521</v>
      </c>
      <c r="P257">
        <f t="shared" si="64"/>
        <v>0</v>
      </c>
      <c r="Q257">
        <f t="shared" si="65"/>
        <v>0</v>
      </c>
      <c r="R257">
        <f t="shared" si="66"/>
        <v>0</v>
      </c>
      <c r="S257">
        <f t="shared" si="67"/>
        <v>2.1539672822357</v>
      </c>
      <c r="T257">
        <f t="shared" si="68"/>
        <v>0</v>
      </c>
      <c r="U257" s="52">
        <f t="shared" si="69"/>
        <v>0</v>
      </c>
      <c r="V257">
        <f t="shared" si="70"/>
        <v>0</v>
      </c>
      <c r="W257">
        <f t="shared" si="71"/>
        <v>115.780251</v>
      </c>
      <c r="X257">
        <f t="shared" si="72"/>
        <v>0</v>
      </c>
      <c r="Y257">
        <f t="shared" si="73"/>
        <v>0</v>
      </c>
      <c r="Z257">
        <f t="shared" si="74"/>
        <v>0</v>
      </c>
      <c r="AA257">
        <f t="shared" si="75"/>
        <v>171.589996</v>
      </c>
      <c r="AB257">
        <f t="shared" si="76"/>
        <v>0</v>
      </c>
      <c r="AC257">
        <f t="shared" si="77"/>
        <v>0</v>
      </c>
    </row>
    <row r="258" spans="2:29">
      <c r="B258" s="5">
        <v>239</v>
      </c>
      <c r="C258" s="6">
        <v>117.307617</v>
      </c>
      <c r="D258" s="6">
        <v>173.259995</v>
      </c>
      <c r="E258" s="42">
        <v>0.55</v>
      </c>
      <c r="F258">
        <f t="shared" si="78"/>
        <v>117.677553061046</v>
      </c>
      <c r="G258">
        <f t="shared" si="79"/>
        <v>172.559281277006</v>
      </c>
      <c r="L258">
        <f t="shared" si="80"/>
        <v>0.36993606104636</v>
      </c>
      <c r="M258">
        <f t="shared" si="81"/>
        <v>0.700713722993925</v>
      </c>
      <c r="N258" s="47">
        <f t="shared" si="62"/>
        <v>0</v>
      </c>
      <c r="O258">
        <f t="shared" si="63"/>
        <v>0</v>
      </c>
      <c r="P258">
        <f t="shared" si="64"/>
        <v>0.36993606104636</v>
      </c>
      <c r="Q258">
        <f t="shared" si="65"/>
        <v>0</v>
      </c>
      <c r="R258">
        <f t="shared" si="66"/>
        <v>0</v>
      </c>
      <c r="S258">
        <f t="shared" si="67"/>
        <v>0</v>
      </c>
      <c r="T258">
        <f t="shared" si="68"/>
        <v>0.700713722993925</v>
      </c>
      <c r="U258" s="52">
        <f t="shared" si="69"/>
        <v>0</v>
      </c>
      <c r="V258">
        <f t="shared" si="70"/>
        <v>0</v>
      </c>
      <c r="W258">
        <f t="shared" si="71"/>
        <v>0</v>
      </c>
      <c r="X258">
        <f t="shared" si="72"/>
        <v>117.307617</v>
      </c>
      <c r="Y258">
        <f t="shared" si="73"/>
        <v>0</v>
      </c>
      <c r="Z258">
        <f t="shared" si="74"/>
        <v>0</v>
      </c>
      <c r="AA258">
        <f t="shared" si="75"/>
        <v>0</v>
      </c>
      <c r="AB258">
        <f t="shared" si="76"/>
        <v>173.259995</v>
      </c>
      <c r="AC258">
        <f t="shared" si="77"/>
        <v>0</v>
      </c>
    </row>
    <row r="259" spans="2:29">
      <c r="B259" s="5">
        <v>240</v>
      </c>
      <c r="C259" s="6">
        <v>116.668724</v>
      </c>
      <c r="D259" s="6">
        <v>172.869995</v>
      </c>
      <c r="E259" s="42">
        <v>0.75</v>
      </c>
      <c r="F259">
        <f t="shared" si="78"/>
        <v>117.400101015262</v>
      </c>
      <c r="G259">
        <f t="shared" si="79"/>
        <v>173.084816569252</v>
      </c>
      <c r="L259">
        <f t="shared" si="80"/>
        <v>0.731377015261586</v>
      </c>
      <c r="M259">
        <f t="shared" si="81"/>
        <v>0.214821569251541</v>
      </c>
      <c r="N259" s="47">
        <f t="shared" si="62"/>
        <v>0</v>
      </c>
      <c r="O259">
        <f t="shared" si="63"/>
        <v>0</v>
      </c>
      <c r="P259">
        <f t="shared" si="64"/>
        <v>0</v>
      </c>
      <c r="Q259">
        <f t="shared" si="65"/>
        <v>0.731377015261586</v>
      </c>
      <c r="R259">
        <f t="shared" si="66"/>
        <v>0</v>
      </c>
      <c r="S259">
        <f t="shared" si="67"/>
        <v>0</v>
      </c>
      <c r="T259">
        <f t="shared" si="68"/>
        <v>0</v>
      </c>
      <c r="U259" s="52">
        <f t="shared" si="69"/>
        <v>0.214821569251541</v>
      </c>
      <c r="V259">
        <f t="shared" si="70"/>
        <v>0</v>
      </c>
      <c r="W259">
        <f t="shared" si="71"/>
        <v>0</v>
      </c>
      <c r="X259">
        <f t="shared" si="72"/>
        <v>0</v>
      </c>
      <c r="Y259">
        <f t="shared" si="73"/>
        <v>116.668724</v>
      </c>
      <c r="Z259">
        <f t="shared" si="74"/>
        <v>0</v>
      </c>
      <c r="AA259">
        <f t="shared" si="75"/>
        <v>0</v>
      </c>
      <c r="AB259">
        <f t="shared" si="76"/>
        <v>0</v>
      </c>
      <c r="AC259">
        <f t="shared" si="77"/>
        <v>172.869995</v>
      </c>
    </row>
    <row r="260" spans="2:29">
      <c r="B260" s="5">
        <v>241</v>
      </c>
      <c r="C260" s="6">
        <v>115.550644</v>
      </c>
      <c r="D260" s="6">
        <v>176.850006</v>
      </c>
      <c r="E260" s="42">
        <v>0.15</v>
      </c>
      <c r="F260">
        <f t="shared" si="78"/>
        <v>117.290394462972</v>
      </c>
      <c r="G260">
        <f t="shared" si="79"/>
        <v>173.052593333864</v>
      </c>
      <c r="L260">
        <f t="shared" si="80"/>
        <v>1.73975046297234</v>
      </c>
      <c r="M260">
        <f t="shared" si="81"/>
        <v>3.79741266613621</v>
      </c>
      <c r="N260" s="47">
        <f t="shared" si="62"/>
        <v>1.73975046297234</v>
      </c>
      <c r="O260">
        <f t="shared" si="63"/>
        <v>0</v>
      </c>
      <c r="P260">
        <f t="shared" si="64"/>
        <v>0</v>
      </c>
      <c r="Q260">
        <f t="shared" si="65"/>
        <v>0</v>
      </c>
      <c r="R260">
        <f t="shared" si="66"/>
        <v>3.79741266613621</v>
      </c>
      <c r="S260">
        <f t="shared" si="67"/>
        <v>0</v>
      </c>
      <c r="T260">
        <f t="shared" si="68"/>
        <v>0</v>
      </c>
      <c r="U260" s="52">
        <f t="shared" si="69"/>
        <v>0</v>
      </c>
      <c r="V260">
        <f t="shared" si="70"/>
        <v>115.550644</v>
      </c>
      <c r="W260">
        <f t="shared" si="71"/>
        <v>0</v>
      </c>
      <c r="X260">
        <f t="shared" si="72"/>
        <v>0</v>
      </c>
      <c r="Y260">
        <f t="shared" si="73"/>
        <v>0</v>
      </c>
      <c r="Z260">
        <f t="shared" si="74"/>
        <v>176.850006</v>
      </c>
      <c r="AA260">
        <f t="shared" si="75"/>
        <v>0</v>
      </c>
      <c r="AB260">
        <f t="shared" si="76"/>
        <v>0</v>
      </c>
      <c r="AC260">
        <f t="shared" si="77"/>
        <v>0</v>
      </c>
    </row>
    <row r="261" spans="2:29">
      <c r="B261" s="5">
        <v>242</v>
      </c>
      <c r="C261" s="6">
        <v>114.841873</v>
      </c>
      <c r="D261" s="6">
        <v>175.539993</v>
      </c>
      <c r="E261" s="42">
        <v>0.35</v>
      </c>
      <c r="F261">
        <f t="shared" si="78"/>
        <v>116.681481800932</v>
      </c>
      <c r="G261">
        <f t="shared" si="79"/>
        <v>174.381687767011</v>
      </c>
      <c r="L261">
        <f t="shared" si="80"/>
        <v>1.83960880093203</v>
      </c>
      <c r="M261">
        <f t="shared" si="81"/>
        <v>1.15830523298854</v>
      </c>
      <c r="N261" s="47">
        <f t="shared" si="62"/>
        <v>0</v>
      </c>
      <c r="O261">
        <f t="shared" si="63"/>
        <v>1.83960880093203</v>
      </c>
      <c r="P261">
        <f t="shared" si="64"/>
        <v>0</v>
      </c>
      <c r="Q261">
        <f t="shared" si="65"/>
        <v>0</v>
      </c>
      <c r="R261">
        <f t="shared" si="66"/>
        <v>0</v>
      </c>
      <c r="S261">
        <f t="shared" si="67"/>
        <v>1.15830523298854</v>
      </c>
      <c r="T261">
        <f t="shared" si="68"/>
        <v>0</v>
      </c>
      <c r="U261" s="52">
        <f t="shared" si="69"/>
        <v>0</v>
      </c>
      <c r="V261">
        <f t="shared" si="70"/>
        <v>0</v>
      </c>
      <c r="W261">
        <f t="shared" si="71"/>
        <v>114.841873</v>
      </c>
      <c r="X261">
        <f t="shared" si="72"/>
        <v>0</v>
      </c>
      <c r="Y261">
        <f t="shared" si="73"/>
        <v>0</v>
      </c>
      <c r="Z261">
        <f t="shared" si="74"/>
        <v>0</v>
      </c>
      <c r="AA261">
        <f t="shared" si="75"/>
        <v>175.539993</v>
      </c>
      <c r="AB261">
        <f t="shared" si="76"/>
        <v>0</v>
      </c>
      <c r="AC261">
        <f t="shared" si="77"/>
        <v>0</v>
      </c>
    </row>
    <row r="262" spans="2:29">
      <c r="B262" s="5">
        <v>243</v>
      </c>
      <c r="C262" s="6">
        <v>114.851852</v>
      </c>
      <c r="D262" s="6">
        <v>170.169998</v>
      </c>
      <c r="E262" s="42">
        <v>0.55</v>
      </c>
      <c r="F262">
        <f t="shared" si="78"/>
        <v>115.669696960419</v>
      </c>
      <c r="G262">
        <f t="shared" si="79"/>
        <v>175.018755645155</v>
      </c>
      <c r="L262">
        <f t="shared" si="80"/>
        <v>0.817844960419436</v>
      </c>
      <c r="M262">
        <f t="shared" si="81"/>
        <v>4.84875764515519</v>
      </c>
      <c r="N262" s="47">
        <f t="shared" si="62"/>
        <v>0</v>
      </c>
      <c r="O262">
        <f t="shared" si="63"/>
        <v>0</v>
      </c>
      <c r="P262">
        <f t="shared" si="64"/>
        <v>0.817844960419436</v>
      </c>
      <c r="Q262">
        <f t="shared" si="65"/>
        <v>0</v>
      </c>
      <c r="R262">
        <f t="shared" si="66"/>
        <v>0</v>
      </c>
      <c r="S262">
        <f t="shared" si="67"/>
        <v>0</v>
      </c>
      <c r="T262">
        <f t="shared" si="68"/>
        <v>4.84875764515519</v>
      </c>
      <c r="U262" s="52">
        <f t="shared" si="69"/>
        <v>0</v>
      </c>
      <c r="V262">
        <f t="shared" si="70"/>
        <v>0</v>
      </c>
      <c r="W262">
        <f t="shared" si="71"/>
        <v>0</v>
      </c>
      <c r="X262">
        <f t="shared" si="72"/>
        <v>114.851852</v>
      </c>
      <c r="Y262">
        <f t="shared" si="73"/>
        <v>0</v>
      </c>
      <c r="Z262">
        <f t="shared" si="74"/>
        <v>0</v>
      </c>
      <c r="AA262">
        <f t="shared" si="75"/>
        <v>0</v>
      </c>
      <c r="AB262">
        <f t="shared" si="76"/>
        <v>170.169998</v>
      </c>
      <c r="AC262">
        <f t="shared" si="77"/>
        <v>0</v>
      </c>
    </row>
    <row r="263" spans="2:29">
      <c r="B263" s="5">
        <v>244</v>
      </c>
      <c r="C263" s="6">
        <v>116.399178</v>
      </c>
      <c r="D263" s="6">
        <v>166.75</v>
      </c>
      <c r="E263" s="42">
        <v>0.75</v>
      </c>
      <c r="F263">
        <f t="shared" si="78"/>
        <v>115.056313240105</v>
      </c>
      <c r="G263">
        <f t="shared" si="79"/>
        <v>171.382187411289</v>
      </c>
      <c r="L263">
        <f t="shared" si="80"/>
        <v>1.34286475989515</v>
      </c>
      <c r="M263">
        <f t="shared" si="81"/>
        <v>4.63218741128878</v>
      </c>
      <c r="N263" s="47">
        <f t="shared" si="62"/>
        <v>0</v>
      </c>
      <c r="O263">
        <f t="shared" si="63"/>
        <v>0</v>
      </c>
      <c r="P263">
        <f t="shared" si="64"/>
        <v>0</v>
      </c>
      <c r="Q263">
        <f t="shared" si="65"/>
        <v>1.34286475989515</v>
      </c>
      <c r="R263">
        <f t="shared" si="66"/>
        <v>0</v>
      </c>
      <c r="S263">
        <f t="shared" si="67"/>
        <v>0</v>
      </c>
      <c r="T263">
        <f t="shared" si="68"/>
        <v>0</v>
      </c>
      <c r="U263" s="52">
        <f t="shared" si="69"/>
        <v>4.63218741128878</v>
      </c>
      <c r="V263">
        <f t="shared" si="70"/>
        <v>0</v>
      </c>
      <c r="W263">
        <f t="shared" si="71"/>
        <v>0</v>
      </c>
      <c r="X263">
        <f t="shared" si="72"/>
        <v>0</v>
      </c>
      <c r="Y263">
        <f t="shared" si="73"/>
        <v>116.399178</v>
      </c>
      <c r="Z263">
        <f t="shared" si="74"/>
        <v>0</v>
      </c>
      <c r="AA263">
        <f t="shared" si="75"/>
        <v>0</v>
      </c>
      <c r="AB263">
        <f t="shared" si="76"/>
        <v>0</v>
      </c>
      <c r="AC263">
        <f t="shared" si="77"/>
        <v>166.75</v>
      </c>
    </row>
    <row r="264" spans="2:29">
      <c r="B264" s="5">
        <v>245</v>
      </c>
      <c r="C264" s="6">
        <v>111.008476</v>
      </c>
      <c r="D264" s="6">
        <v>161.160004</v>
      </c>
      <c r="E264" s="42">
        <v>0.15</v>
      </c>
      <c r="F264">
        <f t="shared" si="78"/>
        <v>115.257742954089</v>
      </c>
      <c r="G264">
        <f t="shared" si="79"/>
        <v>170.687359299595</v>
      </c>
      <c r="L264">
        <f t="shared" si="80"/>
        <v>4.24926695408912</v>
      </c>
      <c r="M264">
        <f t="shared" si="81"/>
        <v>9.52735529959546</v>
      </c>
      <c r="N264" s="47">
        <f t="shared" si="62"/>
        <v>4.24926695408912</v>
      </c>
      <c r="O264">
        <f t="shared" si="63"/>
        <v>0</v>
      </c>
      <c r="P264">
        <f t="shared" si="64"/>
        <v>0</v>
      </c>
      <c r="Q264">
        <f t="shared" si="65"/>
        <v>0</v>
      </c>
      <c r="R264">
        <f t="shared" si="66"/>
        <v>9.52735529959546</v>
      </c>
      <c r="S264">
        <f t="shared" si="67"/>
        <v>0</v>
      </c>
      <c r="T264">
        <f t="shared" si="68"/>
        <v>0</v>
      </c>
      <c r="U264" s="52">
        <f t="shared" si="69"/>
        <v>0</v>
      </c>
      <c r="V264">
        <f t="shared" si="70"/>
        <v>111.008476</v>
      </c>
      <c r="W264">
        <f t="shared" si="71"/>
        <v>0</v>
      </c>
      <c r="X264">
        <f t="shared" si="72"/>
        <v>0</v>
      </c>
      <c r="Y264">
        <f t="shared" si="73"/>
        <v>0</v>
      </c>
      <c r="Z264">
        <f t="shared" si="74"/>
        <v>161.160004</v>
      </c>
      <c r="AA264">
        <f t="shared" si="75"/>
        <v>0</v>
      </c>
      <c r="AB264">
        <f t="shared" si="76"/>
        <v>0</v>
      </c>
      <c r="AC264">
        <f t="shared" si="77"/>
        <v>0</v>
      </c>
    </row>
    <row r="265" spans="2:29">
      <c r="B265" s="5">
        <v>246</v>
      </c>
      <c r="C265" s="6">
        <v>115.121384</v>
      </c>
      <c r="D265" s="6">
        <v>164.600006</v>
      </c>
      <c r="E265" s="42">
        <v>0.35</v>
      </c>
      <c r="F265">
        <f t="shared" si="78"/>
        <v>113.770499520158</v>
      </c>
      <c r="G265">
        <f t="shared" si="79"/>
        <v>167.352784944737</v>
      </c>
      <c r="L265">
        <f t="shared" si="80"/>
        <v>1.35088447984208</v>
      </c>
      <c r="M265">
        <f t="shared" si="81"/>
        <v>2.75277894473703</v>
      </c>
      <c r="N265" s="47">
        <f t="shared" si="62"/>
        <v>0</v>
      </c>
      <c r="O265">
        <f t="shared" si="63"/>
        <v>1.35088447984208</v>
      </c>
      <c r="P265">
        <f t="shared" si="64"/>
        <v>0</v>
      </c>
      <c r="Q265">
        <f t="shared" si="65"/>
        <v>0</v>
      </c>
      <c r="R265">
        <f t="shared" si="66"/>
        <v>0</v>
      </c>
      <c r="S265">
        <f t="shared" si="67"/>
        <v>2.75277894473703</v>
      </c>
      <c r="T265">
        <f t="shared" si="68"/>
        <v>0</v>
      </c>
      <c r="U265" s="52">
        <f t="shared" si="69"/>
        <v>0</v>
      </c>
      <c r="V265">
        <f t="shared" si="70"/>
        <v>0</v>
      </c>
      <c r="W265">
        <f t="shared" si="71"/>
        <v>115.121384</v>
      </c>
      <c r="X265">
        <f t="shared" si="72"/>
        <v>0</v>
      </c>
      <c r="Y265">
        <f t="shared" si="73"/>
        <v>0</v>
      </c>
      <c r="Z265">
        <f t="shared" si="74"/>
        <v>0</v>
      </c>
      <c r="AA265">
        <f t="shared" si="75"/>
        <v>164.600006</v>
      </c>
      <c r="AB265">
        <f t="shared" si="76"/>
        <v>0</v>
      </c>
      <c r="AC265">
        <f t="shared" si="77"/>
        <v>0</v>
      </c>
    </row>
    <row r="266" spans="2:29">
      <c r="B266" s="5">
        <v>247</v>
      </c>
      <c r="C266" s="6">
        <v>108.672516</v>
      </c>
      <c r="D266" s="6">
        <v>164.949997</v>
      </c>
      <c r="E266" s="42">
        <v>0.55</v>
      </c>
      <c r="F266">
        <f t="shared" si="78"/>
        <v>114.513485984071</v>
      </c>
      <c r="G266">
        <f t="shared" si="79"/>
        <v>165.838756525132</v>
      </c>
      <c r="L266">
        <f t="shared" si="80"/>
        <v>5.84096998407107</v>
      </c>
      <c r="M266">
        <f t="shared" si="81"/>
        <v>0.888759525131661</v>
      </c>
      <c r="N266" s="47">
        <f t="shared" si="62"/>
        <v>0</v>
      </c>
      <c r="O266">
        <f t="shared" si="63"/>
        <v>0</v>
      </c>
      <c r="P266">
        <f t="shared" si="64"/>
        <v>5.84096998407107</v>
      </c>
      <c r="Q266">
        <f t="shared" si="65"/>
        <v>0</v>
      </c>
      <c r="R266">
        <f t="shared" si="66"/>
        <v>0</v>
      </c>
      <c r="S266">
        <f t="shared" si="67"/>
        <v>0</v>
      </c>
      <c r="T266">
        <f t="shared" si="68"/>
        <v>0.888759525131661</v>
      </c>
      <c r="U266" s="52">
        <f t="shared" si="69"/>
        <v>0</v>
      </c>
      <c r="V266">
        <f t="shared" si="70"/>
        <v>0</v>
      </c>
      <c r="W266">
        <f t="shared" si="71"/>
        <v>0</v>
      </c>
      <c r="X266">
        <f t="shared" si="72"/>
        <v>108.672516</v>
      </c>
      <c r="Y266">
        <f t="shared" si="73"/>
        <v>0</v>
      </c>
      <c r="Z266">
        <f t="shared" si="74"/>
        <v>0</v>
      </c>
      <c r="AA266">
        <f t="shared" si="75"/>
        <v>0</v>
      </c>
      <c r="AB266">
        <f t="shared" si="76"/>
        <v>164.949997</v>
      </c>
      <c r="AC266">
        <f t="shared" si="77"/>
        <v>0</v>
      </c>
    </row>
    <row r="267" spans="2:29">
      <c r="B267" s="5">
        <v>248</v>
      </c>
      <c r="C267" s="6">
        <v>108.582664</v>
      </c>
      <c r="D267" s="6">
        <v>173.610001</v>
      </c>
      <c r="E267" s="42">
        <v>0.75</v>
      </c>
      <c r="F267">
        <f t="shared" si="78"/>
        <v>110.132758496018</v>
      </c>
      <c r="G267">
        <f t="shared" si="79"/>
        <v>165.172186881283</v>
      </c>
      <c r="L267">
        <f t="shared" si="80"/>
        <v>1.55009449601778</v>
      </c>
      <c r="M267">
        <f t="shared" si="81"/>
        <v>8.43781411871709</v>
      </c>
      <c r="N267" s="47">
        <f t="shared" si="62"/>
        <v>0</v>
      </c>
      <c r="O267">
        <f t="shared" si="63"/>
        <v>0</v>
      </c>
      <c r="P267">
        <f t="shared" si="64"/>
        <v>0</v>
      </c>
      <c r="Q267">
        <f t="shared" si="65"/>
        <v>1.55009449601778</v>
      </c>
      <c r="R267">
        <f t="shared" si="66"/>
        <v>0</v>
      </c>
      <c r="S267">
        <f t="shared" si="67"/>
        <v>0</v>
      </c>
      <c r="T267">
        <f t="shared" si="68"/>
        <v>0</v>
      </c>
      <c r="U267" s="52">
        <f t="shared" si="69"/>
        <v>8.43781411871709</v>
      </c>
      <c r="V267">
        <f t="shared" si="70"/>
        <v>0</v>
      </c>
      <c r="W267">
        <f t="shared" si="71"/>
        <v>0</v>
      </c>
      <c r="X267">
        <f t="shared" si="72"/>
        <v>0</v>
      </c>
      <c r="Y267">
        <f t="shared" si="73"/>
        <v>108.582664</v>
      </c>
      <c r="Z267">
        <f t="shared" si="74"/>
        <v>0</v>
      </c>
      <c r="AA267">
        <f t="shared" si="75"/>
        <v>0</v>
      </c>
      <c r="AB267">
        <f t="shared" si="76"/>
        <v>0</v>
      </c>
      <c r="AC267">
        <f t="shared" si="77"/>
        <v>173.610001</v>
      </c>
    </row>
    <row r="268" spans="2:29">
      <c r="B268" s="5">
        <v>249</v>
      </c>
      <c r="C268" s="6">
        <v>110.249794</v>
      </c>
      <c r="D268" s="6">
        <v>179.210007</v>
      </c>
      <c r="E268" s="42">
        <v>0.15</v>
      </c>
      <c r="F268">
        <f t="shared" si="78"/>
        <v>109.900244321615</v>
      </c>
      <c r="G268">
        <f t="shared" si="79"/>
        <v>166.43785899909</v>
      </c>
      <c r="L268">
        <f t="shared" si="80"/>
        <v>0.349549678384889</v>
      </c>
      <c r="M268">
        <f t="shared" si="81"/>
        <v>12.7721480009095</v>
      </c>
      <c r="N268" s="47">
        <f t="shared" si="62"/>
        <v>0.349549678384889</v>
      </c>
      <c r="O268">
        <f t="shared" si="63"/>
        <v>0</v>
      </c>
      <c r="P268">
        <f t="shared" si="64"/>
        <v>0</v>
      </c>
      <c r="Q268">
        <f t="shared" si="65"/>
        <v>0</v>
      </c>
      <c r="R268">
        <f t="shared" si="66"/>
        <v>12.7721480009095</v>
      </c>
      <c r="S268">
        <f t="shared" si="67"/>
        <v>0</v>
      </c>
      <c r="T268">
        <f t="shared" si="68"/>
        <v>0</v>
      </c>
      <c r="U268" s="52">
        <f t="shared" si="69"/>
        <v>0</v>
      </c>
      <c r="V268">
        <f t="shared" si="70"/>
        <v>110.249794</v>
      </c>
      <c r="W268">
        <f t="shared" si="71"/>
        <v>0</v>
      </c>
      <c r="X268">
        <f t="shared" si="72"/>
        <v>0</v>
      </c>
      <c r="Y268">
        <f t="shared" si="73"/>
        <v>0</v>
      </c>
      <c r="Z268">
        <f t="shared" si="74"/>
        <v>179.210007</v>
      </c>
      <c r="AA268">
        <f t="shared" si="75"/>
        <v>0</v>
      </c>
      <c r="AB268">
        <f t="shared" si="76"/>
        <v>0</v>
      </c>
      <c r="AC268">
        <f t="shared" si="77"/>
        <v>0</v>
      </c>
    </row>
    <row r="269" spans="2:29">
      <c r="B269" s="5">
        <v>250</v>
      </c>
      <c r="C269" s="6">
        <v>114.752022</v>
      </c>
      <c r="D269" s="6">
        <v>178.910004</v>
      </c>
      <c r="E269" s="42">
        <v>0.35</v>
      </c>
      <c r="F269">
        <f t="shared" si="78"/>
        <v>110.02258670905</v>
      </c>
      <c r="G269">
        <f t="shared" si="79"/>
        <v>170.908110799409</v>
      </c>
      <c r="L269">
        <f t="shared" si="80"/>
        <v>4.72943529095018</v>
      </c>
      <c r="M269">
        <f t="shared" si="81"/>
        <v>8.00189320059118</v>
      </c>
      <c r="N269" s="47">
        <f t="shared" si="62"/>
        <v>0</v>
      </c>
      <c r="O269">
        <f t="shared" si="63"/>
        <v>4.72943529095018</v>
      </c>
      <c r="P269">
        <f t="shared" si="64"/>
        <v>0</v>
      </c>
      <c r="Q269">
        <f t="shared" si="65"/>
        <v>0</v>
      </c>
      <c r="R269">
        <f t="shared" si="66"/>
        <v>0</v>
      </c>
      <c r="S269">
        <f t="shared" si="67"/>
        <v>8.00189320059118</v>
      </c>
      <c r="T269">
        <f t="shared" si="68"/>
        <v>0</v>
      </c>
      <c r="U269" s="52">
        <f t="shared" si="69"/>
        <v>0</v>
      </c>
      <c r="V269">
        <f t="shared" si="70"/>
        <v>0</v>
      </c>
      <c r="W269">
        <f t="shared" si="71"/>
        <v>114.752022</v>
      </c>
      <c r="X269">
        <f t="shared" si="72"/>
        <v>0</v>
      </c>
      <c r="Y269">
        <f t="shared" si="73"/>
        <v>0</v>
      </c>
      <c r="Z269">
        <f t="shared" si="74"/>
        <v>0</v>
      </c>
      <c r="AA269">
        <f t="shared" si="75"/>
        <v>178.910004</v>
      </c>
      <c r="AB269">
        <f t="shared" si="76"/>
        <v>0</v>
      </c>
      <c r="AC269">
        <f t="shared" si="77"/>
        <v>0</v>
      </c>
    </row>
    <row r="270" spans="2:29">
      <c r="B270" s="5">
        <v>251</v>
      </c>
      <c r="C270" s="6">
        <v>118.824997</v>
      </c>
      <c r="D270" s="6">
        <v>183.279999</v>
      </c>
      <c r="E270" s="42">
        <v>0.55</v>
      </c>
      <c r="F270">
        <f t="shared" si="78"/>
        <v>112.623776119072</v>
      </c>
      <c r="G270">
        <f t="shared" si="79"/>
        <v>175.309152059734</v>
      </c>
      <c r="L270">
        <f t="shared" si="80"/>
        <v>6.20122088092758</v>
      </c>
      <c r="M270">
        <f t="shared" si="81"/>
        <v>7.97084694026606</v>
      </c>
      <c r="N270" s="47">
        <f t="shared" si="62"/>
        <v>0</v>
      </c>
      <c r="O270">
        <f t="shared" si="63"/>
        <v>0</v>
      </c>
      <c r="P270">
        <f t="shared" si="64"/>
        <v>6.20122088092758</v>
      </c>
      <c r="Q270">
        <f t="shared" si="65"/>
        <v>0</v>
      </c>
      <c r="R270">
        <f t="shared" si="66"/>
        <v>0</v>
      </c>
      <c r="S270">
        <f t="shared" si="67"/>
        <v>0</v>
      </c>
      <c r="T270">
        <f t="shared" si="68"/>
        <v>7.97084694026606</v>
      </c>
      <c r="U270" s="52">
        <f t="shared" si="69"/>
        <v>0</v>
      </c>
      <c r="V270">
        <f t="shared" si="70"/>
        <v>0</v>
      </c>
      <c r="W270">
        <f t="shared" si="71"/>
        <v>0</v>
      </c>
      <c r="X270">
        <f t="shared" si="72"/>
        <v>118.824997</v>
      </c>
      <c r="Y270">
        <f t="shared" si="73"/>
        <v>0</v>
      </c>
      <c r="Z270">
        <f t="shared" si="74"/>
        <v>0</v>
      </c>
      <c r="AA270">
        <f t="shared" si="75"/>
        <v>0</v>
      </c>
      <c r="AB270">
        <f t="shared" si="76"/>
        <v>183.279999</v>
      </c>
      <c r="AC270">
        <f t="shared" si="77"/>
        <v>0</v>
      </c>
    </row>
    <row r="271" spans="2:29">
      <c r="B271" s="5">
        <v>252</v>
      </c>
      <c r="C271" s="6">
        <v>118.690002</v>
      </c>
      <c r="D271" s="6">
        <v>184.270004</v>
      </c>
      <c r="E271" s="42">
        <v>0.75</v>
      </c>
      <c r="F271">
        <f t="shared" si="78"/>
        <v>117.274691779768</v>
      </c>
      <c r="G271">
        <f t="shared" si="79"/>
        <v>181.287287264933</v>
      </c>
      <c r="L271">
        <f t="shared" si="80"/>
        <v>1.4153102202319</v>
      </c>
      <c r="M271">
        <f t="shared" si="81"/>
        <v>2.9827167350665</v>
      </c>
      <c r="N271" s="47">
        <f t="shared" si="62"/>
        <v>0</v>
      </c>
      <c r="O271">
        <f t="shared" si="63"/>
        <v>0</v>
      </c>
      <c r="P271">
        <f t="shared" si="64"/>
        <v>0</v>
      </c>
      <c r="Q271">
        <f t="shared" si="65"/>
        <v>1.4153102202319</v>
      </c>
      <c r="R271">
        <f t="shared" si="66"/>
        <v>0</v>
      </c>
      <c r="S271">
        <f t="shared" si="67"/>
        <v>0</v>
      </c>
      <c r="T271">
        <f t="shared" si="68"/>
        <v>0</v>
      </c>
      <c r="U271" s="52">
        <f t="shared" si="69"/>
        <v>2.9827167350665</v>
      </c>
      <c r="V271">
        <f t="shared" si="70"/>
        <v>0</v>
      </c>
      <c r="W271">
        <f t="shared" si="71"/>
        <v>0</v>
      </c>
      <c r="X271">
        <f t="shared" si="72"/>
        <v>0</v>
      </c>
      <c r="Y271">
        <f t="shared" si="73"/>
        <v>118.690002</v>
      </c>
      <c r="Z271">
        <f t="shared" si="74"/>
        <v>0</v>
      </c>
      <c r="AA271">
        <f t="shared" si="75"/>
        <v>0</v>
      </c>
      <c r="AB271">
        <f t="shared" si="76"/>
        <v>0</v>
      </c>
      <c r="AC271">
        <f t="shared" si="77"/>
        <v>184.270004</v>
      </c>
    </row>
    <row r="272" spans="2:29">
      <c r="B272" s="5">
        <v>253</v>
      </c>
      <c r="F272">
        <f t="shared" si="78"/>
        <v>117.274691779768</v>
      </c>
      <c r="G272">
        <f t="shared" si="79"/>
        <v>181.287287264933</v>
      </c>
      <c r="L272">
        <f t="shared" si="80"/>
        <v>117.274691779768</v>
      </c>
      <c r="M272">
        <f t="shared" si="81"/>
        <v>181.287287264933</v>
      </c>
      <c r="N272" s="47">
        <f t="shared" si="62"/>
        <v>0</v>
      </c>
      <c r="O272">
        <f t="shared" si="63"/>
        <v>0</v>
      </c>
      <c r="P272">
        <f t="shared" si="64"/>
        <v>0</v>
      </c>
      <c r="Q272">
        <f t="shared" si="65"/>
        <v>0</v>
      </c>
      <c r="R272">
        <f t="shared" si="66"/>
        <v>0</v>
      </c>
      <c r="S272">
        <f t="shared" si="67"/>
        <v>0</v>
      </c>
      <c r="T272">
        <f t="shared" si="68"/>
        <v>0</v>
      </c>
      <c r="U272" s="52">
        <f t="shared" si="69"/>
        <v>0</v>
      </c>
      <c r="V272">
        <f t="shared" si="70"/>
        <v>0</v>
      </c>
      <c r="W272">
        <f t="shared" si="71"/>
        <v>0</v>
      </c>
      <c r="X272">
        <f t="shared" si="72"/>
        <v>0</v>
      </c>
      <c r="Y272">
        <f t="shared" si="73"/>
        <v>0</v>
      </c>
      <c r="Z272">
        <f t="shared" si="74"/>
        <v>0</v>
      </c>
      <c r="AA272">
        <f t="shared" si="75"/>
        <v>0</v>
      </c>
      <c r="AB272">
        <f t="shared" si="76"/>
        <v>0</v>
      </c>
      <c r="AC272">
        <f t="shared" si="77"/>
        <v>0</v>
      </c>
    </row>
    <row r="273" ht="16.35"/>
    <row r="274" ht="17.1" spans="5:7">
      <c r="E274" s="39" t="s">
        <v>21</v>
      </c>
      <c r="F274" s="40" t="s">
        <v>22</v>
      </c>
      <c r="G274" s="40">
        <f>(SUM(L20:L271)/(SUM(C20:C271))*100)</f>
        <v>2.17222628797931</v>
      </c>
    </row>
    <row r="275" ht="17.1" spans="5:7">
      <c r="E275" s="54"/>
      <c r="F275" s="40" t="s">
        <v>23</v>
      </c>
      <c r="G275" s="40">
        <f>(SUM(M20:M271)/(SUM(D20:D271))*100)</f>
        <v>2.04369276758059</v>
      </c>
    </row>
    <row r="276" ht="16.35" spans="5:5">
      <c r="E276" s="2"/>
    </row>
    <row r="277" ht="16.35"/>
    <row r="278" ht="17.1" spans="5:7">
      <c r="E278" s="55" t="s">
        <v>24</v>
      </c>
      <c r="F278" s="40" t="s">
        <v>22</v>
      </c>
      <c r="G278" s="40">
        <f>(SUM(N18:N269)/(SUM(V18:V269))*100)</f>
        <v>2.46979163363482</v>
      </c>
    </row>
    <row r="279" ht="17.1" spans="5:7">
      <c r="E279" s="56"/>
      <c r="F279" s="40" t="s">
        <v>23</v>
      </c>
      <c r="G279" s="40">
        <f>(SUM(R20:R271)/(SUM(Z20:Z271))*100)</f>
        <v>2.55311511923842</v>
      </c>
    </row>
    <row r="280" ht="17.1"/>
    <row r="281" ht="17.1" spans="5:7">
      <c r="E281" s="55" t="s">
        <v>25</v>
      </c>
      <c r="F281" s="40" t="s">
        <v>22</v>
      </c>
      <c r="G281" s="40">
        <f>(SUM(O20:O271)/(SUM(W20:W271))*100)</f>
        <v>2.00549948569278</v>
      </c>
    </row>
    <row r="282" ht="17.1" spans="5:7">
      <c r="E282" s="56"/>
      <c r="F282" s="40" t="s">
        <v>23</v>
      </c>
      <c r="G282" s="40">
        <f>(SUM(S20:S271)/(SUM(AA20:AA271))*100)</f>
        <v>1.85147734093106</v>
      </c>
    </row>
    <row r="283" ht="17.1"/>
    <row r="284" ht="17.1" spans="5:7">
      <c r="E284" s="55" t="s">
        <v>26</v>
      </c>
      <c r="F284" s="40" t="s">
        <v>22</v>
      </c>
      <c r="G284" s="40">
        <f>(SUM(P20:P271)/(SUM(X20:X271))*100)</f>
        <v>2.63809334308067</v>
      </c>
    </row>
    <row r="285" ht="17.1" spans="5:7">
      <c r="E285" s="56"/>
      <c r="F285" s="40" t="s">
        <v>23</v>
      </c>
      <c r="G285" s="40">
        <f>(SUM(T20:T271)/(SUM(AB20:AB271))*100)</f>
        <v>1.97266558012368</v>
      </c>
    </row>
    <row r="286" ht="17.1"/>
    <row r="287" ht="17.1" spans="5:7">
      <c r="E287" s="55" t="s">
        <v>27</v>
      </c>
      <c r="F287" s="40" t="s">
        <v>22</v>
      </c>
      <c r="G287" s="40">
        <f>(SUM(Q20:Q271)/(SUM(Y20:Y271))*100)</f>
        <v>1.57751556874881</v>
      </c>
    </row>
    <row r="288" ht="17.1" spans="5:7">
      <c r="E288" s="56"/>
      <c r="F288" s="40" t="s">
        <v>23</v>
      </c>
      <c r="G288" s="40">
        <f>(SUM(U20:U271)/(SUM(AC20:AC271))*100)</f>
        <v>1.79830220118846</v>
      </c>
    </row>
    <row r="289" ht="17.1" spans="14:29">
      <c r="N289" s="43" t="s">
        <v>7</v>
      </c>
      <c r="O289" s="44"/>
      <c r="P289" s="44"/>
      <c r="Q289" s="44"/>
      <c r="R289" s="44"/>
      <c r="S289" s="44"/>
      <c r="T289" s="44"/>
      <c r="U289" s="48"/>
      <c r="V289" s="49" t="s">
        <v>8</v>
      </c>
      <c r="W289" s="50"/>
      <c r="X289" s="50"/>
      <c r="Y289" s="50"/>
      <c r="Z289" s="50"/>
      <c r="AA289" s="50"/>
      <c r="AB289" s="50"/>
      <c r="AC289" s="53"/>
    </row>
    <row r="290" ht="16.35" spans="1:29">
      <c r="A290" t="s">
        <v>28</v>
      </c>
      <c r="N290" s="45" t="s">
        <v>10</v>
      </c>
      <c r="O290" s="45"/>
      <c r="P290" s="45"/>
      <c r="Q290" s="45"/>
      <c r="R290" s="45" t="s">
        <v>11</v>
      </c>
      <c r="S290" s="45"/>
      <c r="T290" s="45"/>
      <c r="U290" s="45"/>
      <c r="V290" s="51" t="s">
        <v>10</v>
      </c>
      <c r="W290" s="51"/>
      <c r="X290" s="51"/>
      <c r="Y290" s="51"/>
      <c r="Z290" s="51" t="s">
        <v>11</v>
      </c>
      <c r="AA290" s="51"/>
      <c r="AB290" s="51"/>
      <c r="AC290" s="51"/>
    </row>
    <row r="291" ht="16.35" spans="2:29">
      <c r="B291" s="5" t="s">
        <v>1</v>
      </c>
      <c r="C291" t="s">
        <v>29</v>
      </c>
      <c r="D291" t="s">
        <v>30</v>
      </c>
      <c r="E291" s="32" t="s">
        <v>31</v>
      </c>
      <c r="F291" t="s">
        <v>32</v>
      </c>
      <c r="G291" t="s">
        <v>33</v>
      </c>
      <c r="H291" t="s">
        <v>34</v>
      </c>
      <c r="I291" t="s">
        <v>35</v>
      </c>
      <c r="J291" t="s">
        <v>36</v>
      </c>
      <c r="K291" t="s">
        <v>37</v>
      </c>
      <c r="L291" t="s">
        <v>38</v>
      </c>
      <c r="M291" t="s">
        <v>39</v>
      </c>
      <c r="N291" s="46" t="s">
        <v>40</v>
      </c>
      <c r="O291" s="46" t="s">
        <v>41</v>
      </c>
      <c r="P291" s="46" t="s">
        <v>42</v>
      </c>
      <c r="Q291" s="46" t="s">
        <v>43</v>
      </c>
      <c r="R291" s="46" t="s">
        <v>40</v>
      </c>
      <c r="S291" s="46" t="s">
        <v>41</v>
      </c>
      <c r="T291" s="46" t="s">
        <v>42</v>
      </c>
      <c r="U291" s="46" t="s">
        <v>43</v>
      </c>
      <c r="V291" s="46" t="s">
        <v>40</v>
      </c>
      <c r="W291" s="46" t="s">
        <v>41</v>
      </c>
      <c r="X291" s="46" t="s">
        <v>42</v>
      </c>
      <c r="Y291" s="46" t="s">
        <v>43</v>
      </c>
      <c r="Z291" s="46" t="s">
        <v>40</v>
      </c>
      <c r="AA291" s="46" t="s">
        <v>41</v>
      </c>
      <c r="AB291" s="46" t="s">
        <v>42</v>
      </c>
      <c r="AC291" s="46" t="s">
        <v>43</v>
      </c>
    </row>
    <row r="292" spans="2:29">
      <c r="B292" s="5">
        <v>1</v>
      </c>
      <c r="C292" s="6">
        <v>63.954544</v>
      </c>
      <c r="D292" s="6">
        <v>177.029373</v>
      </c>
      <c r="E292">
        <v>0.15</v>
      </c>
      <c r="F292" s="6">
        <v>63.954544</v>
      </c>
      <c r="G292" s="6">
        <v>177.029373</v>
      </c>
      <c r="H292">
        <v>0</v>
      </c>
      <c r="I292">
        <v>0</v>
      </c>
      <c r="J292">
        <f>F292+H292</f>
        <v>63.954544</v>
      </c>
      <c r="K292">
        <f>G292+I292</f>
        <v>177.029373</v>
      </c>
      <c r="L292">
        <f>POWER(ABS((C292-J292)/C292),2)</f>
        <v>0</v>
      </c>
      <c r="M292">
        <f>POWER(ABS((D292-K292)/D292),2)</f>
        <v>0</v>
      </c>
      <c r="N292" s="47">
        <f>IF(E292=0.15,L292,0)</f>
        <v>0</v>
      </c>
      <c r="O292">
        <f>IF(E292=0.25,L292,0)</f>
        <v>0</v>
      </c>
      <c r="P292">
        <f>IF(E292=0.45,L292,0)</f>
        <v>0</v>
      </c>
      <c r="Q292">
        <f>IF(E292=0.85,L292,0)</f>
        <v>0</v>
      </c>
      <c r="R292">
        <f>IF(E292=0.15,M292,0)</f>
        <v>0</v>
      </c>
      <c r="S292">
        <f>IF(E292=0.25,M292,0)</f>
        <v>0</v>
      </c>
      <c r="T292">
        <f>IF(E292=0.45,M292,0)</f>
        <v>0</v>
      </c>
      <c r="U292" s="52">
        <f>IF(E292=0.85,M292,0)</f>
        <v>0</v>
      </c>
      <c r="V292">
        <f>IF(E292=0.15,C292,0)</f>
        <v>63.954544</v>
      </c>
      <c r="W292">
        <f>IF(E292=0.25,C292,0)</f>
        <v>0</v>
      </c>
      <c r="X292">
        <f>IF(E292=0.45,C292,0)</f>
        <v>0</v>
      </c>
      <c r="Y292">
        <f>IF(E292=0.85,C292,0)</f>
        <v>0</v>
      </c>
      <c r="Z292">
        <f>IF(E292=0.15,D292,0)</f>
        <v>177.029373</v>
      </c>
      <c r="AA292">
        <f>IF(E292=0.25,D292,0)</f>
        <v>0</v>
      </c>
      <c r="AB292">
        <f>IF(E292=0.45,D292,0)</f>
        <v>0</v>
      </c>
      <c r="AC292">
        <f>IF(E292=0.85,D292,0)</f>
        <v>0</v>
      </c>
    </row>
    <row r="293" spans="2:29">
      <c r="B293" s="5">
        <v>2</v>
      </c>
      <c r="C293" s="6">
        <v>64.460991</v>
      </c>
      <c r="D293" s="6">
        <v>176.658142</v>
      </c>
      <c r="E293">
        <v>0.25</v>
      </c>
      <c r="F293" s="5">
        <f>((0.55*C292)+((1-0.55)*F292))</f>
        <v>63.954544</v>
      </c>
      <c r="G293">
        <f>(0.55*D292)+((1-0.55)*G292)</f>
        <v>177.029373</v>
      </c>
      <c r="H293">
        <f>((E293*(F293-F292))+((1-E293)*H292))</f>
        <v>0</v>
      </c>
      <c r="I293">
        <f>((E293*(G293-G292))+((1-E293)*I292))</f>
        <v>0</v>
      </c>
      <c r="J293">
        <f t="shared" ref="J293:K293" si="82">F293+H293</f>
        <v>63.954544</v>
      </c>
      <c r="K293">
        <f t="shared" si="82"/>
        <v>177.029373</v>
      </c>
      <c r="L293">
        <f t="shared" ref="L293:M293" si="83">POWER(ABS((C293-J293)/C293),2)</f>
        <v>6.17268407619451e-5</v>
      </c>
      <c r="M293">
        <f t="shared" si="83"/>
        <v>4.41591955874413e-6</v>
      </c>
      <c r="N293" s="47">
        <f>IF(E293=0.15,L293,0)</f>
        <v>0</v>
      </c>
      <c r="O293">
        <f t="shared" ref="O293" si="84">IF(E293=0.25,L293,0)</f>
        <v>6.17268407619451e-5</v>
      </c>
      <c r="P293">
        <f t="shared" ref="P293" si="85">IF(E293=0.45,L293,0)</f>
        <v>0</v>
      </c>
      <c r="Q293">
        <f t="shared" ref="Q293" si="86">IF(E293=0.85,L293,0)</f>
        <v>0</v>
      </c>
      <c r="R293">
        <f t="shared" ref="R293" si="87">IF(E293=0.15,M293,0)</f>
        <v>0</v>
      </c>
      <c r="S293">
        <f t="shared" ref="S293" si="88">IF(E293=0.25,M293,0)</f>
        <v>4.41591955874413e-6</v>
      </c>
      <c r="T293">
        <f t="shared" ref="T293" si="89">IF(E293=0.45,M293,0)</f>
        <v>0</v>
      </c>
      <c r="U293" s="52">
        <f t="shared" ref="U293" si="90">IF(E293=0.85,M293,0)</f>
        <v>0</v>
      </c>
      <c r="V293">
        <f t="shared" ref="V293" si="91">IF(E293=0.15,C293,0)</f>
        <v>0</v>
      </c>
      <c r="W293">
        <f t="shared" ref="W293" si="92">IF(E293=0.25,C293,0)</f>
        <v>64.460991</v>
      </c>
      <c r="X293">
        <f t="shared" ref="X293" si="93">IF(E293=0.45,C293,0)</f>
        <v>0</v>
      </c>
      <c r="Y293">
        <f t="shared" ref="Y293" si="94">IF(E293=0.85,C293,0)</f>
        <v>0</v>
      </c>
      <c r="Z293">
        <f t="shared" ref="Z293" si="95">IF(E293=0.15,D293,0)</f>
        <v>0</v>
      </c>
      <c r="AA293">
        <f t="shared" ref="AA293" si="96">IF(E293=0.25,D293,0)</f>
        <v>176.658142</v>
      </c>
      <c r="AB293">
        <f t="shared" ref="AB293" si="97">IF(E293=0.45,D293,0)</f>
        <v>0</v>
      </c>
      <c r="AC293">
        <f t="shared" ref="AC293" si="98">IF(E293=0.85,D293,0)</f>
        <v>0</v>
      </c>
    </row>
    <row r="294" spans="2:29">
      <c r="B294" s="5">
        <v>3</v>
      </c>
      <c r="C294" s="6">
        <v>64.401978</v>
      </c>
      <c r="D294" s="6">
        <v>177.810913</v>
      </c>
      <c r="E294">
        <v>0.45</v>
      </c>
      <c r="F294" s="5">
        <f t="shared" ref="F294:F357" si="99">((0.55*C293)+((1-0.55)*F293))</f>
        <v>64.23308985</v>
      </c>
      <c r="G294">
        <f t="shared" ref="G294:G357" si="100">(0.55*D293)+((1-0.55)*G293)</f>
        <v>176.82519595</v>
      </c>
      <c r="H294">
        <f t="shared" ref="H294:H357" si="101">((E294*(F294-F293))+((1-E294)*H293))</f>
        <v>0.1253456325</v>
      </c>
      <c r="I294">
        <f t="shared" ref="I294:I357" si="102">((E294*(G294-G293))+((1-E294)*I293))</f>
        <v>-0.0918796724999865</v>
      </c>
      <c r="J294">
        <f t="shared" ref="J294:J357" si="103">F294+H294</f>
        <v>64.3584354825</v>
      </c>
      <c r="K294">
        <f t="shared" ref="K294:K357" si="104">G294+I294</f>
        <v>176.7333162775</v>
      </c>
      <c r="L294">
        <f t="shared" ref="L294:L357" si="105">POWER(ABS((C294-J294)/C294),2)</f>
        <v>4.57118352410298e-7</v>
      </c>
      <c r="M294">
        <f t="shared" ref="M294:M357" si="106">POWER(ABS((D294-K294)/D294),2)</f>
        <v>3.67278663828951e-5</v>
      </c>
      <c r="N294" s="47">
        <f t="shared" ref="N294:N352" si="107">IF(E294=0.15,L294,0)</f>
        <v>0</v>
      </c>
      <c r="O294">
        <f t="shared" ref="O294:O352" si="108">IF(E294=0.25,L294,0)</f>
        <v>0</v>
      </c>
      <c r="P294">
        <f t="shared" ref="P294:P352" si="109">IF(E294=0.45,L294,0)</f>
        <v>4.57118352410298e-7</v>
      </c>
      <c r="Q294">
        <f t="shared" ref="Q294:Q352" si="110">IF(E294=0.85,L294,0)</f>
        <v>0</v>
      </c>
      <c r="R294">
        <f t="shared" ref="R294:R352" si="111">IF(E294=0.15,M294,0)</f>
        <v>0</v>
      </c>
      <c r="S294">
        <f t="shared" ref="S294:S352" si="112">IF(E294=0.25,M294,0)</f>
        <v>0</v>
      </c>
      <c r="T294">
        <f t="shared" ref="T294:T352" si="113">IF(E294=0.45,M294,0)</f>
        <v>3.67278663828951e-5</v>
      </c>
      <c r="U294" s="52">
        <f t="shared" ref="U294:U352" si="114">IF(E294=0.85,M294,0)</f>
        <v>0</v>
      </c>
      <c r="V294">
        <f t="shared" ref="V294:V352" si="115">IF(E294=0.15,C294,0)</f>
        <v>0</v>
      </c>
      <c r="W294">
        <f t="shared" ref="W294:W352" si="116">IF(E294=0.25,C294,0)</f>
        <v>0</v>
      </c>
      <c r="X294">
        <f t="shared" ref="X294:X352" si="117">IF(E294=0.45,C294,0)</f>
        <v>64.401978</v>
      </c>
      <c r="Y294">
        <f t="shared" ref="Y294:Y352" si="118">IF(E294=0.85,C294,0)</f>
        <v>0</v>
      </c>
      <c r="Z294">
        <f t="shared" ref="Z294:Z352" si="119">IF(E294=0.15,D294,0)</f>
        <v>0</v>
      </c>
      <c r="AA294">
        <f t="shared" ref="AA294:AA352" si="120">IF(E294=0.25,D294,0)</f>
        <v>0</v>
      </c>
      <c r="AB294">
        <f t="shared" ref="AB294:AB352" si="121">IF(E294=0.45,D294,0)</f>
        <v>177.810913</v>
      </c>
      <c r="AC294">
        <f t="shared" ref="AC294:AC352" si="122">IF(E294=0.85,D294,0)</f>
        <v>0</v>
      </c>
    </row>
    <row r="295" spans="2:29">
      <c r="B295" s="5">
        <v>4</v>
      </c>
      <c r="C295" s="6">
        <v>65.019051</v>
      </c>
      <c r="D295" s="6">
        <v>177.752319</v>
      </c>
      <c r="E295">
        <v>0.85</v>
      </c>
      <c r="F295" s="5">
        <f t="shared" si="99"/>
        <v>64.3259783325</v>
      </c>
      <c r="G295">
        <f t="shared" si="100"/>
        <v>177.3673403275</v>
      </c>
      <c r="H295">
        <f t="shared" si="101"/>
        <v>0.097757055000001</v>
      </c>
      <c r="I295">
        <f t="shared" si="102"/>
        <v>0.447040769999997</v>
      </c>
      <c r="J295">
        <f t="shared" si="103"/>
        <v>64.4237353875</v>
      </c>
      <c r="K295">
        <f t="shared" si="104"/>
        <v>177.8143810975</v>
      </c>
      <c r="L295">
        <f t="shared" si="105"/>
        <v>8.38326687710095e-5</v>
      </c>
      <c r="M295">
        <f t="shared" si="106"/>
        <v>1.2190523269969e-7</v>
      </c>
      <c r="N295" s="47">
        <f t="shared" si="107"/>
        <v>0</v>
      </c>
      <c r="O295">
        <f t="shared" si="108"/>
        <v>0</v>
      </c>
      <c r="P295">
        <f t="shared" si="109"/>
        <v>0</v>
      </c>
      <c r="Q295">
        <f t="shared" si="110"/>
        <v>8.38326687710095e-5</v>
      </c>
      <c r="R295">
        <f t="shared" si="111"/>
        <v>0</v>
      </c>
      <c r="S295">
        <f t="shared" si="112"/>
        <v>0</v>
      </c>
      <c r="T295">
        <f t="shared" si="113"/>
        <v>0</v>
      </c>
      <c r="U295" s="52">
        <f t="shared" si="114"/>
        <v>1.2190523269969e-7</v>
      </c>
      <c r="V295">
        <f t="shared" si="115"/>
        <v>0</v>
      </c>
      <c r="W295">
        <f t="shared" si="116"/>
        <v>0</v>
      </c>
      <c r="X295">
        <f t="shared" si="117"/>
        <v>0</v>
      </c>
      <c r="Y295">
        <f t="shared" si="118"/>
        <v>65.019051</v>
      </c>
      <c r="Z295">
        <f t="shared" si="119"/>
        <v>0</v>
      </c>
      <c r="AA295">
        <f t="shared" si="120"/>
        <v>0</v>
      </c>
      <c r="AB295">
        <f t="shared" si="121"/>
        <v>0</v>
      </c>
      <c r="AC295">
        <f t="shared" si="122"/>
        <v>177.752319</v>
      </c>
    </row>
    <row r="296" spans="2:29">
      <c r="B296" s="5">
        <v>5</v>
      </c>
      <c r="C296" s="6">
        <v>64.56916</v>
      </c>
      <c r="D296" s="6">
        <v>176.377808</v>
      </c>
      <c r="E296">
        <v>0.15</v>
      </c>
      <c r="F296" s="5">
        <f t="shared" si="99"/>
        <v>64.707168299625</v>
      </c>
      <c r="G296">
        <f t="shared" si="100"/>
        <v>177.579078597375</v>
      </c>
      <c r="H296">
        <f t="shared" si="101"/>
        <v>0.14027199181875</v>
      </c>
      <c r="I296">
        <f t="shared" si="102"/>
        <v>0.41174539498125</v>
      </c>
      <c r="J296">
        <f t="shared" si="103"/>
        <v>64.8474402914437</v>
      </c>
      <c r="K296">
        <f t="shared" si="104"/>
        <v>177.990823992356</v>
      </c>
      <c r="L296">
        <f t="shared" si="105"/>
        <v>1.85743928169712e-5</v>
      </c>
      <c r="M296">
        <f t="shared" si="106"/>
        <v>8.36352702569314e-5</v>
      </c>
      <c r="N296" s="47">
        <f t="shared" si="107"/>
        <v>1.85743928169712e-5</v>
      </c>
      <c r="O296">
        <f t="shared" si="108"/>
        <v>0</v>
      </c>
      <c r="P296">
        <f t="shared" si="109"/>
        <v>0</v>
      </c>
      <c r="Q296">
        <f t="shared" si="110"/>
        <v>0</v>
      </c>
      <c r="R296">
        <f t="shared" si="111"/>
        <v>8.36352702569314e-5</v>
      </c>
      <c r="S296">
        <f t="shared" si="112"/>
        <v>0</v>
      </c>
      <c r="T296">
        <f t="shared" si="113"/>
        <v>0</v>
      </c>
      <c r="U296" s="52">
        <f t="shared" si="114"/>
        <v>0</v>
      </c>
      <c r="V296">
        <f t="shared" si="115"/>
        <v>64.56916</v>
      </c>
      <c r="W296">
        <f t="shared" si="116"/>
        <v>0</v>
      </c>
      <c r="X296">
        <f t="shared" si="117"/>
        <v>0</v>
      </c>
      <c r="Y296">
        <f t="shared" si="118"/>
        <v>0</v>
      </c>
      <c r="Z296">
        <f t="shared" si="119"/>
        <v>176.377808</v>
      </c>
      <c r="AA296">
        <f t="shared" si="120"/>
        <v>0</v>
      </c>
      <c r="AB296">
        <f t="shared" si="121"/>
        <v>0</v>
      </c>
      <c r="AC296">
        <f t="shared" si="122"/>
        <v>0</v>
      </c>
    </row>
    <row r="297" spans="2:29">
      <c r="B297" s="5">
        <v>6</v>
      </c>
      <c r="C297" s="6">
        <v>65.336212</v>
      </c>
      <c r="D297" s="6">
        <v>178.43956</v>
      </c>
      <c r="E297">
        <v>0.25</v>
      </c>
      <c r="F297" s="5">
        <f t="shared" si="99"/>
        <v>64.6312637348313</v>
      </c>
      <c r="G297">
        <f t="shared" si="100"/>
        <v>176.918379768819</v>
      </c>
      <c r="H297">
        <f t="shared" si="101"/>
        <v>0.0862278526656263</v>
      </c>
      <c r="I297">
        <f t="shared" si="102"/>
        <v>0.143634339096864</v>
      </c>
      <c r="J297">
        <f t="shared" si="103"/>
        <v>64.7174915874969</v>
      </c>
      <c r="K297">
        <f t="shared" si="104"/>
        <v>177.062014107916</v>
      </c>
      <c r="L297">
        <f t="shared" si="105"/>
        <v>8.96769822048151e-5</v>
      </c>
      <c r="M297">
        <f t="shared" si="106"/>
        <v>5.9597750080728e-5</v>
      </c>
      <c r="N297" s="47">
        <f t="shared" si="107"/>
        <v>0</v>
      </c>
      <c r="O297">
        <f t="shared" si="108"/>
        <v>8.96769822048151e-5</v>
      </c>
      <c r="P297">
        <f t="shared" si="109"/>
        <v>0</v>
      </c>
      <c r="Q297">
        <f t="shared" si="110"/>
        <v>0</v>
      </c>
      <c r="R297">
        <f t="shared" si="111"/>
        <v>0</v>
      </c>
      <c r="S297">
        <f t="shared" si="112"/>
        <v>5.9597750080728e-5</v>
      </c>
      <c r="T297">
        <f t="shared" si="113"/>
        <v>0</v>
      </c>
      <c r="U297" s="52">
        <f t="shared" si="114"/>
        <v>0</v>
      </c>
      <c r="V297">
        <f t="shared" si="115"/>
        <v>0</v>
      </c>
      <c r="W297">
        <f t="shared" si="116"/>
        <v>65.336212</v>
      </c>
      <c r="X297">
        <f t="shared" si="117"/>
        <v>0</v>
      </c>
      <c r="Y297">
        <f t="shared" si="118"/>
        <v>0</v>
      </c>
      <c r="Z297">
        <f t="shared" si="119"/>
        <v>0</v>
      </c>
      <c r="AA297">
        <f t="shared" si="120"/>
        <v>178.43956</v>
      </c>
      <c r="AB297">
        <f t="shared" si="121"/>
        <v>0</v>
      </c>
      <c r="AC297">
        <f t="shared" si="122"/>
        <v>0</v>
      </c>
    </row>
    <row r="298" spans="2:29">
      <c r="B298" s="5">
        <v>7</v>
      </c>
      <c r="C298" s="6">
        <v>65.665634</v>
      </c>
      <c r="D298" s="6">
        <v>176.52507</v>
      </c>
      <c r="E298">
        <v>0.45</v>
      </c>
      <c r="F298" s="5">
        <f t="shared" si="99"/>
        <v>65.0189852806741</v>
      </c>
      <c r="G298">
        <f t="shared" si="100"/>
        <v>177.755028895968</v>
      </c>
      <c r="H298">
        <f t="shared" si="101"/>
        <v>0.221900014595365</v>
      </c>
      <c r="I298">
        <f t="shared" si="102"/>
        <v>0.455490993720646</v>
      </c>
      <c r="J298">
        <f t="shared" si="103"/>
        <v>65.2408852952694</v>
      </c>
      <c r="K298">
        <f t="shared" si="104"/>
        <v>178.210519889689</v>
      </c>
      <c r="L298">
        <f t="shared" si="105"/>
        <v>4.18396307322114e-5</v>
      </c>
      <c r="M298">
        <f t="shared" si="106"/>
        <v>9.1163062272957e-5</v>
      </c>
      <c r="N298" s="47">
        <f t="shared" si="107"/>
        <v>0</v>
      </c>
      <c r="O298">
        <f t="shared" si="108"/>
        <v>0</v>
      </c>
      <c r="P298">
        <f t="shared" si="109"/>
        <v>4.18396307322114e-5</v>
      </c>
      <c r="Q298">
        <f t="shared" si="110"/>
        <v>0</v>
      </c>
      <c r="R298">
        <f t="shared" si="111"/>
        <v>0</v>
      </c>
      <c r="S298">
        <f t="shared" si="112"/>
        <v>0</v>
      </c>
      <c r="T298">
        <f t="shared" si="113"/>
        <v>9.1163062272957e-5</v>
      </c>
      <c r="U298" s="52">
        <f t="shared" si="114"/>
        <v>0</v>
      </c>
      <c r="V298">
        <f t="shared" si="115"/>
        <v>0</v>
      </c>
      <c r="W298">
        <f t="shared" si="116"/>
        <v>0</v>
      </c>
      <c r="X298">
        <f t="shared" si="117"/>
        <v>65.665634</v>
      </c>
      <c r="Y298">
        <f t="shared" si="118"/>
        <v>0</v>
      </c>
      <c r="Z298">
        <f t="shared" si="119"/>
        <v>0</v>
      </c>
      <c r="AA298">
        <f t="shared" si="120"/>
        <v>0</v>
      </c>
      <c r="AB298">
        <f t="shared" si="121"/>
        <v>176.52507</v>
      </c>
      <c r="AC298">
        <f t="shared" si="122"/>
        <v>0</v>
      </c>
    </row>
    <row r="299" spans="2:29">
      <c r="B299" s="5">
        <v>8</v>
      </c>
      <c r="C299" s="6">
        <v>65.466507</v>
      </c>
      <c r="D299" s="6">
        <v>176.839249</v>
      </c>
      <c r="E299">
        <v>0.85</v>
      </c>
      <c r="F299" s="5">
        <f t="shared" si="99"/>
        <v>65.3746420763033</v>
      </c>
      <c r="G299">
        <f t="shared" si="100"/>
        <v>177.078551503186</v>
      </c>
      <c r="H299">
        <f t="shared" si="101"/>
        <v>0.335593278474174</v>
      </c>
      <c r="I299">
        <f t="shared" si="102"/>
        <v>-0.506682134807163</v>
      </c>
      <c r="J299">
        <f t="shared" si="103"/>
        <v>65.7102353547775</v>
      </c>
      <c r="K299">
        <f t="shared" si="104"/>
        <v>176.571869368379</v>
      </c>
      <c r="L299">
        <f t="shared" si="105"/>
        <v>1.38603365191238e-5</v>
      </c>
      <c r="M299">
        <f t="shared" si="106"/>
        <v>2.28612154967308e-6</v>
      </c>
      <c r="N299" s="47">
        <f t="shared" si="107"/>
        <v>0</v>
      </c>
      <c r="O299">
        <f t="shared" si="108"/>
        <v>0</v>
      </c>
      <c r="P299">
        <f t="shared" si="109"/>
        <v>0</v>
      </c>
      <c r="Q299">
        <f t="shared" si="110"/>
        <v>1.38603365191238e-5</v>
      </c>
      <c r="R299">
        <f t="shared" si="111"/>
        <v>0</v>
      </c>
      <c r="S299">
        <f t="shared" si="112"/>
        <v>0</v>
      </c>
      <c r="T299">
        <f t="shared" si="113"/>
        <v>0</v>
      </c>
      <c r="U299" s="52">
        <f t="shared" si="114"/>
        <v>2.28612154967308e-6</v>
      </c>
      <c r="V299">
        <f t="shared" si="115"/>
        <v>0</v>
      </c>
      <c r="W299">
        <f t="shared" si="116"/>
        <v>0</v>
      </c>
      <c r="X299">
        <f t="shared" si="117"/>
        <v>0</v>
      </c>
      <c r="Y299">
        <f t="shared" si="118"/>
        <v>65.466507</v>
      </c>
      <c r="Z299">
        <f t="shared" si="119"/>
        <v>0</v>
      </c>
      <c r="AA299">
        <f t="shared" si="120"/>
        <v>0</v>
      </c>
      <c r="AB299">
        <f t="shared" si="121"/>
        <v>0</v>
      </c>
      <c r="AC299">
        <f t="shared" si="122"/>
        <v>176.839249</v>
      </c>
    </row>
    <row r="300" spans="2:29">
      <c r="B300" s="5">
        <v>9</v>
      </c>
      <c r="C300" s="6">
        <v>64.704376</v>
      </c>
      <c r="D300" s="6">
        <v>173.992081</v>
      </c>
      <c r="E300">
        <v>0.15</v>
      </c>
      <c r="F300" s="5">
        <f t="shared" si="99"/>
        <v>65.4251677843365</v>
      </c>
      <c r="G300">
        <f t="shared" si="100"/>
        <v>176.946935126434</v>
      </c>
      <c r="H300">
        <f t="shared" si="101"/>
        <v>0.292833142908025</v>
      </c>
      <c r="I300">
        <f t="shared" si="102"/>
        <v>-0.450422271098917</v>
      </c>
      <c r="J300">
        <f t="shared" si="103"/>
        <v>65.7180009272445</v>
      </c>
      <c r="K300">
        <f t="shared" si="104"/>
        <v>176.496512855335</v>
      </c>
      <c r="L300">
        <f t="shared" si="105"/>
        <v>0.000245407176037513</v>
      </c>
      <c r="M300">
        <f t="shared" si="106"/>
        <v>0.000207185555207478</v>
      </c>
      <c r="N300" s="47">
        <f t="shared" si="107"/>
        <v>0.000245407176037513</v>
      </c>
      <c r="O300">
        <f t="shared" si="108"/>
        <v>0</v>
      </c>
      <c r="P300">
        <f t="shared" si="109"/>
        <v>0</v>
      </c>
      <c r="Q300">
        <f t="shared" si="110"/>
        <v>0</v>
      </c>
      <c r="R300">
        <f t="shared" si="111"/>
        <v>0.000207185555207478</v>
      </c>
      <c r="S300">
        <f t="shared" si="112"/>
        <v>0</v>
      </c>
      <c r="T300">
        <f t="shared" si="113"/>
        <v>0</v>
      </c>
      <c r="U300" s="52">
        <f t="shared" si="114"/>
        <v>0</v>
      </c>
      <c r="V300">
        <f t="shared" si="115"/>
        <v>64.704376</v>
      </c>
      <c r="W300">
        <f t="shared" si="116"/>
        <v>0</v>
      </c>
      <c r="X300">
        <f t="shared" si="117"/>
        <v>0</v>
      </c>
      <c r="Y300">
        <f t="shared" si="118"/>
        <v>0</v>
      </c>
      <c r="Z300">
        <f t="shared" si="119"/>
        <v>173.992081</v>
      </c>
      <c r="AA300">
        <f t="shared" si="120"/>
        <v>0</v>
      </c>
      <c r="AB300">
        <f t="shared" si="121"/>
        <v>0</v>
      </c>
      <c r="AC300">
        <f t="shared" si="122"/>
        <v>0</v>
      </c>
    </row>
    <row r="301" spans="2:29">
      <c r="B301" s="5">
        <v>10</v>
      </c>
      <c r="C301" s="6">
        <v>64.414268</v>
      </c>
      <c r="D301" s="6">
        <v>173.314636</v>
      </c>
      <c r="E301">
        <v>0.25</v>
      </c>
      <c r="F301" s="5">
        <f t="shared" si="99"/>
        <v>65.0287323029514</v>
      </c>
      <c r="G301">
        <f t="shared" si="100"/>
        <v>175.321765356895</v>
      </c>
      <c r="H301">
        <f t="shared" si="101"/>
        <v>0.120515986834748</v>
      </c>
      <c r="I301">
        <f t="shared" si="102"/>
        <v>-0.744109145708806</v>
      </c>
      <c r="J301">
        <f t="shared" si="103"/>
        <v>65.1492482897862</v>
      </c>
      <c r="K301">
        <f t="shared" si="104"/>
        <v>174.577656211186</v>
      </c>
      <c r="L301">
        <f t="shared" si="105"/>
        <v>0.00013019287981252</v>
      </c>
      <c r="M301">
        <f t="shared" si="106"/>
        <v>5.31067985906199e-5</v>
      </c>
      <c r="N301" s="47">
        <f t="shared" si="107"/>
        <v>0</v>
      </c>
      <c r="O301">
        <f t="shared" si="108"/>
        <v>0.00013019287981252</v>
      </c>
      <c r="P301">
        <f t="shared" si="109"/>
        <v>0</v>
      </c>
      <c r="Q301">
        <f t="shared" si="110"/>
        <v>0</v>
      </c>
      <c r="R301">
        <f t="shared" si="111"/>
        <v>0</v>
      </c>
      <c r="S301">
        <f t="shared" si="112"/>
        <v>5.31067985906199e-5</v>
      </c>
      <c r="T301">
        <f t="shared" si="113"/>
        <v>0</v>
      </c>
      <c r="U301" s="52">
        <f t="shared" si="114"/>
        <v>0</v>
      </c>
      <c r="V301">
        <f t="shared" si="115"/>
        <v>0</v>
      </c>
      <c r="W301">
        <f t="shared" si="116"/>
        <v>64.414268</v>
      </c>
      <c r="X301">
        <f t="shared" si="117"/>
        <v>0</v>
      </c>
      <c r="Y301">
        <f t="shared" si="118"/>
        <v>0</v>
      </c>
      <c r="Z301">
        <f t="shared" si="119"/>
        <v>0</v>
      </c>
      <c r="AA301">
        <f t="shared" si="120"/>
        <v>173.314636</v>
      </c>
      <c r="AB301">
        <f t="shared" si="121"/>
        <v>0</v>
      </c>
      <c r="AC301">
        <f t="shared" si="122"/>
        <v>0</v>
      </c>
    </row>
    <row r="302" spans="2:29">
      <c r="B302" s="5">
        <v>11</v>
      </c>
      <c r="C302" s="6">
        <v>64.357727</v>
      </c>
      <c r="D302" s="6">
        <v>173.569901</v>
      </c>
      <c r="E302">
        <v>0.45</v>
      </c>
      <c r="F302" s="5">
        <f t="shared" si="99"/>
        <v>64.6907769363281</v>
      </c>
      <c r="G302">
        <f t="shared" si="100"/>
        <v>174.217844210603</v>
      </c>
      <c r="H302">
        <f t="shared" si="101"/>
        <v>-0.0857961222213633</v>
      </c>
      <c r="I302">
        <f t="shared" si="102"/>
        <v>-0.906024545971388</v>
      </c>
      <c r="J302">
        <f t="shared" si="103"/>
        <v>64.6049808141068</v>
      </c>
      <c r="K302">
        <f t="shared" si="104"/>
        <v>173.311819664631</v>
      </c>
      <c r="L302">
        <f t="shared" si="105"/>
        <v>1.47599404399367e-5</v>
      </c>
      <c r="M302">
        <f t="shared" si="106"/>
        <v>2.21087588595195e-6</v>
      </c>
      <c r="N302" s="47">
        <f t="shared" si="107"/>
        <v>0</v>
      </c>
      <c r="O302">
        <f t="shared" si="108"/>
        <v>0</v>
      </c>
      <c r="P302">
        <f t="shared" si="109"/>
        <v>1.47599404399367e-5</v>
      </c>
      <c r="Q302">
        <f t="shared" si="110"/>
        <v>0</v>
      </c>
      <c r="R302">
        <f t="shared" si="111"/>
        <v>0</v>
      </c>
      <c r="S302">
        <f t="shared" si="112"/>
        <v>0</v>
      </c>
      <c r="T302">
        <f t="shared" si="113"/>
        <v>2.21087588595195e-6</v>
      </c>
      <c r="U302" s="52">
        <f t="shared" si="114"/>
        <v>0</v>
      </c>
      <c r="V302">
        <f t="shared" si="115"/>
        <v>0</v>
      </c>
      <c r="W302">
        <f t="shared" si="116"/>
        <v>0</v>
      </c>
      <c r="X302">
        <f t="shared" si="117"/>
        <v>64.357727</v>
      </c>
      <c r="Y302">
        <f t="shared" si="118"/>
        <v>0</v>
      </c>
      <c r="Z302">
        <f t="shared" si="119"/>
        <v>0</v>
      </c>
      <c r="AA302">
        <f t="shared" si="120"/>
        <v>0</v>
      </c>
      <c r="AB302">
        <f t="shared" si="121"/>
        <v>173.569901</v>
      </c>
      <c r="AC302">
        <f t="shared" si="122"/>
        <v>0</v>
      </c>
    </row>
    <row r="303" spans="2:29">
      <c r="B303" s="5">
        <v>12</v>
      </c>
      <c r="C303" s="6">
        <v>65.486168</v>
      </c>
      <c r="D303" s="6">
        <v>173.294998</v>
      </c>
      <c r="E303">
        <v>0.85</v>
      </c>
      <c r="F303" s="5">
        <f t="shared" si="99"/>
        <v>64.5075994713477</v>
      </c>
      <c r="G303">
        <f t="shared" si="100"/>
        <v>173.861475444771</v>
      </c>
      <c r="H303">
        <f t="shared" si="101"/>
        <v>-0.16857026356662</v>
      </c>
      <c r="I303">
        <f t="shared" si="102"/>
        <v>-0.438817132852523</v>
      </c>
      <c r="J303">
        <f t="shared" si="103"/>
        <v>64.339029207781</v>
      </c>
      <c r="K303">
        <f t="shared" si="104"/>
        <v>173.422658311919</v>
      </c>
      <c r="L303">
        <f t="shared" si="105"/>
        <v>0.000306854698015925</v>
      </c>
      <c r="M303">
        <f t="shared" si="106"/>
        <v>5.4267491598117e-7</v>
      </c>
      <c r="N303" s="47">
        <f t="shared" si="107"/>
        <v>0</v>
      </c>
      <c r="O303">
        <f t="shared" si="108"/>
        <v>0</v>
      </c>
      <c r="P303">
        <f t="shared" si="109"/>
        <v>0</v>
      </c>
      <c r="Q303">
        <f t="shared" si="110"/>
        <v>0.000306854698015925</v>
      </c>
      <c r="R303">
        <f t="shared" si="111"/>
        <v>0</v>
      </c>
      <c r="S303">
        <f t="shared" si="112"/>
        <v>0</v>
      </c>
      <c r="T303">
        <f t="shared" si="113"/>
        <v>0</v>
      </c>
      <c r="U303" s="52">
        <f t="shared" si="114"/>
        <v>5.4267491598117e-7</v>
      </c>
      <c r="V303">
        <f t="shared" si="115"/>
        <v>0</v>
      </c>
      <c r="W303">
        <f t="shared" si="116"/>
        <v>0</v>
      </c>
      <c r="X303">
        <f t="shared" si="117"/>
        <v>0</v>
      </c>
      <c r="Y303">
        <f t="shared" si="118"/>
        <v>65.486168</v>
      </c>
      <c r="Z303">
        <f t="shared" si="119"/>
        <v>0</v>
      </c>
      <c r="AA303">
        <f t="shared" si="120"/>
        <v>0</v>
      </c>
      <c r="AB303">
        <f t="shared" si="121"/>
        <v>0</v>
      </c>
      <c r="AC303">
        <f t="shared" si="122"/>
        <v>173.294998</v>
      </c>
    </row>
    <row r="304" spans="2:29">
      <c r="B304" s="5">
        <v>13</v>
      </c>
      <c r="C304" s="6">
        <v>64.974815</v>
      </c>
      <c r="D304" s="6">
        <v>175.268387</v>
      </c>
      <c r="E304">
        <v>0.15</v>
      </c>
      <c r="F304" s="5">
        <f t="shared" si="99"/>
        <v>65.0458121621064</v>
      </c>
      <c r="G304">
        <f t="shared" si="100"/>
        <v>173.549912850147</v>
      </c>
      <c r="H304">
        <f t="shared" si="101"/>
        <v>-0.0625528204178093</v>
      </c>
      <c r="I304">
        <f t="shared" si="102"/>
        <v>-0.419728952118276</v>
      </c>
      <c r="J304">
        <f t="shared" si="103"/>
        <v>64.9832593416886</v>
      </c>
      <c r="K304">
        <f t="shared" si="104"/>
        <v>173.130183898029</v>
      </c>
      <c r="L304">
        <f t="shared" si="105"/>
        <v>1.6890460604385e-8</v>
      </c>
      <c r="M304">
        <f t="shared" si="106"/>
        <v>0.000148830085347663</v>
      </c>
      <c r="N304" s="47">
        <f t="shared" si="107"/>
        <v>1.6890460604385e-8</v>
      </c>
      <c r="O304">
        <f t="shared" si="108"/>
        <v>0</v>
      </c>
      <c r="P304">
        <f t="shared" si="109"/>
        <v>0</v>
      </c>
      <c r="Q304">
        <f t="shared" si="110"/>
        <v>0</v>
      </c>
      <c r="R304">
        <f t="shared" si="111"/>
        <v>0.000148830085347663</v>
      </c>
      <c r="S304">
        <f t="shared" si="112"/>
        <v>0</v>
      </c>
      <c r="T304">
        <f t="shared" si="113"/>
        <v>0</v>
      </c>
      <c r="U304" s="52">
        <f t="shared" si="114"/>
        <v>0</v>
      </c>
      <c r="V304">
        <f t="shared" si="115"/>
        <v>64.974815</v>
      </c>
      <c r="W304">
        <f t="shared" si="116"/>
        <v>0</v>
      </c>
      <c r="X304">
        <f t="shared" si="117"/>
        <v>0</v>
      </c>
      <c r="Y304">
        <f t="shared" si="118"/>
        <v>0</v>
      </c>
      <c r="Z304">
        <f t="shared" si="119"/>
        <v>175.268387</v>
      </c>
      <c r="AA304">
        <f t="shared" si="120"/>
        <v>0</v>
      </c>
      <c r="AB304">
        <f t="shared" si="121"/>
        <v>0</v>
      </c>
      <c r="AC304">
        <f t="shared" si="122"/>
        <v>0</v>
      </c>
    </row>
    <row r="305" spans="2:29">
      <c r="B305" s="5">
        <v>14</v>
      </c>
      <c r="C305" s="6">
        <v>65.847565</v>
      </c>
      <c r="D305" s="6">
        <v>176.151993</v>
      </c>
      <c r="E305">
        <v>0.25</v>
      </c>
      <c r="F305" s="5">
        <f t="shared" si="99"/>
        <v>65.0067637229479</v>
      </c>
      <c r="G305">
        <f t="shared" si="100"/>
        <v>174.495073632566</v>
      </c>
      <c r="H305">
        <f t="shared" si="101"/>
        <v>-0.0566767251029906</v>
      </c>
      <c r="I305">
        <f t="shared" si="102"/>
        <v>-0.0785065184839261</v>
      </c>
      <c r="J305">
        <f t="shared" si="103"/>
        <v>64.9500869978449</v>
      </c>
      <c r="K305">
        <f t="shared" si="104"/>
        <v>174.416567114082</v>
      </c>
      <c r="L305">
        <f t="shared" si="105"/>
        <v>0.000185766836624453</v>
      </c>
      <c r="M305">
        <f t="shared" si="106"/>
        <v>9.70592698618905e-5</v>
      </c>
      <c r="N305" s="47">
        <f t="shared" si="107"/>
        <v>0</v>
      </c>
      <c r="O305">
        <f t="shared" si="108"/>
        <v>0.000185766836624453</v>
      </c>
      <c r="P305">
        <f t="shared" si="109"/>
        <v>0</v>
      </c>
      <c r="Q305">
        <f t="shared" si="110"/>
        <v>0</v>
      </c>
      <c r="R305">
        <f t="shared" si="111"/>
        <v>0</v>
      </c>
      <c r="S305">
        <f t="shared" si="112"/>
        <v>9.70592698618905e-5</v>
      </c>
      <c r="T305">
        <f t="shared" si="113"/>
        <v>0</v>
      </c>
      <c r="U305" s="52">
        <f t="shared" si="114"/>
        <v>0</v>
      </c>
      <c r="V305">
        <f t="shared" si="115"/>
        <v>0</v>
      </c>
      <c r="W305">
        <f t="shared" si="116"/>
        <v>65.847565</v>
      </c>
      <c r="X305">
        <f t="shared" si="117"/>
        <v>0</v>
      </c>
      <c r="Y305">
        <f t="shared" si="118"/>
        <v>0</v>
      </c>
      <c r="Z305">
        <f t="shared" si="119"/>
        <v>0</v>
      </c>
      <c r="AA305">
        <f t="shared" si="120"/>
        <v>176.151993</v>
      </c>
      <c r="AB305">
        <f t="shared" si="121"/>
        <v>0</v>
      </c>
      <c r="AC305">
        <f t="shared" si="122"/>
        <v>0</v>
      </c>
    </row>
    <row r="306" spans="2:29">
      <c r="B306" s="5">
        <v>15</v>
      </c>
      <c r="C306" s="6">
        <v>65.702515</v>
      </c>
      <c r="D306" s="6">
        <v>175.297852</v>
      </c>
      <c r="E306">
        <v>0.45</v>
      </c>
      <c r="F306" s="5">
        <f t="shared" si="99"/>
        <v>65.4692044253266</v>
      </c>
      <c r="G306">
        <f t="shared" si="100"/>
        <v>175.406379284655</v>
      </c>
      <c r="H306">
        <f t="shared" si="101"/>
        <v>0.176926117263751</v>
      </c>
      <c r="I306">
        <f t="shared" si="102"/>
        <v>0.366908958273724</v>
      </c>
      <c r="J306">
        <f t="shared" si="103"/>
        <v>65.6461305425903</v>
      </c>
      <c r="K306">
        <f t="shared" si="104"/>
        <v>175.773288242929</v>
      </c>
      <c r="L306">
        <f t="shared" si="105"/>
        <v>7.36469597029721e-7</v>
      </c>
      <c r="M306">
        <f t="shared" si="106"/>
        <v>7.35582488191121e-6</v>
      </c>
      <c r="N306" s="47">
        <f t="shared" si="107"/>
        <v>0</v>
      </c>
      <c r="O306">
        <f t="shared" si="108"/>
        <v>0</v>
      </c>
      <c r="P306">
        <f t="shared" si="109"/>
        <v>7.36469597029721e-7</v>
      </c>
      <c r="Q306">
        <f t="shared" si="110"/>
        <v>0</v>
      </c>
      <c r="R306">
        <f t="shared" si="111"/>
        <v>0</v>
      </c>
      <c r="S306">
        <f t="shared" si="112"/>
        <v>0</v>
      </c>
      <c r="T306">
        <f t="shared" si="113"/>
        <v>7.35582488191121e-6</v>
      </c>
      <c r="U306" s="52">
        <f t="shared" si="114"/>
        <v>0</v>
      </c>
      <c r="V306">
        <f t="shared" si="115"/>
        <v>0</v>
      </c>
      <c r="W306">
        <f t="shared" si="116"/>
        <v>0</v>
      </c>
      <c r="X306">
        <f t="shared" si="117"/>
        <v>65.702515</v>
      </c>
      <c r="Y306">
        <f t="shared" si="118"/>
        <v>0</v>
      </c>
      <c r="Z306">
        <f t="shared" si="119"/>
        <v>0</v>
      </c>
      <c r="AA306">
        <f t="shared" si="120"/>
        <v>0</v>
      </c>
      <c r="AB306">
        <f t="shared" si="121"/>
        <v>175.297852</v>
      </c>
      <c r="AC306">
        <f t="shared" si="122"/>
        <v>0</v>
      </c>
    </row>
    <row r="307" spans="2:29">
      <c r="B307" s="5">
        <v>16</v>
      </c>
      <c r="C307" s="6">
        <v>64.942841</v>
      </c>
      <c r="D307" s="6">
        <v>171.144913</v>
      </c>
      <c r="E307">
        <v>0.85</v>
      </c>
      <c r="F307" s="5">
        <f t="shared" si="99"/>
        <v>65.597525241397</v>
      </c>
      <c r="G307">
        <f t="shared" si="100"/>
        <v>175.346689278095</v>
      </c>
      <c r="H307">
        <f t="shared" si="101"/>
        <v>0.135611611249402</v>
      </c>
      <c r="I307">
        <f t="shared" si="102"/>
        <v>0.00429983816495861</v>
      </c>
      <c r="J307">
        <f t="shared" si="103"/>
        <v>65.7331368526464</v>
      </c>
      <c r="K307">
        <f t="shared" si="104"/>
        <v>175.35098911626</v>
      </c>
      <c r="L307">
        <f t="shared" si="105"/>
        <v>0.000148086967164929</v>
      </c>
      <c r="M307">
        <f t="shared" si="106"/>
        <v>0.000603985156433868</v>
      </c>
      <c r="N307" s="47">
        <f t="shared" si="107"/>
        <v>0</v>
      </c>
      <c r="O307">
        <f t="shared" si="108"/>
        <v>0</v>
      </c>
      <c r="P307">
        <f t="shared" si="109"/>
        <v>0</v>
      </c>
      <c r="Q307">
        <f t="shared" si="110"/>
        <v>0.000148086967164929</v>
      </c>
      <c r="R307">
        <f t="shared" si="111"/>
        <v>0</v>
      </c>
      <c r="S307">
        <f t="shared" si="112"/>
        <v>0</v>
      </c>
      <c r="T307">
        <f t="shared" si="113"/>
        <v>0</v>
      </c>
      <c r="U307" s="52">
        <f t="shared" si="114"/>
        <v>0.000603985156433868</v>
      </c>
      <c r="V307">
        <f t="shared" si="115"/>
        <v>0</v>
      </c>
      <c r="W307">
        <f t="shared" si="116"/>
        <v>0</v>
      </c>
      <c r="X307">
        <f t="shared" si="117"/>
        <v>0</v>
      </c>
      <c r="Y307">
        <f t="shared" si="118"/>
        <v>64.942841</v>
      </c>
      <c r="Z307">
        <f t="shared" si="119"/>
        <v>0</v>
      </c>
      <c r="AA307">
        <f t="shared" si="120"/>
        <v>0</v>
      </c>
      <c r="AB307">
        <f t="shared" si="121"/>
        <v>0</v>
      </c>
      <c r="AC307">
        <f t="shared" si="122"/>
        <v>171.144913</v>
      </c>
    </row>
    <row r="308" spans="2:29">
      <c r="B308" s="5">
        <v>17</v>
      </c>
      <c r="C308" s="6">
        <v>63.784916</v>
      </c>
      <c r="D308" s="6">
        <v>169.407135</v>
      </c>
      <c r="E308">
        <v>0.15</v>
      </c>
      <c r="F308" s="5">
        <f t="shared" si="99"/>
        <v>65.2374489086286</v>
      </c>
      <c r="G308">
        <f t="shared" si="100"/>
        <v>173.035712325143</v>
      </c>
      <c r="H308">
        <f t="shared" si="101"/>
        <v>0.0612584196467423</v>
      </c>
      <c r="I308">
        <f t="shared" si="102"/>
        <v>-0.342991680502596</v>
      </c>
      <c r="J308">
        <f t="shared" si="103"/>
        <v>65.2987073282754</v>
      </c>
      <c r="K308">
        <f t="shared" si="104"/>
        <v>172.69272064464</v>
      </c>
      <c r="L308">
        <f t="shared" si="105"/>
        <v>0.000563243320670891</v>
      </c>
      <c r="M308">
        <f t="shared" si="106"/>
        <v>0.000376150972634698</v>
      </c>
      <c r="N308" s="47">
        <f t="shared" si="107"/>
        <v>0.000563243320670891</v>
      </c>
      <c r="O308">
        <f t="shared" si="108"/>
        <v>0</v>
      </c>
      <c r="P308">
        <f t="shared" si="109"/>
        <v>0</v>
      </c>
      <c r="Q308">
        <f t="shared" si="110"/>
        <v>0</v>
      </c>
      <c r="R308">
        <f t="shared" si="111"/>
        <v>0.000376150972634698</v>
      </c>
      <c r="S308">
        <f t="shared" si="112"/>
        <v>0</v>
      </c>
      <c r="T308">
        <f t="shared" si="113"/>
        <v>0</v>
      </c>
      <c r="U308" s="52">
        <f t="shared" si="114"/>
        <v>0</v>
      </c>
      <c r="V308">
        <f t="shared" si="115"/>
        <v>63.784916</v>
      </c>
      <c r="W308">
        <f t="shared" si="116"/>
        <v>0</v>
      </c>
      <c r="X308">
        <f t="shared" si="117"/>
        <v>0</v>
      </c>
      <c r="Y308">
        <f t="shared" si="118"/>
        <v>0</v>
      </c>
      <c r="Z308">
        <f t="shared" si="119"/>
        <v>169.407135</v>
      </c>
      <c r="AA308">
        <f t="shared" si="120"/>
        <v>0</v>
      </c>
      <c r="AB308">
        <f t="shared" si="121"/>
        <v>0</v>
      </c>
      <c r="AC308">
        <f t="shared" si="122"/>
        <v>0</v>
      </c>
    </row>
    <row r="309" spans="2:29">
      <c r="B309" s="5">
        <v>18</v>
      </c>
      <c r="C309" s="6">
        <v>64.347893</v>
      </c>
      <c r="D309" s="6">
        <v>170.055115</v>
      </c>
      <c r="E309">
        <v>0.25</v>
      </c>
      <c r="F309" s="5">
        <f t="shared" si="99"/>
        <v>64.4385558088829</v>
      </c>
      <c r="G309">
        <f t="shared" si="100"/>
        <v>171.039994796314</v>
      </c>
      <c r="H309">
        <f t="shared" si="101"/>
        <v>-0.153779460201382</v>
      </c>
      <c r="I309">
        <f t="shared" si="102"/>
        <v>-0.756173142584056</v>
      </c>
      <c r="J309">
        <f t="shared" si="103"/>
        <v>64.2847763486815</v>
      </c>
      <c r="K309">
        <f t="shared" si="104"/>
        <v>170.28382165373</v>
      </c>
      <c r="L309">
        <f t="shared" si="105"/>
        <v>9.62097832626538e-7</v>
      </c>
      <c r="M309">
        <f t="shared" si="106"/>
        <v>1.80874856905699e-6</v>
      </c>
      <c r="N309" s="47">
        <f t="shared" si="107"/>
        <v>0</v>
      </c>
      <c r="O309">
        <f t="shared" si="108"/>
        <v>9.62097832626538e-7</v>
      </c>
      <c r="P309">
        <f t="shared" si="109"/>
        <v>0</v>
      </c>
      <c r="Q309">
        <f t="shared" si="110"/>
        <v>0</v>
      </c>
      <c r="R309">
        <f t="shared" si="111"/>
        <v>0</v>
      </c>
      <c r="S309">
        <f t="shared" si="112"/>
        <v>1.80874856905699e-6</v>
      </c>
      <c r="T309">
        <f t="shared" si="113"/>
        <v>0</v>
      </c>
      <c r="U309" s="52">
        <f t="shared" si="114"/>
        <v>0</v>
      </c>
      <c r="V309">
        <f t="shared" si="115"/>
        <v>0</v>
      </c>
      <c r="W309">
        <f t="shared" si="116"/>
        <v>64.347893</v>
      </c>
      <c r="X309">
        <f t="shared" si="117"/>
        <v>0</v>
      </c>
      <c r="Y309">
        <f t="shared" si="118"/>
        <v>0</v>
      </c>
      <c r="Z309">
        <f t="shared" si="119"/>
        <v>0</v>
      </c>
      <c r="AA309">
        <f t="shared" si="120"/>
        <v>170.055115</v>
      </c>
      <c r="AB309">
        <f t="shared" si="121"/>
        <v>0</v>
      </c>
      <c r="AC309">
        <f t="shared" si="122"/>
        <v>0</v>
      </c>
    </row>
    <row r="310" spans="2:29">
      <c r="B310" s="5">
        <v>19</v>
      </c>
      <c r="C310" s="6">
        <v>65.291946</v>
      </c>
      <c r="D310" s="6">
        <v>170.84053</v>
      </c>
      <c r="E310">
        <v>0.45</v>
      </c>
      <c r="F310" s="5">
        <f t="shared" si="99"/>
        <v>64.3886912639973</v>
      </c>
      <c r="G310">
        <f t="shared" si="100"/>
        <v>170.498310908341</v>
      </c>
      <c r="H310">
        <f t="shared" si="101"/>
        <v>-0.107017748309277</v>
      </c>
      <c r="I310">
        <f t="shared" si="102"/>
        <v>-0.659652978008989</v>
      </c>
      <c r="J310">
        <f t="shared" si="103"/>
        <v>64.281673515688</v>
      </c>
      <c r="K310">
        <f t="shared" si="104"/>
        <v>169.838657930332</v>
      </c>
      <c r="L310">
        <f t="shared" si="105"/>
        <v>0.000239418565278888</v>
      </c>
      <c r="M310">
        <f t="shared" si="106"/>
        <v>3.43908348619613e-5</v>
      </c>
      <c r="N310" s="47">
        <f t="shared" si="107"/>
        <v>0</v>
      </c>
      <c r="O310">
        <f t="shared" si="108"/>
        <v>0</v>
      </c>
      <c r="P310">
        <f t="shared" si="109"/>
        <v>0.000239418565278888</v>
      </c>
      <c r="Q310">
        <f t="shared" si="110"/>
        <v>0</v>
      </c>
      <c r="R310">
        <f t="shared" si="111"/>
        <v>0</v>
      </c>
      <c r="S310">
        <f t="shared" si="112"/>
        <v>0</v>
      </c>
      <c r="T310">
        <f t="shared" si="113"/>
        <v>3.43908348619613e-5</v>
      </c>
      <c r="U310" s="52">
        <f t="shared" si="114"/>
        <v>0</v>
      </c>
      <c r="V310">
        <f t="shared" si="115"/>
        <v>0</v>
      </c>
      <c r="W310">
        <f t="shared" si="116"/>
        <v>0</v>
      </c>
      <c r="X310">
        <f t="shared" si="117"/>
        <v>65.291946</v>
      </c>
      <c r="Y310">
        <f t="shared" si="118"/>
        <v>0</v>
      </c>
      <c r="Z310">
        <f t="shared" si="119"/>
        <v>0</v>
      </c>
      <c r="AA310">
        <f t="shared" si="120"/>
        <v>0</v>
      </c>
      <c r="AB310">
        <f t="shared" si="121"/>
        <v>170.84053</v>
      </c>
      <c r="AC310">
        <f t="shared" si="122"/>
        <v>0</v>
      </c>
    </row>
    <row r="311" spans="2:29">
      <c r="B311" s="5">
        <v>20</v>
      </c>
      <c r="C311" s="6">
        <v>66.553131</v>
      </c>
      <c r="D311" s="6">
        <v>172.264145</v>
      </c>
      <c r="E311">
        <v>0.85</v>
      </c>
      <c r="F311" s="5">
        <f t="shared" si="99"/>
        <v>64.8854813687988</v>
      </c>
      <c r="G311">
        <f t="shared" si="100"/>
        <v>170.686531408754</v>
      </c>
      <c r="H311">
        <f t="shared" si="101"/>
        <v>0.406218926834876</v>
      </c>
      <c r="I311">
        <f t="shared" si="102"/>
        <v>0.06103947864907</v>
      </c>
      <c r="J311">
        <f t="shared" si="103"/>
        <v>65.2917002956337</v>
      </c>
      <c r="K311">
        <f t="shared" si="104"/>
        <v>170.747570887403</v>
      </c>
      <c r="L311">
        <f t="shared" si="105"/>
        <v>0.000359244239030616</v>
      </c>
      <c r="M311">
        <f t="shared" si="106"/>
        <v>7.75063867341622e-5</v>
      </c>
      <c r="N311" s="47">
        <f t="shared" si="107"/>
        <v>0</v>
      </c>
      <c r="O311">
        <f t="shared" si="108"/>
        <v>0</v>
      </c>
      <c r="P311">
        <f t="shared" si="109"/>
        <v>0</v>
      </c>
      <c r="Q311">
        <f t="shared" si="110"/>
        <v>0.000359244239030616</v>
      </c>
      <c r="R311">
        <f t="shared" si="111"/>
        <v>0</v>
      </c>
      <c r="S311">
        <f t="shared" si="112"/>
        <v>0</v>
      </c>
      <c r="T311">
        <f t="shared" si="113"/>
        <v>0</v>
      </c>
      <c r="U311" s="52">
        <f t="shared" si="114"/>
        <v>7.75063867341622e-5</v>
      </c>
      <c r="V311">
        <f t="shared" si="115"/>
        <v>0</v>
      </c>
      <c r="W311">
        <f t="shared" si="116"/>
        <v>0</v>
      </c>
      <c r="X311">
        <f t="shared" si="117"/>
        <v>0</v>
      </c>
      <c r="Y311">
        <f t="shared" si="118"/>
        <v>66.553131</v>
      </c>
      <c r="Z311">
        <f t="shared" si="119"/>
        <v>0</v>
      </c>
      <c r="AA311">
        <f t="shared" si="120"/>
        <v>0</v>
      </c>
      <c r="AB311">
        <f t="shared" si="121"/>
        <v>0</v>
      </c>
      <c r="AC311">
        <f t="shared" si="122"/>
        <v>172.264145</v>
      </c>
    </row>
    <row r="312" spans="2:29">
      <c r="B312" s="5">
        <v>21</v>
      </c>
      <c r="C312" s="6">
        <v>65.621384</v>
      </c>
      <c r="D312" s="6">
        <v>171.311798</v>
      </c>
      <c r="E312">
        <v>0.15</v>
      </c>
      <c r="F312" s="5">
        <f t="shared" si="99"/>
        <v>65.8026886659594</v>
      </c>
      <c r="G312">
        <f t="shared" si="100"/>
        <v>171.554218883939</v>
      </c>
      <c r="H312">
        <f t="shared" si="101"/>
        <v>0.482867182383743</v>
      </c>
      <c r="I312">
        <f t="shared" si="102"/>
        <v>0.182036678129535</v>
      </c>
      <c r="J312">
        <f t="shared" si="103"/>
        <v>66.2855558483432</v>
      </c>
      <c r="K312">
        <f t="shared" si="104"/>
        <v>171.736255562069</v>
      </c>
      <c r="L312">
        <f t="shared" si="105"/>
        <v>0.000102440138218344</v>
      </c>
      <c r="M312">
        <f t="shared" si="106"/>
        <v>6.13894869881985e-6</v>
      </c>
      <c r="N312" s="47">
        <f t="shared" si="107"/>
        <v>0.000102440138218344</v>
      </c>
      <c r="O312">
        <f t="shared" si="108"/>
        <v>0</v>
      </c>
      <c r="P312">
        <f t="shared" si="109"/>
        <v>0</v>
      </c>
      <c r="Q312">
        <f t="shared" si="110"/>
        <v>0</v>
      </c>
      <c r="R312">
        <f t="shared" si="111"/>
        <v>6.13894869881985e-6</v>
      </c>
      <c r="S312">
        <f t="shared" si="112"/>
        <v>0</v>
      </c>
      <c r="T312">
        <f t="shared" si="113"/>
        <v>0</v>
      </c>
      <c r="U312" s="52">
        <f t="shared" si="114"/>
        <v>0</v>
      </c>
      <c r="V312">
        <f t="shared" si="115"/>
        <v>65.621384</v>
      </c>
      <c r="W312">
        <f t="shared" si="116"/>
        <v>0</v>
      </c>
      <c r="X312">
        <f t="shared" si="117"/>
        <v>0</v>
      </c>
      <c r="Y312">
        <f t="shared" si="118"/>
        <v>0</v>
      </c>
      <c r="Z312">
        <f t="shared" si="119"/>
        <v>171.311798</v>
      </c>
      <c r="AA312">
        <f t="shared" si="120"/>
        <v>0</v>
      </c>
      <c r="AB312">
        <f t="shared" si="121"/>
        <v>0</v>
      </c>
      <c r="AC312">
        <f t="shared" si="122"/>
        <v>0</v>
      </c>
    </row>
    <row r="313" spans="2:29">
      <c r="B313" s="5">
        <v>22</v>
      </c>
      <c r="C313" s="6">
        <v>66.004898</v>
      </c>
      <c r="D313" s="6">
        <v>170.86998</v>
      </c>
      <c r="E313">
        <v>0.25</v>
      </c>
      <c r="F313" s="5">
        <f t="shared" si="99"/>
        <v>65.7029710996817</v>
      </c>
      <c r="G313">
        <f t="shared" si="100"/>
        <v>171.420887397773</v>
      </c>
      <c r="H313">
        <f t="shared" si="101"/>
        <v>0.337220995218385</v>
      </c>
      <c r="I313">
        <f t="shared" si="102"/>
        <v>0.10319463705552</v>
      </c>
      <c r="J313">
        <f t="shared" si="103"/>
        <v>66.0401920949001</v>
      </c>
      <c r="K313">
        <f t="shared" si="104"/>
        <v>171.524082034828</v>
      </c>
      <c r="L313">
        <f t="shared" si="105"/>
        <v>2.8592476292653e-7</v>
      </c>
      <c r="M313">
        <f t="shared" si="106"/>
        <v>1.4654110537404e-5</v>
      </c>
      <c r="N313" s="47">
        <f t="shared" si="107"/>
        <v>0</v>
      </c>
      <c r="O313">
        <f t="shared" si="108"/>
        <v>2.8592476292653e-7</v>
      </c>
      <c r="P313">
        <f t="shared" si="109"/>
        <v>0</v>
      </c>
      <c r="Q313">
        <f t="shared" si="110"/>
        <v>0</v>
      </c>
      <c r="R313">
        <f t="shared" si="111"/>
        <v>0</v>
      </c>
      <c r="S313">
        <f t="shared" si="112"/>
        <v>1.4654110537404e-5</v>
      </c>
      <c r="T313">
        <f t="shared" si="113"/>
        <v>0</v>
      </c>
      <c r="U313" s="52">
        <f t="shared" si="114"/>
        <v>0</v>
      </c>
      <c r="V313">
        <f t="shared" si="115"/>
        <v>0</v>
      </c>
      <c r="W313">
        <f t="shared" si="116"/>
        <v>66.004898</v>
      </c>
      <c r="X313">
        <f t="shared" si="117"/>
        <v>0</v>
      </c>
      <c r="Y313">
        <f t="shared" si="118"/>
        <v>0</v>
      </c>
      <c r="Z313">
        <f t="shared" si="119"/>
        <v>0</v>
      </c>
      <c r="AA313">
        <f t="shared" si="120"/>
        <v>170.86998</v>
      </c>
      <c r="AB313">
        <f t="shared" si="121"/>
        <v>0</v>
      </c>
      <c r="AC313">
        <f t="shared" si="122"/>
        <v>0</v>
      </c>
    </row>
    <row r="314" spans="2:29">
      <c r="B314" s="5">
        <v>23</v>
      </c>
      <c r="C314" s="6">
        <v>66.567886</v>
      </c>
      <c r="D314" s="6">
        <v>172.804092</v>
      </c>
      <c r="E314">
        <v>0.45</v>
      </c>
      <c r="F314" s="5">
        <f t="shared" si="99"/>
        <v>65.8690308948568</v>
      </c>
      <c r="G314">
        <f t="shared" si="100"/>
        <v>171.117888328998</v>
      </c>
      <c r="H314">
        <f t="shared" si="101"/>
        <v>0.260198455198882</v>
      </c>
      <c r="I314">
        <f t="shared" si="102"/>
        <v>-0.0795925305681859</v>
      </c>
      <c r="J314">
        <f t="shared" si="103"/>
        <v>66.1292293500557</v>
      </c>
      <c r="K314">
        <f t="shared" si="104"/>
        <v>171.038295798429</v>
      </c>
      <c r="L314">
        <f t="shared" si="105"/>
        <v>4.34230079982757e-5</v>
      </c>
      <c r="M314">
        <f t="shared" si="106"/>
        <v>0.000104417456927634</v>
      </c>
      <c r="N314" s="47">
        <f t="shared" si="107"/>
        <v>0</v>
      </c>
      <c r="O314">
        <f t="shared" si="108"/>
        <v>0</v>
      </c>
      <c r="P314">
        <f t="shared" si="109"/>
        <v>4.34230079982757e-5</v>
      </c>
      <c r="Q314">
        <f t="shared" si="110"/>
        <v>0</v>
      </c>
      <c r="R314">
        <f t="shared" si="111"/>
        <v>0</v>
      </c>
      <c r="S314">
        <f t="shared" si="112"/>
        <v>0</v>
      </c>
      <c r="T314">
        <f t="shared" si="113"/>
        <v>0.000104417456927634</v>
      </c>
      <c r="U314" s="52">
        <f t="shared" si="114"/>
        <v>0</v>
      </c>
      <c r="V314">
        <f t="shared" si="115"/>
        <v>0</v>
      </c>
      <c r="W314">
        <f t="shared" si="116"/>
        <v>0</v>
      </c>
      <c r="X314">
        <f t="shared" si="117"/>
        <v>66.567886</v>
      </c>
      <c r="Y314">
        <f t="shared" si="118"/>
        <v>0</v>
      </c>
      <c r="Z314">
        <f t="shared" si="119"/>
        <v>0</v>
      </c>
      <c r="AA314">
        <f t="shared" si="120"/>
        <v>0</v>
      </c>
      <c r="AB314">
        <f t="shared" si="121"/>
        <v>172.804092</v>
      </c>
      <c r="AC314">
        <f t="shared" si="122"/>
        <v>0</v>
      </c>
    </row>
    <row r="315" spans="2:29">
      <c r="B315" s="5">
        <v>24</v>
      </c>
      <c r="C315" s="6">
        <v>66.737518</v>
      </c>
      <c r="D315" s="6">
        <v>174.158981</v>
      </c>
      <c r="E315">
        <v>0.85</v>
      </c>
      <c r="F315" s="5">
        <f t="shared" si="99"/>
        <v>66.2534012026856</v>
      </c>
      <c r="G315">
        <f t="shared" si="100"/>
        <v>172.045300348049</v>
      </c>
      <c r="H315">
        <f t="shared" si="101"/>
        <v>0.365744529934279</v>
      </c>
      <c r="I315">
        <f t="shared" si="102"/>
        <v>0.776361336608356</v>
      </c>
      <c r="J315">
        <f t="shared" si="103"/>
        <v>66.6191457326198</v>
      </c>
      <c r="K315">
        <f t="shared" si="104"/>
        <v>172.821661684657</v>
      </c>
      <c r="L315">
        <f t="shared" si="105"/>
        <v>3.14600805973768e-6</v>
      </c>
      <c r="M315">
        <f t="shared" si="106"/>
        <v>5.89628523655815e-5</v>
      </c>
      <c r="N315" s="47">
        <f t="shared" si="107"/>
        <v>0</v>
      </c>
      <c r="O315">
        <f t="shared" si="108"/>
        <v>0</v>
      </c>
      <c r="P315">
        <f t="shared" si="109"/>
        <v>0</v>
      </c>
      <c r="Q315">
        <f t="shared" si="110"/>
        <v>3.14600805973768e-6</v>
      </c>
      <c r="R315">
        <f t="shared" si="111"/>
        <v>0</v>
      </c>
      <c r="S315">
        <f t="shared" si="112"/>
        <v>0</v>
      </c>
      <c r="T315">
        <f t="shared" si="113"/>
        <v>0</v>
      </c>
      <c r="U315" s="52">
        <f t="shared" si="114"/>
        <v>5.89628523655815e-5</v>
      </c>
      <c r="V315">
        <f t="shared" si="115"/>
        <v>0</v>
      </c>
      <c r="W315">
        <f t="shared" si="116"/>
        <v>0</v>
      </c>
      <c r="X315">
        <f t="shared" si="117"/>
        <v>0</v>
      </c>
      <c r="Y315">
        <f t="shared" si="118"/>
        <v>66.737518</v>
      </c>
      <c r="Z315">
        <f t="shared" si="119"/>
        <v>0</v>
      </c>
      <c r="AA315">
        <f t="shared" si="120"/>
        <v>0</v>
      </c>
      <c r="AB315">
        <f t="shared" si="121"/>
        <v>0</v>
      </c>
      <c r="AC315">
        <f t="shared" si="122"/>
        <v>174.158981</v>
      </c>
    </row>
    <row r="316" spans="2:29">
      <c r="B316" s="5">
        <v>25</v>
      </c>
      <c r="C316" s="6">
        <v>67.644707</v>
      </c>
      <c r="D316" s="6">
        <v>173.756439</v>
      </c>
      <c r="E316">
        <v>0.15</v>
      </c>
      <c r="F316" s="5">
        <f t="shared" si="99"/>
        <v>66.5196654412085</v>
      </c>
      <c r="G316">
        <f t="shared" si="100"/>
        <v>173.207824706622</v>
      </c>
      <c r="H316">
        <f t="shared" si="101"/>
        <v>0.350822486222579</v>
      </c>
      <c r="I316">
        <f t="shared" si="102"/>
        <v>0.834285789903064</v>
      </c>
      <c r="J316">
        <f t="shared" si="103"/>
        <v>66.8704879274311</v>
      </c>
      <c r="K316">
        <f t="shared" si="104"/>
        <v>174.042110496525</v>
      </c>
      <c r="L316">
        <f t="shared" si="105"/>
        <v>0.00013099662046</v>
      </c>
      <c r="M316">
        <f t="shared" si="106"/>
        <v>2.70303708925808e-6</v>
      </c>
      <c r="N316" s="47">
        <f t="shared" si="107"/>
        <v>0.00013099662046</v>
      </c>
      <c r="O316">
        <f t="shared" si="108"/>
        <v>0</v>
      </c>
      <c r="P316">
        <f t="shared" si="109"/>
        <v>0</v>
      </c>
      <c r="Q316">
        <f t="shared" si="110"/>
        <v>0</v>
      </c>
      <c r="R316">
        <f t="shared" si="111"/>
        <v>2.70303708925808e-6</v>
      </c>
      <c r="S316">
        <f t="shared" si="112"/>
        <v>0</v>
      </c>
      <c r="T316">
        <f t="shared" si="113"/>
        <v>0</v>
      </c>
      <c r="U316" s="52">
        <f t="shared" si="114"/>
        <v>0</v>
      </c>
      <c r="V316">
        <f t="shared" si="115"/>
        <v>67.644707</v>
      </c>
      <c r="W316">
        <f t="shared" si="116"/>
        <v>0</v>
      </c>
      <c r="X316">
        <f t="shared" si="117"/>
        <v>0</v>
      </c>
      <c r="Y316">
        <f t="shared" si="118"/>
        <v>0</v>
      </c>
      <c r="Z316">
        <f t="shared" si="119"/>
        <v>173.756439</v>
      </c>
      <c r="AA316">
        <f t="shared" si="120"/>
        <v>0</v>
      </c>
      <c r="AB316">
        <f t="shared" si="121"/>
        <v>0</v>
      </c>
      <c r="AC316">
        <f t="shared" si="122"/>
        <v>0</v>
      </c>
    </row>
    <row r="317" spans="2:29">
      <c r="B317" s="5">
        <v>26</v>
      </c>
      <c r="C317" s="6">
        <v>68.802635</v>
      </c>
      <c r="D317" s="6">
        <v>173.186996</v>
      </c>
      <c r="E317">
        <v>0.25</v>
      </c>
      <c r="F317" s="5">
        <f t="shared" si="99"/>
        <v>67.1384382985438</v>
      </c>
      <c r="G317">
        <f t="shared" si="100"/>
        <v>173.50956256798</v>
      </c>
      <c r="H317">
        <f t="shared" si="101"/>
        <v>0.417810079000767</v>
      </c>
      <c r="I317">
        <f t="shared" si="102"/>
        <v>0.701148807766768</v>
      </c>
      <c r="J317">
        <f t="shared" si="103"/>
        <v>67.5562483775446</v>
      </c>
      <c r="K317">
        <f t="shared" si="104"/>
        <v>174.210711375747</v>
      </c>
      <c r="L317">
        <f t="shared" si="105"/>
        <v>0.00032816738455322</v>
      </c>
      <c r="M317">
        <f t="shared" si="106"/>
        <v>3.49404017256378e-5</v>
      </c>
      <c r="N317" s="47">
        <f t="shared" si="107"/>
        <v>0</v>
      </c>
      <c r="O317">
        <f t="shared" si="108"/>
        <v>0.00032816738455322</v>
      </c>
      <c r="P317">
        <f t="shared" si="109"/>
        <v>0</v>
      </c>
      <c r="Q317">
        <f t="shared" si="110"/>
        <v>0</v>
      </c>
      <c r="R317">
        <f t="shared" si="111"/>
        <v>0</v>
      </c>
      <c r="S317">
        <f t="shared" si="112"/>
        <v>3.49404017256378e-5</v>
      </c>
      <c r="T317">
        <f t="shared" si="113"/>
        <v>0</v>
      </c>
      <c r="U317" s="52">
        <f t="shared" si="114"/>
        <v>0</v>
      </c>
      <c r="V317">
        <f t="shared" si="115"/>
        <v>0</v>
      </c>
      <c r="W317">
        <f t="shared" si="116"/>
        <v>68.802635</v>
      </c>
      <c r="X317">
        <f t="shared" si="117"/>
        <v>0</v>
      </c>
      <c r="Y317">
        <f t="shared" si="118"/>
        <v>0</v>
      </c>
      <c r="Z317">
        <f t="shared" si="119"/>
        <v>0</v>
      </c>
      <c r="AA317">
        <f t="shared" si="120"/>
        <v>173.186996</v>
      </c>
      <c r="AB317">
        <f t="shared" si="121"/>
        <v>0</v>
      </c>
      <c r="AC317">
        <f t="shared" si="122"/>
        <v>0</v>
      </c>
    </row>
    <row r="318" spans="2:29">
      <c r="B318" s="5">
        <v>27</v>
      </c>
      <c r="C318" s="6">
        <v>68.937851</v>
      </c>
      <c r="D318" s="6">
        <v>173.481537</v>
      </c>
      <c r="E318">
        <v>0.45</v>
      </c>
      <c r="F318" s="5">
        <f t="shared" si="99"/>
        <v>68.0537464843447</v>
      </c>
      <c r="G318">
        <f t="shared" si="100"/>
        <v>173.332150955591</v>
      </c>
      <c r="H318">
        <f t="shared" si="101"/>
        <v>0.641684227060825</v>
      </c>
      <c r="I318">
        <f t="shared" si="102"/>
        <v>0.305796618696688</v>
      </c>
      <c r="J318">
        <f t="shared" si="103"/>
        <v>68.6954307114055</v>
      </c>
      <c r="K318">
        <f t="shared" si="104"/>
        <v>173.637947574288</v>
      </c>
      <c r="L318">
        <f t="shared" si="105"/>
        <v>1.23658064829426e-5</v>
      </c>
      <c r="M318">
        <f t="shared" si="106"/>
        <v>8.12878615705349e-7</v>
      </c>
      <c r="N318" s="47">
        <f t="shared" si="107"/>
        <v>0</v>
      </c>
      <c r="O318">
        <f t="shared" si="108"/>
        <v>0</v>
      </c>
      <c r="P318">
        <f t="shared" si="109"/>
        <v>1.23658064829426e-5</v>
      </c>
      <c r="Q318">
        <f t="shared" si="110"/>
        <v>0</v>
      </c>
      <c r="R318">
        <f t="shared" si="111"/>
        <v>0</v>
      </c>
      <c r="S318">
        <f t="shared" si="112"/>
        <v>0</v>
      </c>
      <c r="T318">
        <f t="shared" si="113"/>
        <v>8.12878615705349e-7</v>
      </c>
      <c r="U318" s="52">
        <f t="shared" si="114"/>
        <v>0</v>
      </c>
      <c r="V318">
        <f t="shared" si="115"/>
        <v>0</v>
      </c>
      <c r="W318">
        <f t="shared" si="116"/>
        <v>0</v>
      </c>
      <c r="X318">
        <f t="shared" si="117"/>
        <v>68.937851</v>
      </c>
      <c r="Y318">
        <f t="shared" si="118"/>
        <v>0</v>
      </c>
      <c r="Z318">
        <f t="shared" si="119"/>
        <v>0</v>
      </c>
      <c r="AA318">
        <f t="shared" si="120"/>
        <v>0</v>
      </c>
      <c r="AB318">
        <f t="shared" si="121"/>
        <v>173.481537</v>
      </c>
      <c r="AC318">
        <f t="shared" si="122"/>
        <v>0</v>
      </c>
    </row>
    <row r="319" spans="2:29">
      <c r="B319" s="5">
        <v>28</v>
      </c>
      <c r="C319" s="6">
        <v>68.773132</v>
      </c>
      <c r="D319" s="6">
        <v>171.459061</v>
      </c>
      <c r="E319">
        <v>0.85</v>
      </c>
      <c r="F319" s="5">
        <f t="shared" si="99"/>
        <v>68.5400039679551</v>
      </c>
      <c r="G319">
        <f t="shared" si="100"/>
        <v>173.414313280016</v>
      </c>
      <c r="H319">
        <f t="shared" si="101"/>
        <v>0.509571495127965</v>
      </c>
      <c r="I319">
        <f t="shared" si="102"/>
        <v>0.11570746856574</v>
      </c>
      <c r="J319">
        <f t="shared" si="103"/>
        <v>69.0495754630831</v>
      </c>
      <c r="K319">
        <f t="shared" si="104"/>
        <v>173.530020748582</v>
      </c>
      <c r="L319">
        <f t="shared" si="105"/>
        <v>1.61575327056927e-5</v>
      </c>
      <c r="M319">
        <f t="shared" si="106"/>
        <v>0.000145888961904372</v>
      </c>
      <c r="N319" s="47">
        <f t="shared" si="107"/>
        <v>0</v>
      </c>
      <c r="O319">
        <f t="shared" si="108"/>
        <v>0</v>
      </c>
      <c r="P319">
        <f t="shared" si="109"/>
        <v>0</v>
      </c>
      <c r="Q319">
        <f t="shared" si="110"/>
        <v>1.61575327056927e-5</v>
      </c>
      <c r="R319">
        <f t="shared" si="111"/>
        <v>0</v>
      </c>
      <c r="S319">
        <f t="shared" si="112"/>
        <v>0</v>
      </c>
      <c r="T319">
        <f t="shared" si="113"/>
        <v>0</v>
      </c>
      <c r="U319" s="52">
        <f t="shared" si="114"/>
        <v>0.000145888961904372</v>
      </c>
      <c r="V319">
        <f t="shared" si="115"/>
        <v>0</v>
      </c>
      <c r="W319">
        <f t="shared" si="116"/>
        <v>0</v>
      </c>
      <c r="X319">
        <f t="shared" si="117"/>
        <v>0</v>
      </c>
      <c r="Y319">
        <f t="shared" si="118"/>
        <v>68.773132</v>
      </c>
      <c r="Z319">
        <f t="shared" si="119"/>
        <v>0</v>
      </c>
      <c r="AA319">
        <f t="shared" si="120"/>
        <v>0</v>
      </c>
      <c r="AB319">
        <f t="shared" si="121"/>
        <v>0</v>
      </c>
      <c r="AC319">
        <f t="shared" si="122"/>
        <v>171.459061</v>
      </c>
    </row>
    <row r="320" spans="2:29">
      <c r="B320" s="5">
        <v>29</v>
      </c>
      <c r="C320" s="6">
        <v>68.841965</v>
      </c>
      <c r="D320" s="6">
        <v>173.285187</v>
      </c>
      <c r="E320">
        <v>0.15</v>
      </c>
      <c r="F320" s="5">
        <f t="shared" si="99"/>
        <v>68.6682243855798</v>
      </c>
      <c r="G320">
        <f t="shared" si="100"/>
        <v>172.338924526007</v>
      </c>
      <c r="H320">
        <f t="shared" si="101"/>
        <v>0.452368833502472</v>
      </c>
      <c r="I320">
        <f t="shared" si="102"/>
        <v>-0.0629569648204362</v>
      </c>
      <c r="J320">
        <f t="shared" si="103"/>
        <v>69.1205932190823</v>
      </c>
      <c r="K320">
        <f t="shared" si="104"/>
        <v>172.275967561187</v>
      </c>
      <c r="L320">
        <f t="shared" si="105"/>
        <v>1.63811233952402e-5</v>
      </c>
      <c r="M320">
        <f t="shared" si="106"/>
        <v>3.39194135764948e-5</v>
      </c>
      <c r="N320" s="47">
        <f t="shared" si="107"/>
        <v>1.63811233952402e-5</v>
      </c>
      <c r="O320">
        <f t="shared" si="108"/>
        <v>0</v>
      </c>
      <c r="P320">
        <f t="shared" si="109"/>
        <v>0</v>
      </c>
      <c r="Q320">
        <f t="shared" si="110"/>
        <v>0</v>
      </c>
      <c r="R320">
        <f t="shared" si="111"/>
        <v>3.39194135764948e-5</v>
      </c>
      <c r="S320">
        <f t="shared" si="112"/>
        <v>0</v>
      </c>
      <c r="T320">
        <f t="shared" si="113"/>
        <v>0</v>
      </c>
      <c r="U320" s="52">
        <f t="shared" si="114"/>
        <v>0</v>
      </c>
      <c r="V320">
        <f t="shared" si="115"/>
        <v>68.841965</v>
      </c>
      <c r="W320">
        <f t="shared" si="116"/>
        <v>0</v>
      </c>
      <c r="X320">
        <f t="shared" si="117"/>
        <v>0</v>
      </c>
      <c r="Y320">
        <f t="shared" si="118"/>
        <v>0</v>
      </c>
      <c r="Z320">
        <f t="shared" si="119"/>
        <v>173.285187</v>
      </c>
      <c r="AA320">
        <f t="shared" si="120"/>
        <v>0</v>
      </c>
      <c r="AB320">
        <f t="shared" si="121"/>
        <v>0</v>
      </c>
      <c r="AC320">
        <f t="shared" si="122"/>
        <v>0</v>
      </c>
    </row>
    <row r="321" spans="2:29">
      <c r="B321" s="5">
        <v>30</v>
      </c>
      <c r="C321" s="6">
        <v>68.699387</v>
      </c>
      <c r="D321" s="6">
        <v>173.196823</v>
      </c>
      <c r="E321">
        <v>0.25</v>
      </c>
      <c r="F321" s="5">
        <f t="shared" si="99"/>
        <v>68.7637817235109</v>
      </c>
      <c r="G321">
        <f t="shared" si="100"/>
        <v>172.859368886703</v>
      </c>
      <c r="H321">
        <f t="shared" si="101"/>
        <v>0.363165959609628</v>
      </c>
      <c r="I321">
        <f t="shared" si="102"/>
        <v>0.0828933665586916</v>
      </c>
      <c r="J321">
        <f t="shared" si="103"/>
        <v>69.1269476831205</v>
      </c>
      <c r="K321">
        <f t="shared" si="104"/>
        <v>172.942262253262</v>
      </c>
      <c r="L321">
        <f t="shared" si="105"/>
        <v>3.87337727974582e-5</v>
      </c>
      <c r="M321">
        <f t="shared" si="106"/>
        <v>2.16024510556042e-6</v>
      </c>
      <c r="N321" s="47">
        <f t="shared" si="107"/>
        <v>0</v>
      </c>
      <c r="O321">
        <f t="shared" si="108"/>
        <v>3.87337727974582e-5</v>
      </c>
      <c r="P321">
        <f t="shared" si="109"/>
        <v>0</v>
      </c>
      <c r="Q321">
        <f t="shared" si="110"/>
        <v>0</v>
      </c>
      <c r="R321">
        <f t="shared" si="111"/>
        <v>0</v>
      </c>
      <c r="S321">
        <f t="shared" si="112"/>
        <v>2.16024510556042e-6</v>
      </c>
      <c r="T321">
        <f t="shared" si="113"/>
        <v>0</v>
      </c>
      <c r="U321" s="52">
        <f t="shared" si="114"/>
        <v>0</v>
      </c>
      <c r="V321">
        <f t="shared" si="115"/>
        <v>0</v>
      </c>
      <c r="W321">
        <f t="shared" si="116"/>
        <v>68.699387</v>
      </c>
      <c r="X321">
        <f t="shared" si="117"/>
        <v>0</v>
      </c>
      <c r="Y321">
        <f t="shared" si="118"/>
        <v>0</v>
      </c>
      <c r="Z321">
        <f t="shared" si="119"/>
        <v>0</v>
      </c>
      <c r="AA321">
        <f t="shared" si="120"/>
        <v>173.196823</v>
      </c>
      <c r="AB321">
        <f t="shared" si="121"/>
        <v>0</v>
      </c>
      <c r="AC321">
        <f t="shared" si="122"/>
        <v>0</v>
      </c>
    </row>
    <row r="322" spans="2:29">
      <c r="B322" s="5">
        <v>31</v>
      </c>
      <c r="C322" s="6">
        <v>69.820442</v>
      </c>
      <c r="D322" s="6">
        <v>173.216461</v>
      </c>
      <c r="E322">
        <v>0.45</v>
      </c>
      <c r="F322" s="5">
        <f t="shared" si="99"/>
        <v>68.7283646255799</v>
      </c>
      <c r="G322">
        <f t="shared" si="100"/>
        <v>173.044968649016</v>
      </c>
      <c r="H322">
        <f t="shared" si="101"/>
        <v>0.183803583716344</v>
      </c>
      <c r="I322">
        <f t="shared" si="102"/>
        <v>0.129111244648228</v>
      </c>
      <c r="J322">
        <f t="shared" si="103"/>
        <v>68.9121682092962</v>
      </c>
      <c r="K322">
        <f t="shared" si="104"/>
        <v>173.174079893665</v>
      </c>
      <c r="L322">
        <f t="shared" si="105"/>
        <v>0.00016922650182552</v>
      </c>
      <c r="M322">
        <f t="shared" si="106"/>
        <v>5.98640722800606e-8</v>
      </c>
      <c r="N322" s="47">
        <f t="shared" si="107"/>
        <v>0</v>
      </c>
      <c r="O322">
        <f t="shared" si="108"/>
        <v>0</v>
      </c>
      <c r="P322">
        <f t="shared" si="109"/>
        <v>0.00016922650182552</v>
      </c>
      <c r="Q322">
        <f t="shared" si="110"/>
        <v>0</v>
      </c>
      <c r="R322">
        <f t="shared" si="111"/>
        <v>0</v>
      </c>
      <c r="S322">
        <f t="shared" si="112"/>
        <v>0</v>
      </c>
      <c r="T322">
        <f t="shared" si="113"/>
        <v>5.98640722800606e-8</v>
      </c>
      <c r="U322" s="52">
        <f t="shared" si="114"/>
        <v>0</v>
      </c>
      <c r="V322">
        <f t="shared" si="115"/>
        <v>0</v>
      </c>
      <c r="W322">
        <f t="shared" si="116"/>
        <v>0</v>
      </c>
      <c r="X322">
        <f t="shared" si="117"/>
        <v>69.820442</v>
      </c>
      <c r="Y322">
        <f t="shared" si="118"/>
        <v>0</v>
      </c>
      <c r="Z322">
        <f t="shared" si="119"/>
        <v>0</v>
      </c>
      <c r="AA322">
        <f t="shared" si="120"/>
        <v>0</v>
      </c>
      <c r="AB322">
        <f t="shared" si="121"/>
        <v>173.216461</v>
      </c>
      <c r="AC322">
        <f t="shared" si="122"/>
        <v>0</v>
      </c>
    </row>
    <row r="323" spans="2:29">
      <c r="B323" s="5">
        <v>32</v>
      </c>
      <c r="C323" s="6">
        <v>69.886818</v>
      </c>
      <c r="D323" s="6">
        <v>173.098648</v>
      </c>
      <c r="E323">
        <v>0.85</v>
      </c>
      <c r="F323" s="5">
        <f t="shared" si="99"/>
        <v>69.3290071815109</v>
      </c>
      <c r="G323">
        <f t="shared" si="100"/>
        <v>173.139289442057</v>
      </c>
      <c r="H323">
        <f t="shared" si="101"/>
        <v>0.538116710098841</v>
      </c>
      <c r="I323">
        <f t="shared" si="102"/>
        <v>0.0995393607820537</v>
      </c>
      <c r="J323">
        <f t="shared" si="103"/>
        <v>69.8671238916098</v>
      </c>
      <c r="K323">
        <f t="shared" si="104"/>
        <v>173.238828802839</v>
      </c>
      <c r="L323">
        <f t="shared" si="105"/>
        <v>7.94112648210309e-8</v>
      </c>
      <c r="M323">
        <f t="shared" si="106"/>
        <v>6.55827667353522e-7</v>
      </c>
      <c r="N323" s="47">
        <f t="shared" si="107"/>
        <v>0</v>
      </c>
      <c r="O323">
        <f t="shared" si="108"/>
        <v>0</v>
      </c>
      <c r="P323">
        <f t="shared" si="109"/>
        <v>0</v>
      </c>
      <c r="Q323">
        <f t="shared" si="110"/>
        <v>7.94112648210309e-8</v>
      </c>
      <c r="R323">
        <f t="shared" si="111"/>
        <v>0</v>
      </c>
      <c r="S323">
        <f t="shared" si="112"/>
        <v>0</v>
      </c>
      <c r="T323">
        <f t="shared" si="113"/>
        <v>0</v>
      </c>
      <c r="U323" s="52">
        <f t="shared" si="114"/>
        <v>6.55827667353522e-7</v>
      </c>
      <c r="V323">
        <f t="shared" si="115"/>
        <v>0</v>
      </c>
      <c r="W323">
        <f t="shared" si="116"/>
        <v>0</v>
      </c>
      <c r="X323">
        <f t="shared" si="117"/>
        <v>0</v>
      </c>
      <c r="Y323">
        <f t="shared" si="118"/>
        <v>69.886818</v>
      </c>
      <c r="Z323">
        <f t="shared" si="119"/>
        <v>0</v>
      </c>
      <c r="AA323">
        <f t="shared" si="120"/>
        <v>0</v>
      </c>
      <c r="AB323">
        <f t="shared" si="121"/>
        <v>0</v>
      </c>
      <c r="AC323">
        <f t="shared" si="122"/>
        <v>173.098648</v>
      </c>
    </row>
    <row r="324" spans="2:29">
      <c r="B324" s="5">
        <v>33</v>
      </c>
      <c r="C324" s="6">
        <v>71.273392</v>
      </c>
      <c r="D324" s="6">
        <v>173.658264</v>
      </c>
      <c r="E324">
        <v>0.15</v>
      </c>
      <c r="F324" s="5">
        <f t="shared" si="99"/>
        <v>69.6358031316799</v>
      </c>
      <c r="G324">
        <f t="shared" si="100"/>
        <v>173.116936648926</v>
      </c>
      <c r="H324">
        <f t="shared" si="101"/>
        <v>0.503418596109361</v>
      </c>
      <c r="I324">
        <f t="shared" si="102"/>
        <v>0.0812555376950095</v>
      </c>
      <c r="J324">
        <f t="shared" si="103"/>
        <v>70.1392217277893</v>
      </c>
      <c r="K324">
        <f t="shared" si="104"/>
        <v>173.198192186621</v>
      </c>
      <c r="L324">
        <f t="shared" si="105"/>
        <v>0.000253222133535436</v>
      </c>
      <c r="M324">
        <f t="shared" si="106"/>
        <v>7.01875920229029e-6</v>
      </c>
      <c r="N324" s="47">
        <f t="shared" si="107"/>
        <v>0.000253222133535436</v>
      </c>
      <c r="O324">
        <f t="shared" si="108"/>
        <v>0</v>
      </c>
      <c r="P324">
        <f t="shared" si="109"/>
        <v>0</v>
      </c>
      <c r="Q324">
        <f t="shared" si="110"/>
        <v>0</v>
      </c>
      <c r="R324">
        <f t="shared" si="111"/>
        <v>7.01875920229029e-6</v>
      </c>
      <c r="S324">
        <f t="shared" si="112"/>
        <v>0</v>
      </c>
      <c r="T324">
        <f t="shared" si="113"/>
        <v>0</v>
      </c>
      <c r="U324" s="52">
        <f t="shared" si="114"/>
        <v>0</v>
      </c>
      <c r="V324">
        <f t="shared" si="115"/>
        <v>71.273392</v>
      </c>
      <c r="W324">
        <f t="shared" si="116"/>
        <v>0</v>
      </c>
      <c r="X324">
        <f t="shared" si="117"/>
        <v>0</v>
      </c>
      <c r="Y324">
        <f t="shared" si="118"/>
        <v>0</v>
      </c>
      <c r="Z324">
        <f t="shared" si="119"/>
        <v>173.658264</v>
      </c>
      <c r="AA324">
        <f t="shared" si="120"/>
        <v>0</v>
      </c>
      <c r="AB324">
        <f t="shared" si="121"/>
        <v>0</v>
      </c>
      <c r="AC324">
        <f t="shared" si="122"/>
        <v>0</v>
      </c>
    </row>
    <row r="325" spans="2:29">
      <c r="B325" s="5">
        <v>34</v>
      </c>
      <c r="C325" s="6">
        <v>71.246353</v>
      </c>
      <c r="D325" s="6">
        <v>173.265564</v>
      </c>
      <c r="E325">
        <v>0.25</v>
      </c>
      <c r="F325" s="5">
        <f t="shared" si="99"/>
        <v>70.536477009256</v>
      </c>
      <c r="G325">
        <f t="shared" si="100"/>
        <v>173.414666692017</v>
      </c>
      <c r="H325">
        <f t="shared" si="101"/>
        <v>0.602732416476034</v>
      </c>
      <c r="I325">
        <f t="shared" si="102"/>
        <v>0.135374164043952</v>
      </c>
      <c r="J325">
        <f t="shared" si="103"/>
        <v>71.139209425732</v>
      </c>
      <c r="K325">
        <f t="shared" si="104"/>
        <v>173.550040856061</v>
      </c>
      <c r="L325">
        <f t="shared" si="105"/>
        <v>2.26155411281937e-6</v>
      </c>
      <c r="M325">
        <f t="shared" si="106"/>
        <v>2.69568639081411e-6</v>
      </c>
      <c r="N325" s="47">
        <f t="shared" si="107"/>
        <v>0</v>
      </c>
      <c r="O325">
        <f t="shared" si="108"/>
        <v>2.26155411281937e-6</v>
      </c>
      <c r="P325">
        <f t="shared" si="109"/>
        <v>0</v>
      </c>
      <c r="Q325">
        <f t="shared" si="110"/>
        <v>0</v>
      </c>
      <c r="R325">
        <f t="shared" si="111"/>
        <v>0</v>
      </c>
      <c r="S325">
        <f t="shared" si="112"/>
        <v>2.69568639081411e-6</v>
      </c>
      <c r="T325">
        <f t="shared" si="113"/>
        <v>0</v>
      </c>
      <c r="U325" s="52">
        <f t="shared" si="114"/>
        <v>0</v>
      </c>
      <c r="V325">
        <f t="shared" si="115"/>
        <v>0</v>
      </c>
      <c r="W325">
        <f t="shared" si="116"/>
        <v>71.246353</v>
      </c>
      <c r="X325">
        <f t="shared" si="117"/>
        <v>0</v>
      </c>
      <c r="Y325">
        <f t="shared" si="118"/>
        <v>0</v>
      </c>
      <c r="Z325">
        <f t="shared" si="119"/>
        <v>0</v>
      </c>
      <c r="AA325">
        <f t="shared" si="120"/>
        <v>173.265564</v>
      </c>
      <c r="AB325">
        <f t="shared" si="121"/>
        <v>0</v>
      </c>
      <c r="AC325">
        <f t="shared" si="122"/>
        <v>0</v>
      </c>
    </row>
    <row r="326" spans="2:29">
      <c r="B326" s="5">
        <v>35</v>
      </c>
      <c r="C326" s="6">
        <v>71.669212</v>
      </c>
      <c r="D326" s="6">
        <v>173.206619</v>
      </c>
      <c r="E326">
        <v>0.45</v>
      </c>
      <c r="F326" s="5">
        <f t="shared" si="99"/>
        <v>70.9269088041652</v>
      </c>
      <c r="G326">
        <f t="shared" si="100"/>
        <v>173.332660211407</v>
      </c>
      <c r="H326">
        <f t="shared" si="101"/>
        <v>0.507197136770967</v>
      </c>
      <c r="I326">
        <f t="shared" si="102"/>
        <v>0.0375528739500552</v>
      </c>
      <c r="J326">
        <f t="shared" si="103"/>
        <v>71.4341059409362</v>
      </c>
      <c r="K326">
        <f t="shared" si="104"/>
        <v>173.370213085358</v>
      </c>
      <c r="L326">
        <f t="shared" si="105"/>
        <v>1.07612416685234e-5</v>
      </c>
      <c r="M326">
        <f t="shared" si="106"/>
        <v>8.92084980091399e-7</v>
      </c>
      <c r="N326" s="47">
        <f t="shared" si="107"/>
        <v>0</v>
      </c>
      <c r="O326">
        <f t="shared" si="108"/>
        <v>0</v>
      </c>
      <c r="P326">
        <f t="shared" si="109"/>
        <v>1.07612416685234e-5</v>
      </c>
      <c r="Q326">
        <f t="shared" si="110"/>
        <v>0</v>
      </c>
      <c r="R326">
        <f t="shared" si="111"/>
        <v>0</v>
      </c>
      <c r="S326">
        <f t="shared" si="112"/>
        <v>0</v>
      </c>
      <c r="T326">
        <f t="shared" si="113"/>
        <v>8.92084980091399e-7</v>
      </c>
      <c r="U326" s="52">
        <f t="shared" si="114"/>
        <v>0</v>
      </c>
      <c r="V326">
        <f t="shared" si="115"/>
        <v>0</v>
      </c>
      <c r="W326">
        <f t="shared" si="116"/>
        <v>0</v>
      </c>
      <c r="X326">
        <f t="shared" si="117"/>
        <v>71.669212</v>
      </c>
      <c r="Y326">
        <f t="shared" si="118"/>
        <v>0</v>
      </c>
      <c r="Z326">
        <f t="shared" si="119"/>
        <v>0</v>
      </c>
      <c r="AA326">
        <f t="shared" si="120"/>
        <v>0</v>
      </c>
      <c r="AB326">
        <f t="shared" si="121"/>
        <v>173.206619</v>
      </c>
      <c r="AC326">
        <f t="shared" si="122"/>
        <v>0</v>
      </c>
    </row>
    <row r="327" spans="2:29">
      <c r="B327" s="5">
        <v>36</v>
      </c>
      <c r="C327" s="6">
        <v>72.192863</v>
      </c>
      <c r="D327" s="6">
        <v>173.776062</v>
      </c>
      <c r="E327">
        <v>0.85</v>
      </c>
      <c r="F327" s="5">
        <f t="shared" si="99"/>
        <v>71.3351755618743</v>
      </c>
      <c r="G327">
        <f t="shared" si="100"/>
        <v>173.263337545133</v>
      </c>
      <c r="H327">
        <f t="shared" si="101"/>
        <v>0.423106314568416</v>
      </c>
      <c r="I327">
        <f t="shared" si="102"/>
        <v>-0.0532913352404801</v>
      </c>
      <c r="J327">
        <f t="shared" si="103"/>
        <v>71.7582818764428</v>
      </c>
      <c r="K327">
        <f t="shared" si="104"/>
        <v>173.210046209893</v>
      </c>
      <c r="L327">
        <f t="shared" si="105"/>
        <v>3.62370792921179e-5</v>
      </c>
      <c r="M327">
        <f t="shared" si="106"/>
        <v>1.06090669742444e-5</v>
      </c>
      <c r="N327" s="47">
        <f t="shared" si="107"/>
        <v>0</v>
      </c>
      <c r="O327">
        <f t="shared" si="108"/>
        <v>0</v>
      </c>
      <c r="P327">
        <f t="shared" si="109"/>
        <v>0</v>
      </c>
      <c r="Q327">
        <f t="shared" si="110"/>
        <v>3.62370792921179e-5</v>
      </c>
      <c r="R327">
        <f t="shared" si="111"/>
        <v>0</v>
      </c>
      <c r="S327">
        <f t="shared" si="112"/>
        <v>0</v>
      </c>
      <c r="T327">
        <f t="shared" si="113"/>
        <v>0</v>
      </c>
      <c r="U327" s="52">
        <f t="shared" si="114"/>
        <v>1.06090669742444e-5</v>
      </c>
      <c r="V327">
        <f t="shared" si="115"/>
        <v>0</v>
      </c>
      <c r="W327">
        <f t="shared" si="116"/>
        <v>0</v>
      </c>
      <c r="X327">
        <f t="shared" si="117"/>
        <v>0</v>
      </c>
      <c r="Y327">
        <f t="shared" si="118"/>
        <v>72.192863</v>
      </c>
      <c r="Z327">
        <f t="shared" si="119"/>
        <v>0</v>
      </c>
      <c r="AA327">
        <f t="shared" si="120"/>
        <v>0</v>
      </c>
      <c r="AB327">
        <f t="shared" si="121"/>
        <v>0</v>
      </c>
      <c r="AC327">
        <f t="shared" si="122"/>
        <v>173.776062</v>
      </c>
    </row>
    <row r="328" spans="2:29">
      <c r="B328" s="5">
        <v>37</v>
      </c>
      <c r="C328" s="6">
        <v>73.840042</v>
      </c>
      <c r="D328" s="6">
        <v>177.49704</v>
      </c>
      <c r="E328">
        <v>0.15</v>
      </c>
      <c r="F328" s="5">
        <f t="shared" si="99"/>
        <v>71.8069036528435</v>
      </c>
      <c r="G328">
        <f t="shared" si="100"/>
        <v>173.54533599531</v>
      </c>
      <c r="H328">
        <f t="shared" si="101"/>
        <v>0.430399581028522</v>
      </c>
      <c r="I328">
        <f t="shared" si="102"/>
        <v>-0.00299786742791148</v>
      </c>
      <c r="J328">
        <f t="shared" si="103"/>
        <v>72.237303233872</v>
      </c>
      <c r="K328">
        <f t="shared" si="104"/>
        <v>173.542338127882</v>
      </c>
      <c r="L328">
        <f t="shared" si="105"/>
        <v>0.00047113092578557</v>
      </c>
      <c r="M328">
        <f t="shared" si="106"/>
        <v>0.000496415426345995</v>
      </c>
      <c r="N328" s="47">
        <f t="shared" si="107"/>
        <v>0.00047113092578557</v>
      </c>
      <c r="O328">
        <f t="shared" si="108"/>
        <v>0</v>
      </c>
      <c r="P328">
        <f t="shared" si="109"/>
        <v>0</v>
      </c>
      <c r="Q328">
        <f t="shared" si="110"/>
        <v>0</v>
      </c>
      <c r="R328">
        <f t="shared" si="111"/>
        <v>0.000496415426345995</v>
      </c>
      <c r="S328">
        <f t="shared" si="112"/>
        <v>0</v>
      </c>
      <c r="T328">
        <f t="shared" si="113"/>
        <v>0</v>
      </c>
      <c r="U328" s="52">
        <f t="shared" si="114"/>
        <v>0</v>
      </c>
      <c r="V328">
        <f t="shared" si="115"/>
        <v>73.840042</v>
      </c>
      <c r="W328">
        <f t="shared" si="116"/>
        <v>0</v>
      </c>
      <c r="X328">
        <f t="shared" si="117"/>
        <v>0</v>
      </c>
      <c r="Y328">
        <f t="shared" si="118"/>
        <v>0</v>
      </c>
      <c r="Z328">
        <f t="shared" si="119"/>
        <v>177.49704</v>
      </c>
      <c r="AA328">
        <f t="shared" si="120"/>
        <v>0</v>
      </c>
      <c r="AB328">
        <f t="shared" si="121"/>
        <v>0</v>
      </c>
      <c r="AC328">
        <f t="shared" si="122"/>
        <v>0</v>
      </c>
    </row>
    <row r="329" spans="2:29">
      <c r="B329" s="5">
        <v>38</v>
      </c>
      <c r="C329" s="6">
        <v>73.122154</v>
      </c>
      <c r="D329" s="6">
        <v>175.602203</v>
      </c>
      <c r="E329">
        <v>0.25</v>
      </c>
      <c r="F329" s="5">
        <f t="shared" si="99"/>
        <v>72.9251297437796</v>
      </c>
      <c r="G329">
        <f t="shared" si="100"/>
        <v>175.71877319789</v>
      </c>
      <c r="H329">
        <f t="shared" si="101"/>
        <v>0.602356208505418</v>
      </c>
      <c r="I329">
        <f t="shared" si="102"/>
        <v>0.54111090007394</v>
      </c>
      <c r="J329">
        <f t="shared" si="103"/>
        <v>73.527485952285</v>
      </c>
      <c r="K329">
        <f t="shared" si="104"/>
        <v>176.259884097963</v>
      </c>
      <c r="L329">
        <f t="shared" si="105"/>
        <v>3.07272524584461e-5</v>
      </c>
      <c r="M329">
        <f t="shared" si="106"/>
        <v>1.40271939033681e-5</v>
      </c>
      <c r="N329" s="47">
        <f t="shared" si="107"/>
        <v>0</v>
      </c>
      <c r="O329">
        <f t="shared" si="108"/>
        <v>3.07272524584461e-5</v>
      </c>
      <c r="P329">
        <f t="shared" si="109"/>
        <v>0</v>
      </c>
      <c r="Q329">
        <f t="shared" si="110"/>
        <v>0</v>
      </c>
      <c r="R329">
        <f t="shared" si="111"/>
        <v>0</v>
      </c>
      <c r="S329">
        <f t="shared" si="112"/>
        <v>1.40271939033681e-5</v>
      </c>
      <c r="T329">
        <f t="shared" si="113"/>
        <v>0</v>
      </c>
      <c r="U329" s="52">
        <f t="shared" si="114"/>
        <v>0</v>
      </c>
      <c r="V329">
        <f t="shared" si="115"/>
        <v>0</v>
      </c>
      <c r="W329">
        <f t="shared" si="116"/>
        <v>73.122154</v>
      </c>
      <c r="X329">
        <f t="shared" si="117"/>
        <v>0</v>
      </c>
      <c r="Y329">
        <f t="shared" si="118"/>
        <v>0</v>
      </c>
      <c r="Z329">
        <f t="shared" si="119"/>
        <v>0</v>
      </c>
      <c r="AA329">
        <f t="shared" si="120"/>
        <v>175.602203</v>
      </c>
      <c r="AB329">
        <f t="shared" si="121"/>
        <v>0</v>
      </c>
      <c r="AC329">
        <f t="shared" si="122"/>
        <v>0</v>
      </c>
    </row>
    <row r="330" spans="2:29">
      <c r="B330" s="5">
        <v>39</v>
      </c>
      <c r="C330" s="6">
        <v>73.704819</v>
      </c>
      <c r="D330" s="6">
        <v>174.276794</v>
      </c>
      <c r="E330">
        <v>0.45</v>
      </c>
      <c r="F330" s="5">
        <f t="shared" si="99"/>
        <v>73.0334930847008</v>
      </c>
      <c r="G330">
        <f t="shared" si="100"/>
        <v>175.65465958905</v>
      </c>
      <c r="H330">
        <f t="shared" si="101"/>
        <v>0.38005941809254</v>
      </c>
      <c r="I330">
        <f t="shared" si="102"/>
        <v>0.268759871063017</v>
      </c>
      <c r="J330">
        <f t="shared" si="103"/>
        <v>73.4135525027934</v>
      </c>
      <c r="K330">
        <f t="shared" si="104"/>
        <v>175.923419460113</v>
      </c>
      <c r="L330">
        <f t="shared" si="105"/>
        <v>1.56167010944801e-5</v>
      </c>
      <c r="M330">
        <f t="shared" si="106"/>
        <v>8.9271026430128e-5</v>
      </c>
      <c r="N330" s="47">
        <f t="shared" si="107"/>
        <v>0</v>
      </c>
      <c r="O330">
        <f t="shared" si="108"/>
        <v>0</v>
      </c>
      <c r="P330">
        <f t="shared" si="109"/>
        <v>1.56167010944801e-5</v>
      </c>
      <c r="Q330">
        <f t="shared" si="110"/>
        <v>0</v>
      </c>
      <c r="R330">
        <f t="shared" si="111"/>
        <v>0</v>
      </c>
      <c r="S330">
        <f t="shared" si="112"/>
        <v>0</v>
      </c>
      <c r="T330">
        <f t="shared" si="113"/>
        <v>8.9271026430128e-5</v>
      </c>
      <c r="U330" s="52">
        <f t="shared" si="114"/>
        <v>0</v>
      </c>
      <c r="V330">
        <f t="shared" si="115"/>
        <v>0</v>
      </c>
      <c r="W330">
        <f t="shared" si="116"/>
        <v>0</v>
      </c>
      <c r="X330">
        <f t="shared" si="117"/>
        <v>73.704819</v>
      </c>
      <c r="Y330">
        <f t="shared" si="118"/>
        <v>0</v>
      </c>
      <c r="Z330">
        <f t="shared" si="119"/>
        <v>0</v>
      </c>
      <c r="AA330">
        <f t="shared" si="120"/>
        <v>0</v>
      </c>
      <c r="AB330">
        <f t="shared" si="121"/>
        <v>174.276794</v>
      </c>
      <c r="AC330">
        <f t="shared" si="122"/>
        <v>0</v>
      </c>
    </row>
    <row r="331" spans="2:29">
      <c r="B331" s="5">
        <v>40</v>
      </c>
      <c r="C331" s="6">
        <v>73.358185</v>
      </c>
      <c r="D331" s="6">
        <v>174.374969</v>
      </c>
      <c r="E331">
        <v>0.85</v>
      </c>
      <c r="F331" s="5">
        <f t="shared" si="99"/>
        <v>73.4027223381154</v>
      </c>
      <c r="G331">
        <f t="shared" si="100"/>
        <v>174.896833515073</v>
      </c>
      <c r="H331">
        <f t="shared" si="101"/>
        <v>0.370853778116244</v>
      </c>
      <c r="I331">
        <f t="shared" si="102"/>
        <v>-0.603838182221565</v>
      </c>
      <c r="J331">
        <f t="shared" si="103"/>
        <v>73.7735761162316</v>
      </c>
      <c r="K331">
        <f t="shared" si="104"/>
        <v>174.292995332851</v>
      </c>
      <c r="L331">
        <f t="shared" si="105"/>
        <v>3.20639670244664e-5</v>
      </c>
      <c r="M331">
        <f t="shared" si="106"/>
        <v>2.20993978846173e-7</v>
      </c>
      <c r="N331" s="47">
        <f t="shared" si="107"/>
        <v>0</v>
      </c>
      <c r="O331">
        <f t="shared" si="108"/>
        <v>0</v>
      </c>
      <c r="P331">
        <f t="shared" si="109"/>
        <v>0</v>
      </c>
      <c r="Q331">
        <f t="shared" si="110"/>
        <v>3.20639670244664e-5</v>
      </c>
      <c r="R331">
        <f t="shared" si="111"/>
        <v>0</v>
      </c>
      <c r="S331">
        <f t="shared" si="112"/>
        <v>0</v>
      </c>
      <c r="T331">
        <f t="shared" si="113"/>
        <v>0</v>
      </c>
      <c r="U331" s="52">
        <f t="shared" si="114"/>
        <v>2.20993978846173e-7</v>
      </c>
      <c r="V331">
        <f t="shared" si="115"/>
        <v>0</v>
      </c>
      <c r="W331">
        <f t="shared" si="116"/>
        <v>0</v>
      </c>
      <c r="X331">
        <f t="shared" si="117"/>
        <v>0</v>
      </c>
      <c r="Y331">
        <f t="shared" si="118"/>
        <v>73.358185</v>
      </c>
      <c r="Z331">
        <f t="shared" si="119"/>
        <v>0</v>
      </c>
      <c r="AA331">
        <f t="shared" si="120"/>
        <v>0</v>
      </c>
      <c r="AB331">
        <f t="shared" si="121"/>
        <v>0</v>
      </c>
      <c r="AC331">
        <f t="shared" si="122"/>
        <v>174.374969</v>
      </c>
    </row>
    <row r="332" spans="2:29">
      <c r="B332" s="5">
        <v>41</v>
      </c>
      <c r="C332" s="6">
        <v>74.538239</v>
      </c>
      <c r="D332" s="6">
        <v>174.522232</v>
      </c>
      <c r="E332">
        <v>0.15</v>
      </c>
      <c r="F332" s="5">
        <f t="shared" si="99"/>
        <v>73.3782268021519</v>
      </c>
      <c r="G332">
        <f t="shared" si="100"/>
        <v>174.609808031783</v>
      </c>
      <c r="H332">
        <f t="shared" si="101"/>
        <v>0.311551381004292</v>
      </c>
      <c r="I332">
        <f t="shared" si="102"/>
        <v>-0.556316277381821</v>
      </c>
      <c r="J332">
        <f t="shared" si="103"/>
        <v>73.6897781831562</v>
      </c>
      <c r="K332">
        <f t="shared" si="104"/>
        <v>174.053491754401</v>
      </c>
      <c r="L332">
        <f t="shared" si="105"/>
        <v>0.000129570258516045</v>
      </c>
      <c r="M332">
        <f t="shared" si="106"/>
        <v>7.21378125896857e-6</v>
      </c>
      <c r="N332" s="47">
        <f t="shared" si="107"/>
        <v>0.000129570258516045</v>
      </c>
      <c r="O332">
        <f t="shared" si="108"/>
        <v>0</v>
      </c>
      <c r="P332">
        <f t="shared" si="109"/>
        <v>0</v>
      </c>
      <c r="Q332">
        <f t="shared" si="110"/>
        <v>0</v>
      </c>
      <c r="R332">
        <f t="shared" si="111"/>
        <v>7.21378125896857e-6</v>
      </c>
      <c r="S332">
        <f t="shared" si="112"/>
        <v>0</v>
      </c>
      <c r="T332">
        <f t="shared" si="113"/>
        <v>0</v>
      </c>
      <c r="U332" s="52">
        <f t="shared" si="114"/>
        <v>0</v>
      </c>
      <c r="V332">
        <f t="shared" si="115"/>
        <v>74.538239</v>
      </c>
      <c r="W332">
        <f t="shared" si="116"/>
        <v>0</v>
      </c>
      <c r="X332">
        <f t="shared" si="117"/>
        <v>0</v>
      </c>
      <c r="Y332">
        <f t="shared" si="118"/>
        <v>0</v>
      </c>
      <c r="Z332">
        <f t="shared" si="119"/>
        <v>174.522232</v>
      </c>
      <c r="AA332">
        <f t="shared" si="120"/>
        <v>0</v>
      </c>
      <c r="AB332">
        <f t="shared" si="121"/>
        <v>0</v>
      </c>
      <c r="AC332">
        <f t="shared" si="122"/>
        <v>0</v>
      </c>
    </row>
    <row r="333" spans="2:29">
      <c r="B333" s="5">
        <v>42</v>
      </c>
      <c r="C333" s="6">
        <v>76.121498</v>
      </c>
      <c r="D333" s="6">
        <v>175.80838</v>
      </c>
      <c r="E333">
        <v>0.25</v>
      </c>
      <c r="F333" s="5">
        <f t="shared" si="99"/>
        <v>74.0162335109684</v>
      </c>
      <c r="G333">
        <f t="shared" si="100"/>
        <v>174.561641214302</v>
      </c>
      <c r="H333">
        <f t="shared" si="101"/>
        <v>0.393165212957331</v>
      </c>
      <c r="I333">
        <f t="shared" si="102"/>
        <v>-0.429278912406485</v>
      </c>
      <c r="J333">
        <f t="shared" si="103"/>
        <v>74.4093987239257</v>
      </c>
      <c r="K333">
        <f t="shared" si="104"/>
        <v>174.132362301896</v>
      </c>
      <c r="L333">
        <f t="shared" si="105"/>
        <v>0.000505875020331896</v>
      </c>
      <c r="M333">
        <f t="shared" si="106"/>
        <v>9.08820377903018e-5</v>
      </c>
      <c r="N333" s="47">
        <f t="shared" si="107"/>
        <v>0</v>
      </c>
      <c r="O333">
        <f t="shared" si="108"/>
        <v>0.000505875020331896</v>
      </c>
      <c r="P333">
        <f t="shared" si="109"/>
        <v>0</v>
      </c>
      <c r="Q333">
        <f t="shared" si="110"/>
        <v>0</v>
      </c>
      <c r="R333">
        <f t="shared" si="111"/>
        <v>0</v>
      </c>
      <c r="S333">
        <f t="shared" si="112"/>
        <v>9.08820377903018e-5</v>
      </c>
      <c r="T333">
        <f t="shared" si="113"/>
        <v>0</v>
      </c>
      <c r="U333" s="52">
        <f t="shared" si="114"/>
        <v>0</v>
      </c>
      <c r="V333">
        <f t="shared" si="115"/>
        <v>0</v>
      </c>
      <c r="W333">
        <f t="shared" si="116"/>
        <v>76.121498</v>
      </c>
      <c r="X333">
        <f t="shared" si="117"/>
        <v>0</v>
      </c>
      <c r="Y333">
        <f t="shared" si="118"/>
        <v>0</v>
      </c>
      <c r="Z333">
        <f t="shared" si="119"/>
        <v>0</v>
      </c>
      <c r="AA333">
        <f t="shared" si="120"/>
        <v>175.80838</v>
      </c>
      <c r="AB333">
        <f t="shared" si="121"/>
        <v>0</v>
      </c>
      <c r="AC333">
        <f t="shared" si="122"/>
        <v>0</v>
      </c>
    </row>
    <row r="334" spans="2:29">
      <c r="B334" s="5">
        <v>43</v>
      </c>
      <c r="C334" s="6">
        <v>76.293579</v>
      </c>
      <c r="D334" s="6">
        <v>175.425461</v>
      </c>
      <c r="E334">
        <v>0.45</v>
      </c>
      <c r="F334" s="5">
        <f t="shared" si="99"/>
        <v>75.1741289799358</v>
      </c>
      <c r="G334">
        <f t="shared" si="100"/>
        <v>175.247347546436</v>
      </c>
      <c r="H334">
        <f t="shared" si="101"/>
        <v>0.737293828161867</v>
      </c>
      <c r="I334">
        <f t="shared" si="102"/>
        <v>0.0724644476366451</v>
      </c>
      <c r="J334">
        <f t="shared" si="103"/>
        <v>75.9114228080976</v>
      </c>
      <c r="K334">
        <f t="shared" si="104"/>
        <v>175.319811994073</v>
      </c>
      <c r="L334">
        <f t="shared" si="105"/>
        <v>2.50902982756094e-5</v>
      </c>
      <c r="M334">
        <f t="shared" si="106"/>
        <v>3.62698347698112e-7</v>
      </c>
      <c r="N334" s="47">
        <f t="shared" si="107"/>
        <v>0</v>
      </c>
      <c r="O334">
        <f t="shared" si="108"/>
        <v>0</v>
      </c>
      <c r="P334">
        <f t="shared" si="109"/>
        <v>2.50902982756094e-5</v>
      </c>
      <c r="Q334">
        <f t="shared" si="110"/>
        <v>0</v>
      </c>
      <c r="R334">
        <f t="shared" si="111"/>
        <v>0</v>
      </c>
      <c r="S334">
        <f t="shared" si="112"/>
        <v>0</v>
      </c>
      <c r="T334">
        <f t="shared" si="113"/>
        <v>3.62698347698112e-7</v>
      </c>
      <c r="U334" s="52">
        <f t="shared" si="114"/>
        <v>0</v>
      </c>
      <c r="V334">
        <f t="shared" si="115"/>
        <v>0</v>
      </c>
      <c r="W334">
        <f t="shared" si="116"/>
        <v>0</v>
      </c>
      <c r="X334">
        <f t="shared" si="117"/>
        <v>76.293579</v>
      </c>
      <c r="Y334">
        <f t="shared" si="118"/>
        <v>0</v>
      </c>
      <c r="Z334">
        <f t="shared" si="119"/>
        <v>0</v>
      </c>
      <c r="AA334">
        <f t="shared" si="120"/>
        <v>0</v>
      </c>
      <c r="AB334">
        <f t="shared" si="121"/>
        <v>175.425461</v>
      </c>
      <c r="AC334">
        <f t="shared" si="122"/>
        <v>0</v>
      </c>
    </row>
    <row r="335" spans="2:29">
      <c r="B335" s="5">
        <v>44</v>
      </c>
      <c r="C335" s="6">
        <v>77.923538</v>
      </c>
      <c r="D335" s="6">
        <v>177.968292</v>
      </c>
      <c r="E335">
        <v>0.85</v>
      </c>
      <c r="F335" s="5">
        <f t="shared" si="99"/>
        <v>75.7898264909711</v>
      </c>
      <c r="G335">
        <f t="shared" si="100"/>
        <v>175.345309945896</v>
      </c>
      <c r="H335">
        <f t="shared" si="101"/>
        <v>0.633936958604303</v>
      </c>
      <c r="I335">
        <f t="shared" si="102"/>
        <v>0.0941377066866554</v>
      </c>
      <c r="J335">
        <f t="shared" si="103"/>
        <v>76.4237634495754</v>
      </c>
      <c r="K335">
        <f t="shared" si="104"/>
        <v>175.439447652583</v>
      </c>
      <c r="L335">
        <f t="shared" si="105"/>
        <v>0.000370437235104366</v>
      </c>
      <c r="M335">
        <f t="shared" si="106"/>
        <v>0.000201910513383098</v>
      </c>
      <c r="N335" s="47">
        <f t="shared" si="107"/>
        <v>0</v>
      </c>
      <c r="O335">
        <f t="shared" si="108"/>
        <v>0</v>
      </c>
      <c r="P335">
        <f t="shared" si="109"/>
        <v>0</v>
      </c>
      <c r="Q335">
        <f t="shared" si="110"/>
        <v>0.000370437235104366</v>
      </c>
      <c r="R335">
        <f t="shared" si="111"/>
        <v>0</v>
      </c>
      <c r="S335">
        <f t="shared" si="112"/>
        <v>0</v>
      </c>
      <c r="T335">
        <f t="shared" si="113"/>
        <v>0</v>
      </c>
      <c r="U335" s="52">
        <f t="shared" si="114"/>
        <v>0.000201910513383098</v>
      </c>
      <c r="V335">
        <f t="shared" si="115"/>
        <v>0</v>
      </c>
      <c r="W335">
        <f t="shared" si="116"/>
        <v>0</v>
      </c>
      <c r="X335">
        <f t="shared" si="117"/>
        <v>0</v>
      </c>
      <c r="Y335">
        <f t="shared" si="118"/>
        <v>77.923538</v>
      </c>
      <c r="Z335">
        <f t="shared" si="119"/>
        <v>0</v>
      </c>
      <c r="AA335">
        <f t="shared" si="120"/>
        <v>0</v>
      </c>
      <c r="AB335">
        <f t="shared" si="121"/>
        <v>0</v>
      </c>
      <c r="AC335">
        <f t="shared" si="122"/>
        <v>177.968292</v>
      </c>
    </row>
    <row r="336" spans="2:29">
      <c r="B336" s="5">
        <v>45</v>
      </c>
      <c r="C336" s="6">
        <v>76.871323</v>
      </c>
      <c r="D336" s="6">
        <v>177.163223</v>
      </c>
      <c r="E336">
        <v>0.15</v>
      </c>
      <c r="F336" s="5">
        <f t="shared" si="99"/>
        <v>76.963367820937</v>
      </c>
      <c r="G336">
        <f t="shared" si="100"/>
        <v>176.787950075653</v>
      </c>
      <c r="H336">
        <f t="shared" si="101"/>
        <v>0.714877614308541</v>
      </c>
      <c r="I336">
        <f t="shared" si="102"/>
        <v>0.296413070147219</v>
      </c>
      <c r="J336">
        <f t="shared" si="103"/>
        <v>77.6782454352455</v>
      </c>
      <c r="K336">
        <f t="shared" si="104"/>
        <v>177.0843631458</v>
      </c>
      <c r="L336">
        <f t="shared" si="105"/>
        <v>0.000110188144498648</v>
      </c>
      <c r="M336">
        <f t="shared" si="106"/>
        <v>1.98136640299329e-7</v>
      </c>
      <c r="N336" s="47">
        <f t="shared" si="107"/>
        <v>0.000110188144498648</v>
      </c>
      <c r="O336">
        <f t="shared" si="108"/>
        <v>0</v>
      </c>
      <c r="P336">
        <f t="shared" si="109"/>
        <v>0</v>
      </c>
      <c r="Q336">
        <f t="shared" si="110"/>
        <v>0</v>
      </c>
      <c r="R336">
        <f t="shared" si="111"/>
        <v>1.98136640299329e-7</v>
      </c>
      <c r="S336">
        <f t="shared" si="112"/>
        <v>0</v>
      </c>
      <c r="T336">
        <f t="shared" si="113"/>
        <v>0</v>
      </c>
      <c r="U336" s="52">
        <f t="shared" si="114"/>
        <v>0</v>
      </c>
      <c r="V336">
        <f t="shared" si="115"/>
        <v>76.871323</v>
      </c>
      <c r="W336">
        <f t="shared" si="116"/>
        <v>0</v>
      </c>
      <c r="X336">
        <f t="shared" si="117"/>
        <v>0</v>
      </c>
      <c r="Y336">
        <f t="shared" si="118"/>
        <v>0</v>
      </c>
      <c r="Z336">
        <f t="shared" si="119"/>
        <v>177.163223</v>
      </c>
      <c r="AA336">
        <f t="shared" si="120"/>
        <v>0</v>
      </c>
      <c r="AB336">
        <f t="shared" si="121"/>
        <v>0</v>
      </c>
      <c r="AC336">
        <f t="shared" si="122"/>
        <v>0</v>
      </c>
    </row>
    <row r="337" spans="2:29">
      <c r="B337" s="5">
        <v>46</v>
      </c>
      <c r="C337" s="6">
        <v>76.541885</v>
      </c>
      <c r="D337" s="6">
        <v>177.438126</v>
      </c>
      <c r="E337">
        <v>0.25</v>
      </c>
      <c r="F337" s="5">
        <f t="shared" si="99"/>
        <v>76.9127431694216</v>
      </c>
      <c r="G337">
        <f t="shared" si="100"/>
        <v>176.994350184044</v>
      </c>
      <c r="H337">
        <f t="shared" si="101"/>
        <v>0.523502047852572</v>
      </c>
      <c r="I337">
        <f t="shared" si="102"/>
        <v>0.273909829708085</v>
      </c>
      <c r="J337">
        <f t="shared" si="103"/>
        <v>77.4362452172742</v>
      </c>
      <c r="K337">
        <f t="shared" si="104"/>
        <v>177.268260013752</v>
      </c>
      <c r="L337">
        <f t="shared" si="105"/>
        <v>0.000136529543698794</v>
      </c>
      <c r="M337">
        <f t="shared" si="106"/>
        <v>9.16471503889347e-7</v>
      </c>
      <c r="N337" s="47">
        <f t="shared" si="107"/>
        <v>0</v>
      </c>
      <c r="O337">
        <f t="shared" si="108"/>
        <v>0.000136529543698794</v>
      </c>
      <c r="P337">
        <f t="shared" si="109"/>
        <v>0</v>
      </c>
      <c r="Q337">
        <f t="shared" si="110"/>
        <v>0</v>
      </c>
      <c r="R337">
        <f t="shared" si="111"/>
        <v>0</v>
      </c>
      <c r="S337">
        <f t="shared" si="112"/>
        <v>9.16471503889347e-7</v>
      </c>
      <c r="T337">
        <f t="shared" si="113"/>
        <v>0</v>
      </c>
      <c r="U337" s="52">
        <f t="shared" si="114"/>
        <v>0</v>
      </c>
      <c r="V337">
        <f t="shared" si="115"/>
        <v>0</v>
      </c>
      <c r="W337">
        <f t="shared" si="116"/>
        <v>76.541885</v>
      </c>
      <c r="X337">
        <f t="shared" si="117"/>
        <v>0</v>
      </c>
      <c r="Y337">
        <f t="shared" si="118"/>
        <v>0</v>
      </c>
      <c r="Z337">
        <f t="shared" si="119"/>
        <v>0</v>
      </c>
      <c r="AA337">
        <f t="shared" si="120"/>
        <v>177.438126</v>
      </c>
      <c r="AB337">
        <f t="shared" si="121"/>
        <v>0</v>
      </c>
      <c r="AC337">
        <f t="shared" si="122"/>
        <v>0</v>
      </c>
    </row>
    <row r="338" spans="2:29">
      <c r="B338" s="5">
        <v>47</v>
      </c>
      <c r="C338" s="6">
        <v>77.500694</v>
      </c>
      <c r="D338" s="6">
        <v>178.940262</v>
      </c>
      <c r="E338">
        <v>0.45</v>
      </c>
      <c r="F338" s="5">
        <f t="shared" si="99"/>
        <v>76.7087711762397</v>
      </c>
      <c r="G338">
        <f t="shared" si="100"/>
        <v>177.23842688282</v>
      </c>
      <c r="H338">
        <f t="shared" si="101"/>
        <v>0.196138729387055</v>
      </c>
      <c r="I338">
        <f t="shared" si="102"/>
        <v>0.260484920788576</v>
      </c>
      <c r="J338">
        <f t="shared" si="103"/>
        <v>76.9049099056268</v>
      </c>
      <c r="K338">
        <f t="shared" si="104"/>
        <v>177.498911803608</v>
      </c>
      <c r="L338">
        <f t="shared" si="105"/>
        <v>5.90971621224395e-5</v>
      </c>
      <c r="M338">
        <f t="shared" si="106"/>
        <v>6.48817993350892e-5</v>
      </c>
      <c r="N338" s="47">
        <f t="shared" si="107"/>
        <v>0</v>
      </c>
      <c r="O338">
        <f t="shared" si="108"/>
        <v>0</v>
      </c>
      <c r="P338">
        <f t="shared" si="109"/>
        <v>5.90971621224395e-5</v>
      </c>
      <c r="Q338">
        <f t="shared" si="110"/>
        <v>0</v>
      </c>
      <c r="R338">
        <f t="shared" si="111"/>
        <v>0</v>
      </c>
      <c r="S338">
        <f t="shared" si="112"/>
        <v>0</v>
      </c>
      <c r="T338">
        <f t="shared" si="113"/>
        <v>6.48817993350892e-5</v>
      </c>
      <c r="U338" s="52">
        <f t="shared" si="114"/>
        <v>0</v>
      </c>
      <c r="V338">
        <f t="shared" si="115"/>
        <v>0</v>
      </c>
      <c r="W338">
        <f t="shared" si="116"/>
        <v>0</v>
      </c>
      <c r="X338">
        <f t="shared" si="117"/>
        <v>77.500694</v>
      </c>
      <c r="Y338">
        <f t="shared" si="118"/>
        <v>0</v>
      </c>
      <c r="Z338">
        <f t="shared" si="119"/>
        <v>0</v>
      </c>
      <c r="AA338">
        <f t="shared" si="120"/>
        <v>0</v>
      </c>
      <c r="AB338">
        <f t="shared" si="121"/>
        <v>178.940262</v>
      </c>
      <c r="AC338">
        <f t="shared" si="122"/>
        <v>0</v>
      </c>
    </row>
    <row r="339" spans="2:29">
      <c r="B339" s="5">
        <v>48</v>
      </c>
      <c r="C339" s="6">
        <v>78.358696</v>
      </c>
      <c r="D339" s="6">
        <v>179.892593</v>
      </c>
      <c r="E339">
        <v>0.85</v>
      </c>
      <c r="F339" s="5">
        <f t="shared" si="99"/>
        <v>77.1443287293079</v>
      </c>
      <c r="G339">
        <f t="shared" si="100"/>
        <v>178.174436197269</v>
      </c>
      <c r="H339">
        <f t="shared" si="101"/>
        <v>0.399644729515986</v>
      </c>
      <c r="I339">
        <f t="shared" si="102"/>
        <v>0.834680655400029</v>
      </c>
      <c r="J339">
        <f t="shared" si="103"/>
        <v>77.5439734588239</v>
      </c>
      <c r="K339">
        <f t="shared" si="104"/>
        <v>179.009116852669</v>
      </c>
      <c r="L339">
        <f t="shared" si="105"/>
        <v>0.000108104821559122</v>
      </c>
      <c r="M339">
        <f t="shared" si="106"/>
        <v>2.4119210821141e-5</v>
      </c>
      <c r="N339" s="47">
        <f t="shared" si="107"/>
        <v>0</v>
      </c>
      <c r="O339">
        <f t="shared" si="108"/>
        <v>0</v>
      </c>
      <c r="P339">
        <f t="shared" si="109"/>
        <v>0</v>
      </c>
      <c r="Q339">
        <f t="shared" si="110"/>
        <v>0.000108104821559122</v>
      </c>
      <c r="R339">
        <f t="shared" si="111"/>
        <v>0</v>
      </c>
      <c r="S339">
        <f t="shared" si="112"/>
        <v>0</v>
      </c>
      <c r="T339">
        <f t="shared" si="113"/>
        <v>0</v>
      </c>
      <c r="U339" s="52">
        <f t="shared" si="114"/>
        <v>2.4119210821141e-5</v>
      </c>
      <c r="V339">
        <f t="shared" si="115"/>
        <v>0</v>
      </c>
      <c r="W339">
        <f t="shared" si="116"/>
        <v>0</v>
      </c>
      <c r="X339">
        <f t="shared" si="117"/>
        <v>0</v>
      </c>
      <c r="Y339">
        <f t="shared" si="118"/>
        <v>78.358696</v>
      </c>
      <c r="Z339">
        <f t="shared" si="119"/>
        <v>0</v>
      </c>
      <c r="AA339">
        <f t="shared" si="120"/>
        <v>0</v>
      </c>
      <c r="AB339">
        <f t="shared" si="121"/>
        <v>0</v>
      </c>
      <c r="AC339">
        <f t="shared" si="122"/>
        <v>179.892593</v>
      </c>
    </row>
    <row r="340" spans="2:29">
      <c r="B340" s="5">
        <v>49</v>
      </c>
      <c r="C340" s="6">
        <v>77.827667</v>
      </c>
      <c r="D340" s="6">
        <v>177.634491</v>
      </c>
      <c r="E340">
        <v>0.15</v>
      </c>
      <c r="F340" s="5">
        <f t="shared" si="99"/>
        <v>77.8122307281886</v>
      </c>
      <c r="G340">
        <f t="shared" si="100"/>
        <v>179.119422438771</v>
      </c>
      <c r="H340">
        <f t="shared" si="101"/>
        <v>0.439883319920688</v>
      </c>
      <c r="I340">
        <f t="shared" si="102"/>
        <v>0.851226493315341</v>
      </c>
      <c r="J340">
        <f t="shared" si="103"/>
        <v>78.2521140481092</v>
      </c>
      <c r="K340">
        <f t="shared" si="104"/>
        <v>179.970648932086</v>
      </c>
      <c r="L340">
        <f t="shared" si="105"/>
        <v>2.9742605521573e-5</v>
      </c>
      <c r="M340">
        <f t="shared" si="106"/>
        <v>0.000172961644804651</v>
      </c>
      <c r="N340" s="47">
        <f t="shared" si="107"/>
        <v>2.9742605521573e-5</v>
      </c>
      <c r="O340">
        <f t="shared" si="108"/>
        <v>0</v>
      </c>
      <c r="P340">
        <f t="shared" si="109"/>
        <v>0</v>
      </c>
      <c r="Q340">
        <f t="shared" si="110"/>
        <v>0</v>
      </c>
      <c r="R340">
        <f t="shared" si="111"/>
        <v>0.000172961644804651</v>
      </c>
      <c r="S340">
        <f t="shared" si="112"/>
        <v>0</v>
      </c>
      <c r="T340">
        <f t="shared" si="113"/>
        <v>0</v>
      </c>
      <c r="U340" s="52">
        <f t="shared" si="114"/>
        <v>0</v>
      </c>
      <c r="V340">
        <f t="shared" si="115"/>
        <v>77.827667</v>
      </c>
      <c r="W340">
        <f t="shared" si="116"/>
        <v>0</v>
      </c>
      <c r="X340">
        <f t="shared" si="117"/>
        <v>0</v>
      </c>
      <c r="Y340">
        <f t="shared" si="118"/>
        <v>0</v>
      </c>
      <c r="Z340">
        <f t="shared" si="119"/>
        <v>177.634491</v>
      </c>
      <c r="AA340">
        <f t="shared" si="120"/>
        <v>0</v>
      </c>
      <c r="AB340">
        <f t="shared" si="121"/>
        <v>0</v>
      </c>
      <c r="AC340">
        <f t="shared" si="122"/>
        <v>0</v>
      </c>
    </row>
    <row r="341" spans="2:29">
      <c r="B341" s="5">
        <v>50</v>
      </c>
      <c r="C341" s="6">
        <v>78.105476</v>
      </c>
      <c r="D341" s="6">
        <v>176.770523</v>
      </c>
      <c r="E341">
        <v>0.25</v>
      </c>
      <c r="F341" s="5">
        <f t="shared" si="99"/>
        <v>77.8207206776848</v>
      </c>
      <c r="G341">
        <f t="shared" si="100"/>
        <v>178.302710147447</v>
      </c>
      <c r="H341">
        <f t="shared" si="101"/>
        <v>0.33203497731459</v>
      </c>
      <c r="I341">
        <f t="shared" si="102"/>
        <v>0.434241797155485</v>
      </c>
      <c r="J341">
        <f t="shared" si="103"/>
        <v>78.1527556549994</v>
      </c>
      <c r="K341">
        <f t="shared" si="104"/>
        <v>178.736951944602</v>
      </c>
      <c r="L341">
        <f t="shared" si="105"/>
        <v>3.66425450713982e-7</v>
      </c>
      <c r="M341">
        <f t="shared" si="106"/>
        <v>0.000123747610751898</v>
      </c>
      <c r="N341" s="47">
        <f t="shared" si="107"/>
        <v>0</v>
      </c>
      <c r="O341">
        <f t="shared" si="108"/>
        <v>3.66425450713982e-7</v>
      </c>
      <c r="P341">
        <f t="shared" si="109"/>
        <v>0</v>
      </c>
      <c r="Q341">
        <f t="shared" si="110"/>
        <v>0</v>
      </c>
      <c r="R341">
        <f t="shared" si="111"/>
        <v>0</v>
      </c>
      <c r="S341">
        <f t="shared" si="112"/>
        <v>0.000123747610751898</v>
      </c>
      <c r="T341">
        <f t="shared" si="113"/>
        <v>0</v>
      </c>
      <c r="U341" s="52">
        <f t="shared" si="114"/>
        <v>0</v>
      </c>
      <c r="V341">
        <f t="shared" si="115"/>
        <v>0</v>
      </c>
      <c r="W341">
        <f t="shared" si="116"/>
        <v>78.105476</v>
      </c>
      <c r="X341">
        <f t="shared" si="117"/>
        <v>0</v>
      </c>
      <c r="Y341">
        <f t="shared" si="118"/>
        <v>0</v>
      </c>
      <c r="Z341">
        <f t="shared" si="119"/>
        <v>0</v>
      </c>
      <c r="AA341">
        <f t="shared" si="120"/>
        <v>176.770523</v>
      </c>
      <c r="AB341">
        <f t="shared" si="121"/>
        <v>0</v>
      </c>
      <c r="AC341">
        <f t="shared" si="122"/>
        <v>0</v>
      </c>
    </row>
    <row r="342" spans="2:29">
      <c r="B342" s="5">
        <v>51</v>
      </c>
      <c r="C342" s="6">
        <v>78.481621</v>
      </c>
      <c r="D342" s="6">
        <v>176.309097</v>
      </c>
      <c r="E342">
        <v>0.45</v>
      </c>
      <c r="F342" s="5">
        <f t="shared" si="99"/>
        <v>77.9773361049582</v>
      </c>
      <c r="G342">
        <f t="shared" si="100"/>
        <v>177.460007216351</v>
      </c>
      <c r="H342">
        <f t="shared" si="101"/>
        <v>0.25309617979602</v>
      </c>
      <c r="I342">
        <f t="shared" si="102"/>
        <v>-0.140383330557593</v>
      </c>
      <c r="J342">
        <f t="shared" si="103"/>
        <v>78.2304322847542</v>
      </c>
      <c r="K342">
        <f t="shared" si="104"/>
        <v>177.319623885794</v>
      </c>
      <c r="L342">
        <f t="shared" si="105"/>
        <v>1.024387617218e-5</v>
      </c>
      <c r="M342">
        <f t="shared" si="106"/>
        <v>3.28508267024403e-5</v>
      </c>
      <c r="N342" s="47">
        <f t="shared" si="107"/>
        <v>0</v>
      </c>
      <c r="O342">
        <f t="shared" si="108"/>
        <v>0</v>
      </c>
      <c r="P342">
        <f t="shared" si="109"/>
        <v>1.024387617218e-5</v>
      </c>
      <c r="Q342">
        <f t="shared" si="110"/>
        <v>0</v>
      </c>
      <c r="R342">
        <f t="shared" si="111"/>
        <v>0</v>
      </c>
      <c r="S342">
        <f t="shared" si="112"/>
        <v>0</v>
      </c>
      <c r="T342">
        <f t="shared" si="113"/>
        <v>3.28508267024403e-5</v>
      </c>
      <c r="U342" s="52">
        <f t="shared" si="114"/>
        <v>0</v>
      </c>
      <c r="V342">
        <f t="shared" si="115"/>
        <v>0</v>
      </c>
      <c r="W342">
        <f t="shared" si="116"/>
        <v>0</v>
      </c>
      <c r="X342">
        <f t="shared" si="117"/>
        <v>78.481621</v>
      </c>
      <c r="Y342">
        <f t="shared" si="118"/>
        <v>0</v>
      </c>
      <c r="Z342">
        <f t="shared" si="119"/>
        <v>0</v>
      </c>
      <c r="AA342">
        <f t="shared" si="120"/>
        <v>0</v>
      </c>
      <c r="AB342">
        <f t="shared" si="121"/>
        <v>176.309097</v>
      </c>
      <c r="AC342">
        <f t="shared" si="122"/>
        <v>0</v>
      </c>
    </row>
    <row r="343" spans="2:29">
      <c r="B343" s="5">
        <v>52</v>
      </c>
      <c r="C343" s="6">
        <v>78.25544</v>
      </c>
      <c r="D343" s="6">
        <v>173.903717</v>
      </c>
      <c r="E343">
        <v>0.85</v>
      </c>
      <c r="F343" s="5">
        <f t="shared" si="99"/>
        <v>78.2546927972312</v>
      </c>
      <c r="G343">
        <f t="shared" si="100"/>
        <v>176.827006597358</v>
      </c>
      <c r="H343">
        <f t="shared" si="101"/>
        <v>0.273717615401455</v>
      </c>
      <c r="I343">
        <f t="shared" si="102"/>
        <v>-0.559108025727793</v>
      </c>
      <c r="J343">
        <f t="shared" si="103"/>
        <v>78.5284104126326</v>
      </c>
      <c r="K343">
        <f t="shared" si="104"/>
        <v>176.26789857163</v>
      </c>
      <c r="L343">
        <f t="shared" si="105"/>
        <v>1.21675202356207e-5</v>
      </c>
      <c r="M343">
        <f t="shared" si="106"/>
        <v>0.000184817855291608</v>
      </c>
      <c r="N343" s="47">
        <f t="shared" si="107"/>
        <v>0</v>
      </c>
      <c r="O343">
        <f t="shared" si="108"/>
        <v>0</v>
      </c>
      <c r="P343">
        <f t="shared" si="109"/>
        <v>0</v>
      </c>
      <c r="Q343">
        <f t="shared" si="110"/>
        <v>1.21675202356207e-5</v>
      </c>
      <c r="R343">
        <f t="shared" si="111"/>
        <v>0</v>
      </c>
      <c r="S343">
        <f t="shared" si="112"/>
        <v>0</v>
      </c>
      <c r="T343">
        <f t="shared" si="113"/>
        <v>0</v>
      </c>
      <c r="U343" s="52">
        <f t="shared" si="114"/>
        <v>0.000184817855291608</v>
      </c>
      <c r="V343">
        <f t="shared" si="115"/>
        <v>0</v>
      </c>
      <c r="W343">
        <f t="shared" si="116"/>
        <v>0</v>
      </c>
      <c r="X343">
        <f t="shared" si="117"/>
        <v>0</v>
      </c>
      <c r="Y343">
        <f t="shared" si="118"/>
        <v>78.25544</v>
      </c>
      <c r="Z343">
        <f t="shared" si="119"/>
        <v>0</v>
      </c>
      <c r="AA343">
        <f t="shared" si="120"/>
        <v>0</v>
      </c>
      <c r="AB343">
        <f t="shared" si="121"/>
        <v>0</v>
      </c>
      <c r="AC343">
        <f t="shared" si="122"/>
        <v>173.903717</v>
      </c>
    </row>
    <row r="344" spans="2:29">
      <c r="B344" s="5">
        <v>53</v>
      </c>
      <c r="C344" s="6">
        <v>75.954315</v>
      </c>
      <c r="D344" s="6">
        <v>170.379089</v>
      </c>
      <c r="E344">
        <v>0.15</v>
      </c>
      <c r="F344" s="5">
        <f t="shared" si="99"/>
        <v>78.255103758754</v>
      </c>
      <c r="G344">
        <f t="shared" si="100"/>
        <v>175.219197318811</v>
      </c>
      <c r="H344">
        <f t="shared" si="101"/>
        <v>0.232721617319664</v>
      </c>
      <c r="I344">
        <f t="shared" si="102"/>
        <v>-0.716413213650661</v>
      </c>
      <c r="J344">
        <f t="shared" si="103"/>
        <v>78.4878253760737</v>
      </c>
      <c r="K344">
        <f t="shared" si="104"/>
        <v>174.50278410516</v>
      </c>
      <c r="L344">
        <f t="shared" si="105"/>
        <v>0.00111260362822775</v>
      </c>
      <c r="M344">
        <f t="shared" si="106"/>
        <v>0.000585788054083856</v>
      </c>
      <c r="N344" s="47">
        <f t="shared" si="107"/>
        <v>0.00111260362822775</v>
      </c>
      <c r="O344">
        <f t="shared" si="108"/>
        <v>0</v>
      </c>
      <c r="P344">
        <f t="shared" si="109"/>
        <v>0</v>
      </c>
      <c r="Q344">
        <f t="shared" si="110"/>
        <v>0</v>
      </c>
      <c r="R344">
        <f t="shared" si="111"/>
        <v>0.000585788054083856</v>
      </c>
      <c r="S344">
        <f t="shared" si="112"/>
        <v>0</v>
      </c>
      <c r="T344">
        <f t="shared" si="113"/>
        <v>0</v>
      </c>
      <c r="U344" s="52">
        <f t="shared" si="114"/>
        <v>0</v>
      </c>
      <c r="V344">
        <f t="shared" si="115"/>
        <v>75.954315</v>
      </c>
      <c r="W344">
        <f t="shared" si="116"/>
        <v>0</v>
      </c>
      <c r="X344">
        <f t="shared" si="117"/>
        <v>0</v>
      </c>
      <c r="Y344">
        <f t="shared" si="118"/>
        <v>0</v>
      </c>
      <c r="Z344">
        <f t="shared" si="119"/>
        <v>170.379089</v>
      </c>
      <c r="AA344">
        <f t="shared" si="120"/>
        <v>0</v>
      </c>
      <c r="AB344">
        <f t="shared" si="121"/>
        <v>0</v>
      </c>
      <c r="AC344">
        <f t="shared" si="122"/>
        <v>0</v>
      </c>
    </row>
    <row r="345" spans="2:29">
      <c r="B345" s="5">
        <v>54</v>
      </c>
      <c r="C345" s="6">
        <v>78.103012</v>
      </c>
      <c r="D345" s="6">
        <v>172.264145</v>
      </c>
      <c r="E345">
        <v>0.25</v>
      </c>
      <c r="F345" s="5">
        <f t="shared" si="99"/>
        <v>76.9896699414393</v>
      </c>
      <c r="G345">
        <f t="shared" si="100"/>
        <v>172.557137743465</v>
      </c>
      <c r="H345">
        <f t="shared" si="101"/>
        <v>-0.141817241338931</v>
      </c>
      <c r="I345">
        <f t="shared" si="102"/>
        <v>-1.20282480407453</v>
      </c>
      <c r="J345">
        <f t="shared" si="103"/>
        <v>76.8478527001004</v>
      </c>
      <c r="K345">
        <f t="shared" si="104"/>
        <v>171.35431293939</v>
      </c>
      <c r="L345">
        <f t="shared" si="105"/>
        <v>0.000258262964299088</v>
      </c>
      <c r="M345">
        <f t="shared" si="106"/>
        <v>2.78954060155161e-5</v>
      </c>
      <c r="N345" s="47">
        <f t="shared" si="107"/>
        <v>0</v>
      </c>
      <c r="O345">
        <f t="shared" si="108"/>
        <v>0.000258262964299088</v>
      </c>
      <c r="P345">
        <f t="shared" si="109"/>
        <v>0</v>
      </c>
      <c r="Q345">
        <f t="shared" si="110"/>
        <v>0</v>
      </c>
      <c r="R345">
        <f t="shared" si="111"/>
        <v>0</v>
      </c>
      <c r="S345">
        <f t="shared" si="112"/>
        <v>2.78954060155161e-5</v>
      </c>
      <c r="T345">
        <f t="shared" si="113"/>
        <v>0</v>
      </c>
      <c r="U345" s="52">
        <f t="shared" si="114"/>
        <v>0</v>
      </c>
      <c r="V345">
        <f t="shared" si="115"/>
        <v>0</v>
      </c>
      <c r="W345">
        <f t="shared" si="116"/>
        <v>78.103012</v>
      </c>
      <c r="X345">
        <f t="shared" si="117"/>
        <v>0</v>
      </c>
      <c r="Y345">
        <f t="shared" si="118"/>
        <v>0</v>
      </c>
      <c r="Z345">
        <f t="shared" si="119"/>
        <v>0</v>
      </c>
      <c r="AA345">
        <f t="shared" si="120"/>
        <v>172.264145</v>
      </c>
      <c r="AB345">
        <f t="shared" si="121"/>
        <v>0</v>
      </c>
      <c r="AC345">
        <f t="shared" si="122"/>
        <v>0</v>
      </c>
    </row>
    <row r="346" spans="2:29">
      <c r="B346" s="5">
        <v>55</v>
      </c>
      <c r="C346" s="6">
        <v>79.7379</v>
      </c>
      <c r="D346" s="6">
        <v>172.470306</v>
      </c>
      <c r="E346">
        <v>0.45</v>
      </c>
      <c r="F346" s="5">
        <f t="shared" si="99"/>
        <v>77.6020080736477</v>
      </c>
      <c r="G346">
        <f t="shared" si="100"/>
        <v>172.395991734559</v>
      </c>
      <c r="H346">
        <f t="shared" si="101"/>
        <v>0.197552676757365</v>
      </c>
      <c r="I346">
        <f t="shared" si="102"/>
        <v>-0.734069346248575</v>
      </c>
      <c r="J346">
        <f t="shared" si="103"/>
        <v>77.7995607504051</v>
      </c>
      <c r="K346">
        <f t="shared" si="104"/>
        <v>171.661922388311</v>
      </c>
      <c r="L346">
        <f t="shared" si="105"/>
        <v>0.000590921773092539</v>
      </c>
      <c r="M346">
        <f t="shared" si="106"/>
        <v>2.19687999028802e-5</v>
      </c>
      <c r="N346" s="47">
        <f t="shared" si="107"/>
        <v>0</v>
      </c>
      <c r="O346">
        <f t="shared" si="108"/>
        <v>0</v>
      </c>
      <c r="P346">
        <f t="shared" si="109"/>
        <v>0.000590921773092539</v>
      </c>
      <c r="Q346">
        <f t="shared" si="110"/>
        <v>0</v>
      </c>
      <c r="R346">
        <f t="shared" si="111"/>
        <v>0</v>
      </c>
      <c r="S346">
        <f t="shared" si="112"/>
        <v>0</v>
      </c>
      <c r="T346">
        <f t="shared" si="113"/>
        <v>2.19687999028802e-5</v>
      </c>
      <c r="U346" s="52">
        <f t="shared" si="114"/>
        <v>0</v>
      </c>
      <c r="V346">
        <f t="shared" si="115"/>
        <v>0</v>
      </c>
      <c r="W346">
        <f t="shared" si="116"/>
        <v>0</v>
      </c>
      <c r="X346">
        <f t="shared" si="117"/>
        <v>79.7379</v>
      </c>
      <c r="Y346">
        <f t="shared" si="118"/>
        <v>0</v>
      </c>
      <c r="Z346">
        <f t="shared" si="119"/>
        <v>0</v>
      </c>
      <c r="AA346">
        <f t="shared" si="120"/>
        <v>0</v>
      </c>
      <c r="AB346">
        <f t="shared" si="121"/>
        <v>172.470306</v>
      </c>
      <c r="AC346">
        <f t="shared" si="122"/>
        <v>0</v>
      </c>
    </row>
    <row r="347" spans="2:29">
      <c r="B347" s="5">
        <v>56</v>
      </c>
      <c r="C347" s="6">
        <v>79.622337</v>
      </c>
      <c r="D347" s="6">
        <v>175.09166</v>
      </c>
      <c r="E347">
        <v>0.85</v>
      </c>
      <c r="F347" s="5">
        <f t="shared" si="99"/>
        <v>78.7767486331415</v>
      </c>
      <c r="G347">
        <f t="shared" si="100"/>
        <v>172.436864580552</v>
      </c>
      <c r="H347">
        <f t="shared" si="101"/>
        <v>1.02816237708331</v>
      </c>
      <c r="I347">
        <f t="shared" si="102"/>
        <v>-0.0753684828437252</v>
      </c>
      <c r="J347">
        <f t="shared" si="103"/>
        <v>79.8049110102248</v>
      </c>
      <c r="K347">
        <f t="shared" si="104"/>
        <v>172.361496097708</v>
      </c>
      <c r="L347">
        <f t="shared" si="105"/>
        <v>5.2578485094915e-6</v>
      </c>
      <c r="M347">
        <f t="shared" si="106"/>
        <v>0.000243134461844911</v>
      </c>
      <c r="N347" s="47">
        <f t="shared" si="107"/>
        <v>0</v>
      </c>
      <c r="O347">
        <f t="shared" si="108"/>
        <v>0</v>
      </c>
      <c r="P347">
        <f t="shared" si="109"/>
        <v>0</v>
      </c>
      <c r="Q347">
        <f t="shared" si="110"/>
        <v>5.2578485094915e-6</v>
      </c>
      <c r="R347">
        <f t="shared" si="111"/>
        <v>0</v>
      </c>
      <c r="S347">
        <f t="shared" si="112"/>
        <v>0</v>
      </c>
      <c r="T347">
        <f t="shared" si="113"/>
        <v>0</v>
      </c>
      <c r="U347" s="52">
        <f t="shared" si="114"/>
        <v>0.000243134461844911</v>
      </c>
      <c r="V347">
        <f t="shared" si="115"/>
        <v>0</v>
      </c>
      <c r="W347">
        <f t="shared" si="116"/>
        <v>0</v>
      </c>
      <c r="X347">
        <f t="shared" si="117"/>
        <v>0</v>
      </c>
      <c r="Y347">
        <f t="shared" si="118"/>
        <v>79.622337</v>
      </c>
      <c r="Z347">
        <f t="shared" si="119"/>
        <v>0</v>
      </c>
      <c r="AA347">
        <f t="shared" si="120"/>
        <v>0</v>
      </c>
      <c r="AB347">
        <f t="shared" si="121"/>
        <v>0</v>
      </c>
      <c r="AC347">
        <f t="shared" si="122"/>
        <v>175.09166</v>
      </c>
    </row>
    <row r="348" spans="2:29">
      <c r="B348" s="5">
        <v>57</v>
      </c>
      <c r="C348" s="6">
        <v>76.091995</v>
      </c>
      <c r="D348" s="6">
        <v>170.064926</v>
      </c>
      <c r="E348">
        <v>0.15</v>
      </c>
      <c r="F348" s="5">
        <f t="shared" si="99"/>
        <v>79.2418222349137</v>
      </c>
      <c r="G348">
        <f t="shared" si="100"/>
        <v>173.897002061248</v>
      </c>
      <c r="H348">
        <f t="shared" si="101"/>
        <v>0.943699060786641</v>
      </c>
      <c r="I348">
        <f t="shared" si="102"/>
        <v>0.154957411687324</v>
      </c>
      <c r="J348">
        <f t="shared" si="103"/>
        <v>80.1855212957003</v>
      </c>
      <c r="K348">
        <f t="shared" si="104"/>
        <v>174.051959472936</v>
      </c>
      <c r="L348">
        <f t="shared" si="105"/>
        <v>0.00289412461932818</v>
      </c>
      <c r="M348">
        <f t="shared" si="106"/>
        <v>0.000549629778822854</v>
      </c>
      <c r="N348" s="47">
        <f t="shared" si="107"/>
        <v>0.00289412461932818</v>
      </c>
      <c r="O348">
        <f t="shared" si="108"/>
        <v>0</v>
      </c>
      <c r="P348">
        <f t="shared" si="109"/>
        <v>0</v>
      </c>
      <c r="Q348">
        <f t="shared" si="110"/>
        <v>0</v>
      </c>
      <c r="R348">
        <f t="shared" si="111"/>
        <v>0.000549629778822854</v>
      </c>
      <c r="S348">
        <f t="shared" si="112"/>
        <v>0</v>
      </c>
      <c r="T348">
        <f t="shared" si="113"/>
        <v>0</v>
      </c>
      <c r="U348" s="52">
        <f t="shared" si="114"/>
        <v>0</v>
      </c>
      <c r="V348">
        <f t="shared" si="115"/>
        <v>76.091995</v>
      </c>
      <c r="W348">
        <f t="shared" si="116"/>
        <v>0</v>
      </c>
      <c r="X348">
        <f t="shared" si="117"/>
        <v>0</v>
      </c>
      <c r="Y348">
        <f t="shared" si="118"/>
        <v>0</v>
      </c>
      <c r="Z348">
        <f t="shared" si="119"/>
        <v>170.064926</v>
      </c>
      <c r="AA348">
        <f t="shared" si="120"/>
        <v>0</v>
      </c>
      <c r="AB348">
        <f t="shared" si="121"/>
        <v>0</v>
      </c>
      <c r="AC348">
        <f t="shared" si="122"/>
        <v>0</v>
      </c>
    </row>
    <row r="349" spans="2:29">
      <c r="B349" s="5">
        <v>58</v>
      </c>
      <c r="C349" s="6">
        <v>75.883018</v>
      </c>
      <c r="D349" s="6">
        <v>168.199554</v>
      </c>
      <c r="E349">
        <v>0.25</v>
      </c>
      <c r="F349" s="5">
        <f t="shared" si="99"/>
        <v>77.5094172557111</v>
      </c>
      <c r="G349">
        <f t="shared" si="100"/>
        <v>171.789360227562</v>
      </c>
      <c r="H349">
        <f t="shared" si="101"/>
        <v>0.274673050789353</v>
      </c>
      <c r="I349">
        <f t="shared" si="102"/>
        <v>-0.410692399656139</v>
      </c>
      <c r="J349">
        <f t="shared" si="103"/>
        <v>77.7840903065005</v>
      </c>
      <c r="K349">
        <f t="shared" si="104"/>
        <v>171.378667827906</v>
      </c>
      <c r="L349">
        <f t="shared" si="105"/>
        <v>0.000627636338800002</v>
      </c>
      <c r="M349">
        <f t="shared" si="106"/>
        <v>0.000357241970634519</v>
      </c>
      <c r="N349" s="47">
        <f t="shared" si="107"/>
        <v>0</v>
      </c>
      <c r="O349">
        <f t="shared" si="108"/>
        <v>0.000627636338800002</v>
      </c>
      <c r="P349">
        <f t="shared" si="109"/>
        <v>0</v>
      </c>
      <c r="Q349">
        <f t="shared" si="110"/>
        <v>0</v>
      </c>
      <c r="R349">
        <f t="shared" si="111"/>
        <v>0</v>
      </c>
      <c r="S349">
        <f t="shared" si="112"/>
        <v>0.000357241970634519</v>
      </c>
      <c r="T349">
        <f t="shared" si="113"/>
        <v>0</v>
      </c>
      <c r="U349" s="52">
        <f t="shared" si="114"/>
        <v>0</v>
      </c>
      <c r="V349">
        <f t="shared" si="115"/>
        <v>0</v>
      </c>
      <c r="W349">
        <f t="shared" si="116"/>
        <v>75.883018</v>
      </c>
      <c r="X349">
        <f t="shared" si="117"/>
        <v>0</v>
      </c>
      <c r="Y349">
        <f t="shared" si="118"/>
        <v>0</v>
      </c>
      <c r="Z349">
        <f t="shared" si="119"/>
        <v>0</v>
      </c>
      <c r="AA349">
        <f t="shared" si="120"/>
        <v>168.199554</v>
      </c>
      <c r="AB349">
        <f t="shared" si="121"/>
        <v>0</v>
      </c>
      <c r="AC349">
        <f t="shared" si="122"/>
        <v>0</v>
      </c>
    </row>
    <row r="350" spans="2:29">
      <c r="B350" s="5">
        <v>59</v>
      </c>
      <c r="C350" s="6">
        <v>78.388199</v>
      </c>
      <c r="D350" s="6">
        <v>172.018692</v>
      </c>
      <c r="E350">
        <v>0.45</v>
      </c>
      <c r="F350" s="5">
        <f t="shared" si="99"/>
        <v>76.61489766507</v>
      </c>
      <c r="G350">
        <f t="shared" si="100"/>
        <v>169.814966802403</v>
      </c>
      <c r="H350">
        <f t="shared" si="101"/>
        <v>-0.251463637854362</v>
      </c>
      <c r="I350">
        <f t="shared" si="102"/>
        <v>-1.11435786113239</v>
      </c>
      <c r="J350">
        <f t="shared" si="103"/>
        <v>76.3634340272157</v>
      </c>
      <c r="K350">
        <f t="shared" si="104"/>
        <v>168.70060894127</v>
      </c>
      <c r="L350">
        <f t="shared" si="105"/>
        <v>0.000667187445272343</v>
      </c>
      <c r="M350">
        <f t="shared" si="106"/>
        <v>0.000372068774829276</v>
      </c>
      <c r="N350" s="47">
        <f t="shared" si="107"/>
        <v>0</v>
      </c>
      <c r="O350">
        <f t="shared" si="108"/>
        <v>0</v>
      </c>
      <c r="P350">
        <f t="shared" si="109"/>
        <v>0.000667187445272343</v>
      </c>
      <c r="Q350">
        <f t="shared" si="110"/>
        <v>0</v>
      </c>
      <c r="R350">
        <f t="shared" si="111"/>
        <v>0</v>
      </c>
      <c r="S350">
        <f t="shared" si="112"/>
        <v>0</v>
      </c>
      <c r="T350">
        <f t="shared" si="113"/>
        <v>0.000372068774829276</v>
      </c>
      <c r="U350" s="52">
        <f t="shared" si="114"/>
        <v>0</v>
      </c>
      <c r="V350">
        <f t="shared" si="115"/>
        <v>0</v>
      </c>
      <c r="W350">
        <f t="shared" si="116"/>
        <v>0</v>
      </c>
      <c r="X350">
        <f t="shared" si="117"/>
        <v>78.388199</v>
      </c>
      <c r="Y350">
        <f t="shared" si="118"/>
        <v>0</v>
      </c>
      <c r="Z350">
        <f t="shared" si="119"/>
        <v>0</v>
      </c>
      <c r="AA350">
        <f t="shared" si="120"/>
        <v>0</v>
      </c>
      <c r="AB350">
        <f t="shared" si="121"/>
        <v>172.018692</v>
      </c>
      <c r="AC350">
        <f t="shared" si="122"/>
        <v>0</v>
      </c>
    </row>
    <row r="351" spans="2:29">
      <c r="B351" s="5">
        <v>60</v>
      </c>
      <c r="C351" s="6">
        <v>79.027405</v>
      </c>
      <c r="D351" s="6">
        <v>173.677887</v>
      </c>
      <c r="E351">
        <v>0.85</v>
      </c>
      <c r="F351" s="5">
        <f t="shared" si="99"/>
        <v>77.5902133992815</v>
      </c>
      <c r="G351">
        <f t="shared" si="100"/>
        <v>171.027015661081</v>
      </c>
      <c r="H351">
        <f t="shared" si="101"/>
        <v>0.791298828401614</v>
      </c>
      <c r="I351">
        <f t="shared" si="102"/>
        <v>0.863087850706806</v>
      </c>
      <c r="J351">
        <f t="shared" si="103"/>
        <v>78.3815122276831</v>
      </c>
      <c r="K351">
        <f t="shared" si="104"/>
        <v>171.890103511788</v>
      </c>
      <c r="L351">
        <f t="shared" si="105"/>
        <v>6.67982995024086e-5</v>
      </c>
      <c r="M351">
        <f t="shared" si="106"/>
        <v>0.00010595971711934</v>
      </c>
      <c r="N351" s="47">
        <f t="shared" si="107"/>
        <v>0</v>
      </c>
      <c r="O351">
        <f t="shared" si="108"/>
        <v>0</v>
      </c>
      <c r="P351">
        <f t="shared" si="109"/>
        <v>0</v>
      </c>
      <c r="Q351">
        <f t="shared" si="110"/>
        <v>6.67982995024086e-5</v>
      </c>
      <c r="R351">
        <f t="shared" si="111"/>
        <v>0</v>
      </c>
      <c r="S351">
        <f t="shared" si="112"/>
        <v>0</v>
      </c>
      <c r="T351">
        <f t="shared" si="113"/>
        <v>0</v>
      </c>
      <c r="U351" s="52">
        <f t="shared" si="114"/>
        <v>0.00010595971711934</v>
      </c>
      <c r="V351">
        <f t="shared" si="115"/>
        <v>0</v>
      </c>
      <c r="W351">
        <f t="shared" si="116"/>
        <v>0</v>
      </c>
      <c r="X351">
        <f t="shared" si="117"/>
        <v>0</v>
      </c>
      <c r="Y351">
        <f t="shared" si="118"/>
        <v>79.027405</v>
      </c>
      <c r="Z351">
        <f t="shared" si="119"/>
        <v>0</v>
      </c>
      <c r="AA351">
        <f t="shared" si="120"/>
        <v>0</v>
      </c>
      <c r="AB351">
        <f t="shared" si="121"/>
        <v>0</v>
      </c>
      <c r="AC351">
        <f t="shared" si="122"/>
        <v>173.677887</v>
      </c>
    </row>
    <row r="352" spans="2:29">
      <c r="B352" s="5">
        <v>61</v>
      </c>
      <c r="C352" s="6">
        <v>79.951775</v>
      </c>
      <c r="D352" s="6">
        <v>173.137924</v>
      </c>
      <c r="E352">
        <v>0.15</v>
      </c>
      <c r="F352" s="5">
        <f t="shared" si="99"/>
        <v>78.3806687796767</v>
      </c>
      <c r="G352">
        <f t="shared" si="100"/>
        <v>172.484994897487</v>
      </c>
      <c r="H352">
        <f t="shared" si="101"/>
        <v>0.791172311200648</v>
      </c>
      <c r="I352">
        <f t="shared" si="102"/>
        <v>0.952321558561583</v>
      </c>
      <c r="J352">
        <f t="shared" si="103"/>
        <v>79.1718410908773</v>
      </c>
      <c r="K352">
        <f t="shared" si="104"/>
        <v>173.437316456048</v>
      </c>
      <c r="L352">
        <f t="shared" si="105"/>
        <v>9.51610850343819e-5</v>
      </c>
      <c r="M352">
        <f t="shared" si="106"/>
        <v>2.99017973817657e-6</v>
      </c>
      <c r="N352" s="47">
        <f t="shared" si="107"/>
        <v>9.51610850343819e-5</v>
      </c>
      <c r="O352">
        <f t="shared" si="108"/>
        <v>0</v>
      </c>
      <c r="P352">
        <f t="shared" si="109"/>
        <v>0</v>
      </c>
      <c r="Q352">
        <f t="shared" si="110"/>
        <v>0</v>
      </c>
      <c r="R352">
        <f t="shared" si="111"/>
        <v>2.99017973817657e-6</v>
      </c>
      <c r="S352">
        <f t="shared" si="112"/>
        <v>0</v>
      </c>
      <c r="T352">
        <f t="shared" si="113"/>
        <v>0</v>
      </c>
      <c r="U352" s="52">
        <f t="shared" si="114"/>
        <v>0</v>
      </c>
      <c r="V352">
        <f t="shared" si="115"/>
        <v>79.951775</v>
      </c>
      <c r="W352">
        <f t="shared" si="116"/>
        <v>0</v>
      </c>
      <c r="X352">
        <f t="shared" si="117"/>
        <v>0</v>
      </c>
      <c r="Y352">
        <f t="shared" si="118"/>
        <v>0</v>
      </c>
      <c r="Z352">
        <f t="shared" si="119"/>
        <v>173.137924</v>
      </c>
      <c r="AA352">
        <f t="shared" si="120"/>
        <v>0</v>
      </c>
      <c r="AB352">
        <f t="shared" si="121"/>
        <v>0</v>
      </c>
      <c r="AC352">
        <f t="shared" si="122"/>
        <v>0</v>
      </c>
    </row>
    <row r="353" spans="2:29">
      <c r="B353" s="5">
        <v>62</v>
      </c>
      <c r="C353" s="6">
        <v>78.865021</v>
      </c>
      <c r="D353" s="6">
        <v>172.087387</v>
      </c>
      <c r="E353">
        <v>0.25</v>
      </c>
      <c r="F353" s="5">
        <f t="shared" si="99"/>
        <v>79.2447772008545</v>
      </c>
      <c r="G353">
        <f t="shared" si="100"/>
        <v>172.844105903869</v>
      </c>
      <c r="H353">
        <f t="shared" si="101"/>
        <v>0.809406338694944</v>
      </c>
      <c r="I353">
        <f t="shared" si="102"/>
        <v>0.804018920516785</v>
      </c>
      <c r="J353">
        <f t="shared" si="103"/>
        <v>80.0541835395495</v>
      </c>
      <c r="K353">
        <f t="shared" si="104"/>
        <v>173.648124824386</v>
      </c>
      <c r="L353">
        <f t="shared" si="105"/>
        <v>0.000227359755219415</v>
      </c>
      <c r="M353">
        <f t="shared" si="106"/>
        <v>8.22549098484362e-5</v>
      </c>
      <c r="N353" s="47">
        <f t="shared" ref="N353:N416" si="123">IF(E353=0.15,L353,0)</f>
        <v>0</v>
      </c>
      <c r="O353">
        <f t="shared" ref="O353:O416" si="124">IF(E353=0.25,L353,0)</f>
        <v>0.000227359755219415</v>
      </c>
      <c r="P353">
        <f t="shared" ref="P353:P416" si="125">IF(E353=0.45,L353,0)</f>
        <v>0</v>
      </c>
      <c r="Q353">
        <f t="shared" ref="Q353:Q416" si="126">IF(E353=0.85,L353,0)</f>
        <v>0</v>
      </c>
      <c r="R353">
        <f t="shared" ref="R353:R416" si="127">IF(E353=0.15,M353,0)</f>
        <v>0</v>
      </c>
      <c r="S353">
        <f t="shared" ref="S353:S416" si="128">IF(E353=0.25,M353,0)</f>
        <v>8.22549098484362e-5</v>
      </c>
      <c r="T353">
        <f t="shared" ref="T353:T416" si="129">IF(E353=0.45,M353,0)</f>
        <v>0</v>
      </c>
      <c r="U353" s="52">
        <f t="shared" ref="U353:U416" si="130">IF(E353=0.85,M353,0)</f>
        <v>0</v>
      </c>
      <c r="V353">
        <f t="shared" ref="V353:V416" si="131">IF(E353=0.15,C353,0)</f>
        <v>0</v>
      </c>
      <c r="W353">
        <f t="shared" ref="W353:W416" si="132">IF(E353=0.25,C353,0)</f>
        <v>78.865021</v>
      </c>
      <c r="X353">
        <f t="shared" ref="X353:X416" si="133">IF(E353=0.45,C353,0)</f>
        <v>0</v>
      </c>
      <c r="Y353">
        <f t="shared" ref="Y353:Y416" si="134">IF(E353=0.85,C353,0)</f>
        <v>0</v>
      </c>
      <c r="Z353">
        <f t="shared" ref="Z353:Z416" si="135">IF(E353=0.15,D353,0)</f>
        <v>0</v>
      </c>
      <c r="AA353">
        <f t="shared" ref="AA353:AA416" si="136">IF(E353=0.25,D353,0)</f>
        <v>172.087387</v>
      </c>
      <c r="AB353">
        <f t="shared" ref="AB353:AB416" si="137">IF(E353=0.45,D353,0)</f>
        <v>0</v>
      </c>
      <c r="AC353">
        <f t="shared" ref="AC353:AC416" si="138">IF(E353=0.85,D353,0)</f>
        <v>0</v>
      </c>
    </row>
    <row r="354" spans="2:29">
      <c r="B354" s="5">
        <v>63</v>
      </c>
      <c r="C354" s="6">
        <v>79.239594</v>
      </c>
      <c r="D354" s="6">
        <v>173.72699</v>
      </c>
      <c r="E354">
        <v>0.45</v>
      </c>
      <c r="F354" s="5">
        <f t="shared" si="99"/>
        <v>79.0359112903845</v>
      </c>
      <c r="G354">
        <f t="shared" si="100"/>
        <v>172.427910506741</v>
      </c>
      <c r="H354">
        <f t="shared" si="101"/>
        <v>0.351183826570721</v>
      </c>
      <c r="I354">
        <f t="shared" si="102"/>
        <v>0.25492247757668</v>
      </c>
      <c r="J354">
        <f t="shared" si="103"/>
        <v>79.3870951169552</v>
      </c>
      <c r="K354">
        <f t="shared" si="104"/>
        <v>172.682832984318</v>
      </c>
      <c r="L354">
        <f t="shared" si="105"/>
        <v>3.46502310376741e-6</v>
      </c>
      <c r="M354">
        <f t="shared" si="106"/>
        <v>3.61240996360785e-5</v>
      </c>
      <c r="N354" s="47">
        <f t="shared" si="123"/>
        <v>0</v>
      </c>
      <c r="O354">
        <f t="shared" si="124"/>
        <v>0</v>
      </c>
      <c r="P354">
        <f t="shared" si="125"/>
        <v>3.46502310376741e-6</v>
      </c>
      <c r="Q354">
        <f t="shared" si="126"/>
        <v>0</v>
      </c>
      <c r="R354">
        <f t="shared" si="127"/>
        <v>0</v>
      </c>
      <c r="S354">
        <f t="shared" si="128"/>
        <v>0</v>
      </c>
      <c r="T354">
        <f t="shared" si="129"/>
        <v>3.61240996360785e-5</v>
      </c>
      <c r="U354" s="52">
        <f t="shared" si="130"/>
        <v>0</v>
      </c>
      <c r="V354">
        <f t="shared" si="131"/>
        <v>0</v>
      </c>
      <c r="W354">
        <f t="shared" si="132"/>
        <v>0</v>
      </c>
      <c r="X354">
        <f t="shared" si="133"/>
        <v>79.239594</v>
      </c>
      <c r="Y354">
        <f t="shared" si="134"/>
        <v>0</v>
      </c>
      <c r="Z354">
        <f t="shared" si="135"/>
        <v>0</v>
      </c>
      <c r="AA354">
        <f t="shared" si="136"/>
        <v>0</v>
      </c>
      <c r="AB354">
        <f t="shared" si="137"/>
        <v>173.72699</v>
      </c>
      <c r="AC354">
        <f t="shared" si="138"/>
        <v>0</v>
      </c>
    </row>
    <row r="355" spans="2:29">
      <c r="B355" s="5">
        <v>64</v>
      </c>
      <c r="C355" s="6">
        <v>78.76152</v>
      </c>
      <c r="D355" s="6">
        <v>175.886917</v>
      </c>
      <c r="E355">
        <v>0.85</v>
      </c>
      <c r="F355" s="5">
        <f t="shared" si="99"/>
        <v>79.147936780673</v>
      </c>
      <c r="G355">
        <f t="shared" si="100"/>
        <v>173.142404228033</v>
      </c>
      <c r="H355">
        <f t="shared" si="101"/>
        <v>0.147899240730847</v>
      </c>
      <c r="I355">
        <f t="shared" si="102"/>
        <v>0.645558034735041</v>
      </c>
      <c r="J355">
        <f t="shared" si="103"/>
        <v>79.2958360214039</v>
      </c>
      <c r="K355">
        <f t="shared" si="104"/>
        <v>173.787962262769</v>
      </c>
      <c r="L355">
        <f t="shared" si="105"/>
        <v>4.60222890247467e-5</v>
      </c>
      <c r="M355">
        <f t="shared" si="106"/>
        <v>0.000142409536745142</v>
      </c>
      <c r="N355" s="47">
        <f t="shared" si="123"/>
        <v>0</v>
      </c>
      <c r="O355">
        <f t="shared" si="124"/>
        <v>0</v>
      </c>
      <c r="P355">
        <f t="shared" si="125"/>
        <v>0</v>
      </c>
      <c r="Q355">
        <f t="shared" si="126"/>
        <v>4.60222890247467e-5</v>
      </c>
      <c r="R355">
        <f t="shared" si="127"/>
        <v>0</v>
      </c>
      <c r="S355">
        <f t="shared" si="128"/>
        <v>0</v>
      </c>
      <c r="T355">
        <f t="shared" si="129"/>
        <v>0</v>
      </c>
      <c r="U355" s="52">
        <f t="shared" si="130"/>
        <v>0.000142409536745142</v>
      </c>
      <c r="V355">
        <f t="shared" si="131"/>
        <v>0</v>
      </c>
      <c r="W355">
        <f t="shared" si="132"/>
        <v>0</v>
      </c>
      <c r="X355">
        <f t="shared" si="133"/>
        <v>0</v>
      </c>
      <c r="Y355">
        <f t="shared" si="134"/>
        <v>78.76152</v>
      </c>
      <c r="Z355">
        <f t="shared" si="135"/>
        <v>0</v>
      </c>
      <c r="AA355">
        <f t="shared" si="136"/>
        <v>0</v>
      </c>
      <c r="AB355">
        <f t="shared" si="137"/>
        <v>0</v>
      </c>
      <c r="AC355">
        <f t="shared" si="138"/>
        <v>175.886917</v>
      </c>
    </row>
    <row r="356" spans="2:29">
      <c r="B356" s="5">
        <v>65</v>
      </c>
      <c r="C356" s="6">
        <v>80.631927</v>
      </c>
      <c r="D356" s="6">
        <v>177.879929</v>
      </c>
      <c r="E356">
        <v>0.15</v>
      </c>
      <c r="F356" s="5">
        <f t="shared" si="99"/>
        <v>78.9354075513029</v>
      </c>
      <c r="G356">
        <f t="shared" si="100"/>
        <v>174.651886252615</v>
      </c>
      <c r="H356">
        <f t="shared" si="101"/>
        <v>0.0938349702156937</v>
      </c>
      <c r="I356">
        <f t="shared" si="102"/>
        <v>0.775146633212027</v>
      </c>
      <c r="J356">
        <f t="shared" si="103"/>
        <v>79.0292425215186</v>
      </c>
      <c r="K356">
        <f t="shared" si="104"/>
        <v>175.427032885827</v>
      </c>
      <c r="L356">
        <f t="shared" si="105"/>
        <v>0.000395077215187243</v>
      </c>
      <c r="M356">
        <f t="shared" si="106"/>
        <v>0.000190153540305364</v>
      </c>
      <c r="N356" s="47">
        <f t="shared" si="123"/>
        <v>0.000395077215187243</v>
      </c>
      <c r="O356">
        <f t="shared" si="124"/>
        <v>0</v>
      </c>
      <c r="P356">
        <f t="shared" si="125"/>
        <v>0</v>
      </c>
      <c r="Q356">
        <f t="shared" si="126"/>
        <v>0</v>
      </c>
      <c r="R356">
        <f t="shared" si="127"/>
        <v>0.000190153540305364</v>
      </c>
      <c r="S356">
        <f t="shared" si="128"/>
        <v>0</v>
      </c>
      <c r="T356">
        <f t="shared" si="129"/>
        <v>0</v>
      </c>
      <c r="U356" s="52">
        <f t="shared" si="130"/>
        <v>0</v>
      </c>
      <c r="V356">
        <f t="shared" si="131"/>
        <v>80.631927</v>
      </c>
      <c r="W356">
        <f t="shared" si="132"/>
        <v>0</v>
      </c>
      <c r="X356">
        <f t="shared" si="133"/>
        <v>0</v>
      </c>
      <c r="Y356">
        <f t="shared" si="134"/>
        <v>0</v>
      </c>
      <c r="Z356">
        <f t="shared" si="135"/>
        <v>177.879929</v>
      </c>
      <c r="AA356">
        <f t="shared" si="136"/>
        <v>0</v>
      </c>
      <c r="AB356">
        <f t="shared" si="137"/>
        <v>0</v>
      </c>
      <c r="AC356">
        <f t="shared" si="138"/>
        <v>0</v>
      </c>
    </row>
    <row r="357" spans="2:29">
      <c r="B357" s="5">
        <v>66</v>
      </c>
      <c r="C357" s="6">
        <v>80.057739</v>
      </c>
      <c r="D357" s="6">
        <v>176.839249</v>
      </c>
      <c r="E357">
        <v>0.25</v>
      </c>
      <c r="F357" s="5">
        <f t="shared" si="99"/>
        <v>79.8684932480863</v>
      </c>
      <c r="G357">
        <f t="shared" si="100"/>
        <v>176.427309763677</v>
      </c>
      <c r="H357">
        <f t="shared" si="101"/>
        <v>0.303647651857626</v>
      </c>
      <c r="I357">
        <f t="shared" si="102"/>
        <v>1.02521585267444</v>
      </c>
      <c r="J357">
        <f t="shared" si="103"/>
        <v>80.1721408999439</v>
      </c>
      <c r="K357">
        <f t="shared" si="104"/>
        <v>177.452525616351</v>
      </c>
      <c r="L357">
        <f t="shared" si="105"/>
        <v>2.04201925611516e-6</v>
      </c>
      <c r="M357">
        <f t="shared" si="106"/>
        <v>1.20269495103287e-5</v>
      </c>
      <c r="N357" s="47">
        <f t="shared" si="123"/>
        <v>0</v>
      </c>
      <c r="O357">
        <f t="shared" si="124"/>
        <v>2.04201925611516e-6</v>
      </c>
      <c r="P357">
        <f t="shared" si="125"/>
        <v>0</v>
      </c>
      <c r="Q357">
        <f t="shared" si="126"/>
        <v>0</v>
      </c>
      <c r="R357">
        <f t="shared" si="127"/>
        <v>0</v>
      </c>
      <c r="S357">
        <f t="shared" si="128"/>
        <v>1.20269495103287e-5</v>
      </c>
      <c r="T357">
        <f t="shared" si="129"/>
        <v>0</v>
      </c>
      <c r="U357" s="52">
        <f t="shared" si="130"/>
        <v>0</v>
      </c>
      <c r="V357">
        <f t="shared" si="131"/>
        <v>0</v>
      </c>
      <c r="W357">
        <f t="shared" si="132"/>
        <v>80.057739</v>
      </c>
      <c r="X357">
        <f t="shared" si="133"/>
        <v>0</v>
      </c>
      <c r="Y357">
        <f t="shared" si="134"/>
        <v>0</v>
      </c>
      <c r="Z357">
        <f t="shared" si="135"/>
        <v>0</v>
      </c>
      <c r="AA357">
        <f t="shared" si="136"/>
        <v>176.839249</v>
      </c>
      <c r="AB357">
        <f t="shared" si="137"/>
        <v>0</v>
      </c>
      <c r="AC357">
        <f t="shared" si="138"/>
        <v>0</v>
      </c>
    </row>
    <row r="358" spans="2:29">
      <c r="B358" s="5">
        <v>67</v>
      </c>
      <c r="C358" s="6">
        <v>80.077461</v>
      </c>
      <c r="D358" s="6">
        <v>177.516693</v>
      </c>
      <c r="E358">
        <v>0.45</v>
      </c>
      <c r="F358" s="5">
        <f t="shared" ref="F358:F421" si="139">((0.55*C357)+((1-0.55)*F357))</f>
        <v>79.9725784116388</v>
      </c>
      <c r="G358">
        <f t="shared" ref="G358:G421" si="140">(0.55*D357)+((1-0.55)*G357)</f>
        <v>176.653876343655</v>
      </c>
      <c r="H358">
        <f t="shared" ref="H358:H421" si="141">((E358*(F358-F357))+((1-E358)*H357))</f>
        <v>0.213844532120344</v>
      </c>
      <c r="I358">
        <f t="shared" ref="I358:I421" si="142">((E358*(G358-G357))+((1-E358)*I357))</f>
        <v>0.66582367996094</v>
      </c>
      <c r="J358">
        <f t="shared" ref="J358:J421" si="143">F358+H358</f>
        <v>80.1864229437592</v>
      </c>
      <c r="K358">
        <f t="shared" ref="K358:K421" si="144">G358+I358</f>
        <v>177.319700023615</v>
      </c>
      <c r="L358">
        <f t="shared" ref="L358:L421" si="145">POWER(ABS((C358-J358)/C358),2)</f>
        <v>1.85152292928741e-6</v>
      </c>
      <c r="M358">
        <f t="shared" ref="M358:M421" si="146">POWER(ABS((D358-K358)/D358),2)</f>
        <v>1.2314678739802e-6</v>
      </c>
      <c r="N358" s="47">
        <f t="shared" si="123"/>
        <v>0</v>
      </c>
      <c r="O358">
        <f t="shared" si="124"/>
        <v>0</v>
      </c>
      <c r="P358">
        <f t="shared" si="125"/>
        <v>1.85152292928741e-6</v>
      </c>
      <c r="Q358">
        <f t="shared" si="126"/>
        <v>0</v>
      </c>
      <c r="R358">
        <f t="shared" si="127"/>
        <v>0</v>
      </c>
      <c r="S358">
        <f t="shared" si="128"/>
        <v>0</v>
      </c>
      <c r="T358">
        <f t="shared" si="129"/>
        <v>1.2314678739802e-6</v>
      </c>
      <c r="U358" s="52">
        <f t="shared" si="130"/>
        <v>0</v>
      </c>
      <c r="V358">
        <f t="shared" si="131"/>
        <v>0</v>
      </c>
      <c r="W358">
        <f t="shared" si="132"/>
        <v>0</v>
      </c>
      <c r="X358">
        <f t="shared" si="133"/>
        <v>80.077461</v>
      </c>
      <c r="Y358">
        <f t="shared" si="134"/>
        <v>0</v>
      </c>
      <c r="Z358">
        <f t="shared" si="135"/>
        <v>0</v>
      </c>
      <c r="AA358">
        <f t="shared" si="136"/>
        <v>0</v>
      </c>
      <c r="AB358">
        <f t="shared" si="137"/>
        <v>177.516693</v>
      </c>
      <c r="AC358">
        <f t="shared" si="138"/>
        <v>0</v>
      </c>
    </row>
    <row r="359" spans="2:29">
      <c r="B359" s="5">
        <v>68</v>
      </c>
      <c r="C359" s="6">
        <v>78.611198</v>
      </c>
      <c r="D359" s="6">
        <v>176.151993</v>
      </c>
      <c r="E359">
        <v>0.85</v>
      </c>
      <c r="F359" s="5">
        <f t="shared" si="139"/>
        <v>80.0302638352375</v>
      </c>
      <c r="G359">
        <f t="shared" si="140"/>
        <v>177.128425504645</v>
      </c>
      <c r="H359">
        <f t="shared" si="141"/>
        <v>0.081109289876897</v>
      </c>
      <c r="I359">
        <f t="shared" si="142"/>
        <v>0.50324033883566</v>
      </c>
      <c r="J359">
        <f t="shared" si="143"/>
        <v>80.1113731251144</v>
      </c>
      <c r="K359">
        <f t="shared" si="144"/>
        <v>177.63166584348</v>
      </c>
      <c r="L359">
        <f t="shared" si="145"/>
        <v>0.000364179160507087</v>
      </c>
      <c r="M359">
        <f t="shared" si="146"/>
        <v>7.05596282664476e-5</v>
      </c>
      <c r="N359" s="47">
        <f t="shared" si="123"/>
        <v>0</v>
      </c>
      <c r="O359">
        <f t="shared" si="124"/>
        <v>0</v>
      </c>
      <c r="P359">
        <f t="shared" si="125"/>
        <v>0</v>
      </c>
      <c r="Q359">
        <f t="shared" si="126"/>
        <v>0.000364179160507087</v>
      </c>
      <c r="R359">
        <f t="shared" si="127"/>
        <v>0</v>
      </c>
      <c r="S359">
        <f t="shared" si="128"/>
        <v>0</v>
      </c>
      <c r="T359">
        <f t="shared" si="129"/>
        <v>0</v>
      </c>
      <c r="U359" s="52">
        <f t="shared" si="130"/>
        <v>7.05596282664476e-5</v>
      </c>
      <c r="V359">
        <f t="shared" si="131"/>
        <v>0</v>
      </c>
      <c r="W359">
        <f t="shared" si="132"/>
        <v>0</v>
      </c>
      <c r="X359">
        <f t="shared" si="133"/>
        <v>0</v>
      </c>
      <c r="Y359">
        <f t="shared" si="134"/>
        <v>78.611198</v>
      </c>
      <c r="Z359">
        <f t="shared" si="135"/>
        <v>0</v>
      </c>
      <c r="AA359">
        <f t="shared" si="136"/>
        <v>0</v>
      </c>
      <c r="AB359">
        <f t="shared" si="137"/>
        <v>0</v>
      </c>
      <c r="AC359">
        <f t="shared" si="138"/>
        <v>176.151993</v>
      </c>
    </row>
    <row r="360" spans="2:29">
      <c r="B360" s="5">
        <v>69</v>
      </c>
      <c r="C360" s="6">
        <v>79.749702</v>
      </c>
      <c r="D360" s="6">
        <v>177.565765</v>
      </c>
      <c r="E360">
        <v>0.15</v>
      </c>
      <c r="F360" s="5">
        <f t="shared" si="139"/>
        <v>79.2497776258569</v>
      </c>
      <c r="G360">
        <f t="shared" si="140"/>
        <v>176.59138762709</v>
      </c>
      <c r="H360">
        <f t="shared" si="141"/>
        <v>-0.0481300350117294</v>
      </c>
      <c r="I360">
        <f t="shared" si="142"/>
        <v>0.347198606377137</v>
      </c>
      <c r="J360">
        <f t="shared" si="143"/>
        <v>79.2016475908451</v>
      </c>
      <c r="K360">
        <f t="shared" si="144"/>
        <v>176.938586233467</v>
      </c>
      <c r="L360">
        <f t="shared" si="145"/>
        <v>4.72268755425765e-5</v>
      </c>
      <c r="M360">
        <f t="shared" si="146"/>
        <v>1.2475679804408e-5</v>
      </c>
      <c r="N360" s="47">
        <f t="shared" si="123"/>
        <v>4.72268755425765e-5</v>
      </c>
      <c r="O360">
        <f t="shared" si="124"/>
        <v>0</v>
      </c>
      <c r="P360">
        <f t="shared" si="125"/>
        <v>0</v>
      </c>
      <c r="Q360">
        <f t="shared" si="126"/>
        <v>0</v>
      </c>
      <c r="R360">
        <f t="shared" si="127"/>
        <v>1.2475679804408e-5</v>
      </c>
      <c r="S360">
        <f t="shared" si="128"/>
        <v>0</v>
      </c>
      <c r="T360">
        <f t="shared" si="129"/>
        <v>0</v>
      </c>
      <c r="U360" s="52">
        <f t="shared" si="130"/>
        <v>0</v>
      </c>
      <c r="V360">
        <f t="shared" si="131"/>
        <v>79.749702</v>
      </c>
      <c r="W360">
        <f t="shared" si="132"/>
        <v>0</v>
      </c>
      <c r="X360">
        <f t="shared" si="133"/>
        <v>0</v>
      </c>
      <c r="Y360">
        <f t="shared" si="134"/>
        <v>0</v>
      </c>
      <c r="Z360">
        <f t="shared" si="135"/>
        <v>177.565765</v>
      </c>
      <c r="AA360">
        <f t="shared" si="136"/>
        <v>0</v>
      </c>
      <c r="AB360">
        <f t="shared" si="137"/>
        <v>0</v>
      </c>
      <c r="AC360">
        <f t="shared" si="138"/>
        <v>0</v>
      </c>
    </row>
    <row r="361" spans="2:29">
      <c r="B361" s="5">
        <v>70</v>
      </c>
      <c r="C361" s="6">
        <v>78.931564</v>
      </c>
      <c r="D361" s="6">
        <v>177.408691</v>
      </c>
      <c r="E361">
        <v>0.25</v>
      </c>
      <c r="F361" s="5">
        <f t="shared" si="139"/>
        <v>79.5247360316356</v>
      </c>
      <c r="G361">
        <f t="shared" si="140"/>
        <v>177.127295182191</v>
      </c>
      <c r="H361">
        <f t="shared" si="141"/>
        <v>0.0326420751858827</v>
      </c>
      <c r="I361">
        <f t="shared" si="142"/>
        <v>0.394375843557969</v>
      </c>
      <c r="J361">
        <f t="shared" si="143"/>
        <v>79.5573781068215</v>
      </c>
      <c r="K361">
        <f t="shared" si="144"/>
        <v>177.521671025749</v>
      </c>
      <c r="L361">
        <f t="shared" si="145"/>
        <v>6.28621572421739e-5</v>
      </c>
      <c r="M361">
        <f t="shared" si="146"/>
        <v>4.0555854452307e-7</v>
      </c>
      <c r="N361" s="47">
        <f t="shared" si="123"/>
        <v>0</v>
      </c>
      <c r="O361">
        <f t="shared" si="124"/>
        <v>6.28621572421739e-5</v>
      </c>
      <c r="P361">
        <f t="shared" si="125"/>
        <v>0</v>
      </c>
      <c r="Q361">
        <f t="shared" si="126"/>
        <v>0</v>
      </c>
      <c r="R361">
        <f t="shared" si="127"/>
        <v>0</v>
      </c>
      <c r="S361">
        <f t="shared" si="128"/>
        <v>4.0555854452307e-7</v>
      </c>
      <c r="T361">
        <f t="shared" si="129"/>
        <v>0</v>
      </c>
      <c r="U361" s="52">
        <f t="shared" si="130"/>
        <v>0</v>
      </c>
      <c r="V361">
        <f t="shared" si="131"/>
        <v>0</v>
      </c>
      <c r="W361">
        <f t="shared" si="132"/>
        <v>78.931564</v>
      </c>
      <c r="X361">
        <f t="shared" si="133"/>
        <v>0</v>
      </c>
      <c r="Y361">
        <f t="shared" si="134"/>
        <v>0</v>
      </c>
      <c r="Z361">
        <f t="shared" si="135"/>
        <v>0</v>
      </c>
      <c r="AA361">
        <f t="shared" si="136"/>
        <v>177.408691</v>
      </c>
      <c r="AB361">
        <f t="shared" si="137"/>
        <v>0</v>
      </c>
      <c r="AC361">
        <f t="shared" si="138"/>
        <v>0</v>
      </c>
    </row>
    <row r="362" spans="2:29">
      <c r="B362" s="5">
        <v>71</v>
      </c>
      <c r="C362" s="6">
        <v>77.144943</v>
      </c>
      <c r="D362" s="6">
        <v>176.603622</v>
      </c>
      <c r="E362">
        <v>0.45</v>
      </c>
      <c r="F362" s="5">
        <f t="shared" si="139"/>
        <v>79.198491414236</v>
      </c>
      <c r="G362">
        <f t="shared" si="140"/>
        <v>177.282062881986</v>
      </c>
      <c r="H362">
        <f t="shared" si="141"/>
        <v>-0.128856936477576</v>
      </c>
      <c r="I362">
        <f t="shared" si="142"/>
        <v>0.286552178864723</v>
      </c>
      <c r="J362">
        <f t="shared" si="143"/>
        <v>79.0696344777584</v>
      </c>
      <c r="K362">
        <f t="shared" si="144"/>
        <v>177.56861506085</v>
      </c>
      <c r="L362">
        <f t="shared" si="145"/>
        <v>0.000622454085330151</v>
      </c>
      <c r="M362">
        <f t="shared" si="146"/>
        <v>2.98572062405814e-5</v>
      </c>
      <c r="N362" s="47">
        <f t="shared" si="123"/>
        <v>0</v>
      </c>
      <c r="O362">
        <f t="shared" si="124"/>
        <v>0</v>
      </c>
      <c r="P362">
        <f t="shared" si="125"/>
        <v>0.000622454085330151</v>
      </c>
      <c r="Q362">
        <f t="shared" si="126"/>
        <v>0</v>
      </c>
      <c r="R362">
        <f t="shared" si="127"/>
        <v>0</v>
      </c>
      <c r="S362">
        <f t="shared" si="128"/>
        <v>0</v>
      </c>
      <c r="T362">
        <f t="shared" si="129"/>
        <v>2.98572062405814e-5</v>
      </c>
      <c r="U362" s="52">
        <f t="shared" si="130"/>
        <v>0</v>
      </c>
      <c r="V362">
        <f t="shared" si="131"/>
        <v>0</v>
      </c>
      <c r="W362">
        <f t="shared" si="132"/>
        <v>0</v>
      </c>
      <c r="X362">
        <f t="shared" si="133"/>
        <v>77.144943</v>
      </c>
      <c r="Y362">
        <f t="shared" si="134"/>
        <v>0</v>
      </c>
      <c r="Z362">
        <f t="shared" si="135"/>
        <v>0</v>
      </c>
      <c r="AA362">
        <f t="shared" si="136"/>
        <v>0</v>
      </c>
      <c r="AB362">
        <f t="shared" si="137"/>
        <v>176.603622</v>
      </c>
      <c r="AC362">
        <f t="shared" si="138"/>
        <v>0</v>
      </c>
    </row>
    <row r="363" spans="2:29">
      <c r="B363" s="5">
        <v>72</v>
      </c>
      <c r="C363" s="6">
        <v>73.480522</v>
      </c>
      <c r="D363" s="6">
        <v>172.077591</v>
      </c>
      <c r="E363">
        <v>0.85</v>
      </c>
      <c r="F363" s="5">
        <f t="shared" si="139"/>
        <v>78.0690397864062</v>
      </c>
      <c r="G363">
        <f t="shared" si="140"/>
        <v>176.908920396894</v>
      </c>
      <c r="H363">
        <f t="shared" si="141"/>
        <v>-0.979362424126974</v>
      </c>
      <c r="I363">
        <f t="shared" si="142"/>
        <v>-0.274188285498627</v>
      </c>
      <c r="J363">
        <f t="shared" si="143"/>
        <v>77.0896773622792</v>
      </c>
      <c r="K363">
        <f t="shared" si="144"/>
        <v>176.634732111395</v>
      </c>
      <c r="L363">
        <f t="shared" si="145"/>
        <v>0.00241249648441757</v>
      </c>
      <c r="M363">
        <f t="shared" si="146"/>
        <v>0.000701352449814764</v>
      </c>
      <c r="N363" s="47">
        <f t="shared" si="123"/>
        <v>0</v>
      </c>
      <c r="O363">
        <f t="shared" si="124"/>
        <v>0</v>
      </c>
      <c r="P363">
        <f t="shared" si="125"/>
        <v>0</v>
      </c>
      <c r="Q363">
        <f t="shared" si="126"/>
        <v>0.00241249648441757</v>
      </c>
      <c r="R363">
        <f t="shared" si="127"/>
        <v>0</v>
      </c>
      <c r="S363">
        <f t="shared" si="128"/>
        <v>0</v>
      </c>
      <c r="T363">
        <f t="shared" si="129"/>
        <v>0</v>
      </c>
      <c r="U363" s="52">
        <f t="shared" si="130"/>
        <v>0.000701352449814764</v>
      </c>
      <c r="V363">
        <f t="shared" si="131"/>
        <v>0</v>
      </c>
      <c r="W363">
        <f t="shared" si="132"/>
        <v>0</v>
      </c>
      <c r="X363">
        <f t="shared" si="133"/>
        <v>0</v>
      </c>
      <c r="Y363">
        <f t="shared" si="134"/>
        <v>73.480522</v>
      </c>
      <c r="Z363">
        <f t="shared" si="135"/>
        <v>0</v>
      </c>
      <c r="AA363">
        <f t="shared" si="136"/>
        <v>0</v>
      </c>
      <c r="AB363">
        <f t="shared" si="137"/>
        <v>0</v>
      </c>
      <c r="AC363">
        <f t="shared" si="138"/>
        <v>172.077591</v>
      </c>
    </row>
    <row r="364" spans="2:29">
      <c r="B364" s="5">
        <v>73</v>
      </c>
      <c r="C364" s="6">
        <v>70.991577</v>
      </c>
      <c r="D364" s="6">
        <v>164.743652</v>
      </c>
      <c r="E364">
        <v>0.15</v>
      </c>
      <c r="F364" s="5">
        <f t="shared" si="139"/>
        <v>75.5453550038828</v>
      </c>
      <c r="G364">
        <f t="shared" si="140"/>
        <v>174.251689228602</v>
      </c>
      <c r="H364">
        <f t="shared" si="141"/>
        <v>-1.21101077788644</v>
      </c>
      <c r="I364">
        <f t="shared" si="142"/>
        <v>-0.63164471791755</v>
      </c>
      <c r="J364">
        <f t="shared" si="143"/>
        <v>74.3343442259963</v>
      </c>
      <c r="K364">
        <f t="shared" si="144"/>
        <v>173.620044510685</v>
      </c>
      <c r="L364">
        <f t="shared" si="145"/>
        <v>0.00221716811134463</v>
      </c>
      <c r="M364">
        <f t="shared" si="146"/>
        <v>0.00290305737025198</v>
      </c>
      <c r="N364" s="47">
        <f t="shared" si="123"/>
        <v>0.00221716811134463</v>
      </c>
      <c r="O364">
        <f t="shared" si="124"/>
        <v>0</v>
      </c>
      <c r="P364">
        <f t="shared" si="125"/>
        <v>0</v>
      </c>
      <c r="Q364">
        <f t="shared" si="126"/>
        <v>0</v>
      </c>
      <c r="R364">
        <f t="shared" si="127"/>
        <v>0.00290305737025198</v>
      </c>
      <c r="S364">
        <f t="shared" si="128"/>
        <v>0</v>
      </c>
      <c r="T364">
        <f t="shared" si="129"/>
        <v>0</v>
      </c>
      <c r="U364" s="52">
        <f t="shared" si="130"/>
        <v>0</v>
      </c>
      <c r="V364">
        <f t="shared" si="131"/>
        <v>70.991577</v>
      </c>
      <c r="W364">
        <f t="shared" si="132"/>
        <v>0</v>
      </c>
      <c r="X364">
        <f t="shared" si="133"/>
        <v>0</v>
      </c>
      <c r="Y364">
        <f t="shared" si="134"/>
        <v>0</v>
      </c>
      <c r="Z364">
        <f t="shared" si="135"/>
        <v>164.743652</v>
      </c>
      <c r="AA364">
        <f t="shared" si="136"/>
        <v>0</v>
      </c>
      <c r="AB364">
        <f t="shared" si="137"/>
        <v>0</v>
      </c>
      <c r="AC364">
        <f t="shared" si="138"/>
        <v>0</v>
      </c>
    </row>
    <row r="365" spans="2:29">
      <c r="B365" s="5">
        <v>74</v>
      </c>
      <c r="C365" s="6">
        <v>72.117767</v>
      </c>
      <c r="D365" s="6">
        <v>164.134918</v>
      </c>
      <c r="E365">
        <v>0.25</v>
      </c>
      <c r="F365" s="5">
        <f t="shared" si="139"/>
        <v>73.0407771017473</v>
      </c>
      <c r="G365">
        <f t="shared" si="140"/>
        <v>169.022268752871</v>
      </c>
      <c r="H365">
        <f t="shared" si="141"/>
        <v>-1.53440255894871</v>
      </c>
      <c r="I365">
        <f t="shared" si="142"/>
        <v>-1.78108865737095</v>
      </c>
      <c r="J365">
        <f t="shared" si="143"/>
        <v>71.5063745427986</v>
      </c>
      <c r="K365">
        <f t="shared" si="144"/>
        <v>167.2411800955</v>
      </c>
      <c r="L365">
        <f t="shared" si="145"/>
        <v>7.18713182718251e-5</v>
      </c>
      <c r="M365">
        <f t="shared" si="146"/>
        <v>0.000358157647932843</v>
      </c>
      <c r="N365" s="47">
        <f t="shared" si="123"/>
        <v>0</v>
      </c>
      <c r="O365">
        <f t="shared" si="124"/>
        <v>7.18713182718251e-5</v>
      </c>
      <c r="P365">
        <f t="shared" si="125"/>
        <v>0</v>
      </c>
      <c r="Q365">
        <f t="shared" si="126"/>
        <v>0</v>
      </c>
      <c r="R365">
        <f t="shared" si="127"/>
        <v>0</v>
      </c>
      <c r="S365">
        <f t="shared" si="128"/>
        <v>0.000358157647932843</v>
      </c>
      <c r="T365">
        <f t="shared" si="129"/>
        <v>0</v>
      </c>
      <c r="U365" s="52">
        <f t="shared" si="130"/>
        <v>0</v>
      </c>
      <c r="V365">
        <f t="shared" si="131"/>
        <v>0</v>
      </c>
      <c r="W365">
        <f t="shared" si="132"/>
        <v>72.117767</v>
      </c>
      <c r="X365">
        <f t="shared" si="133"/>
        <v>0</v>
      </c>
      <c r="Y365">
        <f t="shared" si="134"/>
        <v>0</v>
      </c>
      <c r="Z365">
        <f t="shared" si="135"/>
        <v>0</v>
      </c>
      <c r="AA365">
        <f t="shared" si="136"/>
        <v>164.134918</v>
      </c>
      <c r="AB365">
        <f t="shared" si="137"/>
        <v>0</v>
      </c>
      <c r="AC365">
        <f t="shared" si="138"/>
        <v>0</v>
      </c>
    </row>
    <row r="366" spans="2:29">
      <c r="B366" s="5">
        <v>75</v>
      </c>
      <c r="C366" s="6">
        <v>67.403557</v>
      </c>
      <c r="D366" s="6">
        <v>157.49176</v>
      </c>
      <c r="E366">
        <v>0.45</v>
      </c>
      <c r="F366" s="5">
        <f t="shared" si="139"/>
        <v>72.5331215457863</v>
      </c>
      <c r="G366">
        <f t="shared" si="140"/>
        <v>166.334225838792</v>
      </c>
      <c r="H366">
        <f t="shared" si="141"/>
        <v>-1.07236640760424</v>
      </c>
      <c r="I366">
        <f t="shared" si="142"/>
        <v>-2.18921807288959</v>
      </c>
      <c r="J366">
        <f t="shared" si="143"/>
        <v>71.460755138182</v>
      </c>
      <c r="K366">
        <f t="shared" si="144"/>
        <v>164.145007765902</v>
      </c>
      <c r="L366">
        <f t="shared" si="145"/>
        <v>0.00362315408334652</v>
      </c>
      <c r="M366">
        <f t="shared" si="146"/>
        <v>0.00178464451243569</v>
      </c>
      <c r="N366" s="47">
        <f t="shared" si="123"/>
        <v>0</v>
      </c>
      <c r="O366">
        <f t="shared" si="124"/>
        <v>0</v>
      </c>
      <c r="P366">
        <f t="shared" si="125"/>
        <v>0.00362315408334652</v>
      </c>
      <c r="Q366">
        <f t="shared" si="126"/>
        <v>0</v>
      </c>
      <c r="R366">
        <f t="shared" si="127"/>
        <v>0</v>
      </c>
      <c r="S366">
        <f t="shared" si="128"/>
        <v>0</v>
      </c>
      <c r="T366">
        <f t="shared" si="129"/>
        <v>0.00178464451243569</v>
      </c>
      <c r="U366" s="52">
        <f t="shared" si="130"/>
        <v>0</v>
      </c>
      <c r="V366">
        <f t="shared" si="131"/>
        <v>0</v>
      </c>
      <c r="W366">
        <f t="shared" si="132"/>
        <v>0</v>
      </c>
      <c r="X366">
        <f t="shared" si="133"/>
        <v>67.403557</v>
      </c>
      <c r="Y366">
        <f t="shared" si="134"/>
        <v>0</v>
      </c>
      <c r="Z366">
        <f t="shared" si="135"/>
        <v>0</v>
      </c>
      <c r="AA366">
        <f t="shared" si="136"/>
        <v>0</v>
      </c>
      <c r="AB366">
        <f t="shared" si="137"/>
        <v>157.49176</v>
      </c>
      <c r="AC366">
        <f t="shared" si="138"/>
        <v>0</v>
      </c>
    </row>
    <row r="367" spans="2:29">
      <c r="B367" s="5">
        <v>76</v>
      </c>
      <c r="C367" s="6">
        <v>67.364128</v>
      </c>
      <c r="D367" s="6">
        <v>160.077957</v>
      </c>
      <c r="E367">
        <v>0.85</v>
      </c>
      <c r="F367" s="5">
        <f t="shared" si="139"/>
        <v>69.7118610456038</v>
      </c>
      <c r="G367">
        <f t="shared" si="140"/>
        <v>161.470869627456</v>
      </c>
      <c r="H367">
        <f t="shared" si="141"/>
        <v>-2.5589263862957</v>
      </c>
      <c r="I367">
        <f t="shared" si="142"/>
        <v>-4.46223549056867</v>
      </c>
      <c r="J367">
        <f t="shared" si="143"/>
        <v>67.1529346593081</v>
      </c>
      <c r="K367">
        <f t="shared" si="144"/>
        <v>157.008634136888</v>
      </c>
      <c r="L367">
        <f t="shared" si="145"/>
        <v>9.82885787390546e-6</v>
      </c>
      <c r="M367">
        <f t="shared" si="146"/>
        <v>0.000367639428997731</v>
      </c>
      <c r="N367" s="47">
        <f t="shared" si="123"/>
        <v>0</v>
      </c>
      <c r="O367">
        <f t="shared" si="124"/>
        <v>0</v>
      </c>
      <c r="P367">
        <f t="shared" si="125"/>
        <v>0</v>
      </c>
      <c r="Q367">
        <f t="shared" si="126"/>
        <v>9.82885787390546e-6</v>
      </c>
      <c r="R367">
        <f t="shared" si="127"/>
        <v>0</v>
      </c>
      <c r="S367">
        <f t="shared" si="128"/>
        <v>0</v>
      </c>
      <c r="T367">
        <f t="shared" si="129"/>
        <v>0</v>
      </c>
      <c r="U367" s="52">
        <f t="shared" si="130"/>
        <v>0.000367639428997731</v>
      </c>
      <c r="V367">
        <f t="shared" si="131"/>
        <v>0</v>
      </c>
      <c r="W367">
        <f t="shared" si="132"/>
        <v>0</v>
      </c>
      <c r="X367">
        <f t="shared" si="133"/>
        <v>0</v>
      </c>
      <c r="Y367">
        <f t="shared" si="134"/>
        <v>67.364128</v>
      </c>
      <c r="Z367">
        <f t="shared" si="135"/>
        <v>0</v>
      </c>
      <c r="AA367">
        <f t="shared" si="136"/>
        <v>0</v>
      </c>
      <c r="AB367">
        <f t="shared" si="137"/>
        <v>0</v>
      </c>
      <c r="AC367">
        <f t="shared" si="138"/>
        <v>160.077957</v>
      </c>
    </row>
    <row r="368" spans="2:29">
      <c r="B368" s="5">
        <v>77</v>
      </c>
      <c r="C368" s="6">
        <v>73.635773</v>
      </c>
      <c r="D368" s="6">
        <v>162.121277</v>
      </c>
      <c r="E368">
        <v>0.15</v>
      </c>
      <c r="F368" s="5">
        <f t="shared" si="139"/>
        <v>68.4206078705217</v>
      </c>
      <c r="G368">
        <f t="shared" si="140"/>
        <v>160.704767682355</v>
      </c>
      <c r="H368">
        <f t="shared" si="141"/>
        <v>-2.36877540461366</v>
      </c>
      <c r="I368">
        <f t="shared" si="142"/>
        <v>-3.90781545874852</v>
      </c>
      <c r="J368">
        <f t="shared" si="143"/>
        <v>66.0518324659081</v>
      </c>
      <c r="K368">
        <f t="shared" si="144"/>
        <v>156.796952223607</v>
      </c>
      <c r="L368">
        <f t="shared" si="145"/>
        <v>0.0106074779480635</v>
      </c>
      <c r="M368">
        <f t="shared" si="146"/>
        <v>0.00107857176244962</v>
      </c>
      <c r="N368" s="47">
        <f t="shared" si="123"/>
        <v>0.0106074779480635</v>
      </c>
      <c r="O368">
        <f t="shared" si="124"/>
        <v>0</v>
      </c>
      <c r="P368">
        <f t="shared" si="125"/>
        <v>0</v>
      </c>
      <c r="Q368">
        <f t="shared" si="126"/>
        <v>0</v>
      </c>
      <c r="R368">
        <f t="shared" si="127"/>
        <v>0.00107857176244962</v>
      </c>
      <c r="S368">
        <f t="shared" si="128"/>
        <v>0</v>
      </c>
      <c r="T368">
        <f t="shared" si="129"/>
        <v>0</v>
      </c>
      <c r="U368" s="52">
        <f t="shared" si="130"/>
        <v>0</v>
      </c>
      <c r="V368">
        <f t="shared" si="131"/>
        <v>73.635773</v>
      </c>
      <c r="W368">
        <f t="shared" si="132"/>
        <v>0</v>
      </c>
      <c r="X368">
        <f t="shared" si="133"/>
        <v>0</v>
      </c>
      <c r="Y368">
        <f t="shared" si="134"/>
        <v>0</v>
      </c>
      <c r="Z368">
        <f t="shared" si="135"/>
        <v>162.121277</v>
      </c>
      <c r="AA368">
        <f t="shared" si="136"/>
        <v>0</v>
      </c>
      <c r="AB368">
        <f t="shared" si="137"/>
        <v>0</v>
      </c>
      <c r="AC368">
        <f t="shared" si="138"/>
        <v>0</v>
      </c>
    </row>
    <row r="369" spans="2:29">
      <c r="B369" s="5">
        <v>78</v>
      </c>
      <c r="C369" s="6">
        <v>71.297157</v>
      </c>
      <c r="D369" s="6">
        <v>159.801575</v>
      </c>
      <c r="E369">
        <v>0.25</v>
      </c>
      <c r="F369" s="5">
        <f t="shared" si="139"/>
        <v>71.2889486917348</v>
      </c>
      <c r="G369">
        <f t="shared" si="140"/>
        <v>161.48384780706</v>
      </c>
      <c r="H369">
        <f t="shared" si="141"/>
        <v>-1.05949634815698</v>
      </c>
      <c r="I369">
        <f t="shared" si="142"/>
        <v>-2.73609156288525</v>
      </c>
      <c r="J369">
        <f t="shared" si="143"/>
        <v>70.2294523435778</v>
      </c>
      <c r="K369">
        <f t="shared" si="144"/>
        <v>158.747756244175</v>
      </c>
      <c r="L369">
        <f t="shared" si="145"/>
        <v>0.000224263114085591</v>
      </c>
      <c r="M369">
        <f t="shared" si="146"/>
        <v>4.34880302291071e-5</v>
      </c>
      <c r="N369" s="47">
        <f t="shared" si="123"/>
        <v>0</v>
      </c>
      <c r="O369">
        <f t="shared" si="124"/>
        <v>0.000224263114085591</v>
      </c>
      <c r="P369">
        <f t="shared" si="125"/>
        <v>0</v>
      </c>
      <c r="Q369">
        <f t="shared" si="126"/>
        <v>0</v>
      </c>
      <c r="R369">
        <f t="shared" si="127"/>
        <v>0</v>
      </c>
      <c r="S369">
        <f t="shared" si="128"/>
        <v>4.34880302291071e-5</v>
      </c>
      <c r="T369">
        <f t="shared" si="129"/>
        <v>0</v>
      </c>
      <c r="U369" s="52">
        <f t="shared" si="130"/>
        <v>0</v>
      </c>
      <c r="V369">
        <f t="shared" si="131"/>
        <v>0</v>
      </c>
      <c r="W369">
        <f t="shared" si="132"/>
        <v>71.297157</v>
      </c>
      <c r="X369">
        <f t="shared" si="133"/>
        <v>0</v>
      </c>
      <c r="Y369">
        <f t="shared" si="134"/>
        <v>0</v>
      </c>
      <c r="Z369">
        <f t="shared" si="135"/>
        <v>0</v>
      </c>
      <c r="AA369">
        <f t="shared" si="136"/>
        <v>159.801575</v>
      </c>
      <c r="AB369">
        <f t="shared" si="137"/>
        <v>0</v>
      </c>
      <c r="AC369">
        <f t="shared" si="138"/>
        <v>0</v>
      </c>
    </row>
    <row r="370" spans="2:29">
      <c r="B370" s="5">
        <v>79</v>
      </c>
      <c r="C370" s="6">
        <v>74.60424</v>
      </c>
      <c r="D370" s="6">
        <v>168.981613</v>
      </c>
      <c r="E370">
        <v>0.45</v>
      </c>
      <c r="F370" s="5">
        <f t="shared" si="139"/>
        <v>71.2934632612806</v>
      </c>
      <c r="G370">
        <f t="shared" si="140"/>
        <v>160.558597763177</v>
      </c>
      <c r="H370">
        <f t="shared" si="141"/>
        <v>-0.580691435190698</v>
      </c>
      <c r="I370">
        <f t="shared" si="142"/>
        <v>-1.92121287933421</v>
      </c>
      <c r="J370">
        <f t="shared" si="143"/>
        <v>70.7127718260899</v>
      </c>
      <c r="K370">
        <f t="shared" si="144"/>
        <v>158.637384883843</v>
      </c>
      <c r="L370">
        <f t="shared" si="145"/>
        <v>0.0027208208365282</v>
      </c>
      <c r="M370">
        <f t="shared" si="146"/>
        <v>0.00374728975634849</v>
      </c>
      <c r="N370" s="47">
        <f t="shared" si="123"/>
        <v>0</v>
      </c>
      <c r="O370">
        <f t="shared" si="124"/>
        <v>0</v>
      </c>
      <c r="P370">
        <f t="shared" si="125"/>
        <v>0.0027208208365282</v>
      </c>
      <c r="Q370">
        <f t="shared" si="126"/>
        <v>0</v>
      </c>
      <c r="R370">
        <f t="shared" si="127"/>
        <v>0</v>
      </c>
      <c r="S370">
        <f t="shared" si="128"/>
        <v>0</v>
      </c>
      <c r="T370">
        <f t="shared" si="129"/>
        <v>0.00374728975634849</v>
      </c>
      <c r="U370" s="52">
        <f t="shared" si="130"/>
        <v>0</v>
      </c>
      <c r="V370">
        <f t="shared" si="131"/>
        <v>0</v>
      </c>
      <c r="W370">
        <f t="shared" si="132"/>
        <v>0</v>
      </c>
      <c r="X370">
        <f t="shared" si="133"/>
        <v>74.60424</v>
      </c>
      <c r="Y370">
        <f t="shared" si="134"/>
        <v>0</v>
      </c>
      <c r="Z370">
        <f t="shared" si="135"/>
        <v>0</v>
      </c>
      <c r="AA370">
        <f t="shared" si="136"/>
        <v>0</v>
      </c>
      <c r="AB370">
        <f t="shared" si="137"/>
        <v>168.981613</v>
      </c>
      <c r="AC370">
        <f t="shared" si="138"/>
        <v>0</v>
      </c>
    </row>
    <row r="371" spans="2:29">
      <c r="B371" s="5">
        <v>80</v>
      </c>
      <c r="C371" s="6">
        <v>72.184303</v>
      </c>
      <c r="D371" s="6">
        <v>162.79248</v>
      </c>
      <c r="E371">
        <v>0.85</v>
      </c>
      <c r="F371" s="5">
        <f t="shared" si="139"/>
        <v>73.1143904675763</v>
      </c>
      <c r="G371">
        <f t="shared" si="140"/>
        <v>165.19125614343</v>
      </c>
      <c r="H371">
        <f t="shared" si="141"/>
        <v>1.4606844100727</v>
      </c>
      <c r="I371">
        <f t="shared" si="142"/>
        <v>3.64957769131465</v>
      </c>
      <c r="J371">
        <f t="shared" si="143"/>
        <v>74.575074877649</v>
      </c>
      <c r="K371">
        <f t="shared" si="144"/>
        <v>168.840833834744</v>
      </c>
      <c r="L371">
        <f t="shared" si="145"/>
        <v>0.00109695987624102</v>
      </c>
      <c r="M371">
        <f t="shared" si="146"/>
        <v>0.00138040238561694</v>
      </c>
      <c r="N371" s="47">
        <f t="shared" si="123"/>
        <v>0</v>
      </c>
      <c r="O371">
        <f t="shared" si="124"/>
        <v>0</v>
      </c>
      <c r="P371">
        <f t="shared" si="125"/>
        <v>0</v>
      </c>
      <c r="Q371">
        <f t="shared" si="126"/>
        <v>0.00109695987624102</v>
      </c>
      <c r="R371">
        <f t="shared" si="127"/>
        <v>0</v>
      </c>
      <c r="S371">
        <f t="shared" si="128"/>
        <v>0</v>
      </c>
      <c r="T371">
        <f t="shared" si="129"/>
        <v>0</v>
      </c>
      <c r="U371" s="52">
        <f t="shared" si="130"/>
        <v>0.00138040238561694</v>
      </c>
      <c r="V371">
        <f t="shared" si="131"/>
        <v>0</v>
      </c>
      <c r="W371">
        <f t="shared" si="132"/>
        <v>0</v>
      </c>
      <c r="X371">
        <f t="shared" si="133"/>
        <v>0</v>
      </c>
      <c r="Y371">
        <f t="shared" si="134"/>
        <v>72.184303</v>
      </c>
      <c r="Z371">
        <f t="shared" si="135"/>
        <v>0</v>
      </c>
      <c r="AA371">
        <f t="shared" si="136"/>
        <v>0</v>
      </c>
      <c r="AB371">
        <f t="shared" si="137"/>
        <v>0</v>
      </c>
      <c r="AC371">
        <f t="shared" si="138"/>
        <v>162.79248</v>
      </c>
    </row>
    <row r="372" spans="2:29">
      <c r="B372" s="5">
        <v>81</v>
      </c>
      <c r="C372" s="6">
        <v>71.225685</v>
      </c>
      <c r="D372" s="6">
        <v>161.913971</v>
      </c>
      <c r="E372">
        <v>0.15</v>
      </c>
      <c r="F372" s="5">
        <f t="shared" si="139"/>
        <v>72.6028423604093</v>
      </c>
      <c r="G372">
        <f t="shared" si="140"/>
        <v>163.871929264543</v>
      </c>
      <c r="H372">
        <f t="shared" si="141"/>
        <v>1.16484953248675</v>
      </c>
      <c r="I372">
        <f t="shared" si="142"/>
        <v>2.9042420057845</v>
      </c>
      <c r="J372">
        <f t="shared" si="143"/>
        <v>73.7676918928961</v>
      </c>
      <c r="K372">
        <f t="shared" si="144"/>
        <v>166.776171270328</v>
      </c>
      <c r="L372">
        <f t="shared" si="145"/>
        <v>0.0012737382136214</v>
      </c>
      <c r="M372">
        <f t="shared" si="146"/>
        <v>0.000901772605536633</v>
      </c>
      <c r="N372" s="47">
        <f t="shared" si="123"/>
        <v>0.0012737382136214</v>
      </c>
      <c r="O372">
        <f t="shared" si="124"/>
        <v>0</v>
      </c>
      <c r="P372">
        <f t="shared" si="125"/>
        <v>0</v>
      </c>
      <c r="Q372">
        <f t="shared" si="126"/>
        <v>0</v>
      </c>
      <c r="R372">
        <f t="shared" si="127"/>
        <v>0.000901772605536633</v>
      </c>
      <c r="S372">
        <f t="shared" si="128"/>
        <v>0</v>
      </c>
      <c r="T372">
        <f t="shared" si="129"/>
        <v>0</v>
      </c>
      <c r="U372" s="52">
        <f t="shared" si="130"/>
        <v>0</v>
      </c>
      <c r="V372">
        <f t="shared" si="131"/>
        <v>71.225685</v>
      </c>
      <c r="W372">
        <f t="shared" si="132"/>
        <v>0</v>
      </c>
      <c r="X372">
        <f t="shared" si="133"/>
        <v>0</v>
      </c>
      <c r="Y372">
        <f t="shared" si="134"/>
        <v>0</v>
      </c>
      <c r="Z372">
        <f t="shared" si="135"/>
        <v>161.913971</v>
      </c>
      <c r="AA372">
        <f t="shared" si="136"/>
        <v>0</v>
      </c>
      <c r="AB372">
        <f t="shared" si="137"/>
        <v>0</v>
      </c>
      <c r="AC372">
        <f t="shared" si="138"/>
        <v>0</v>
      </c>
    </row>
    <row r="373" spans="2:29">
      <c r="B373" s="5">
        <v>82</v>
      </c>
      <c r="C373" s="6">
        <v>65.592308</v>
      </c>
      <c r="D373" s="6">
        <v>150.888062</v>
      </c>
      <c r="E373">
        <v>0.25</v>
      </c>
      <c r="F373" s="5">
        <f t="shared" si="139"/>
        <v>71.8454058121842</v>
      </c>
      <c r="G373">
        <f t="shared" si="140"/>
        <v>162.795052219045</v>
      </c>
      <c r="H373">
        <f t="shared" si="141"/>
        <v>0.684278012308776</v>
      </c>
      <c r="I373">
        <f t="shared" si="142"/>
        <v>1.90896224296367</v>
      </c>
      <c r="J373">
        <f t="shared" si="143"/>
        <v>72.529683824493</v>
      </c>
      <c r="K373">
        <f t="shared" si="144"/>
        <v>164.704014462008</v>
      </c>
      <c r="L373">
        <f t="shared" si="145"/>
        <v>0.011186252539197</v>
      </c>
      <c r="M373">
        <f t="shared" si="146"/>
        <v>0.00838401215845053</v>
      </c>
      <c r="N373" s="47">
        <f t="shared" si="123"/>
        <v>0</v>
      </c>
      <c r="O373">
        <f t="shared" si="124"/>
        <v>0.011186252539197</v>
      </c>
      <c r="P373">
        <f t="shared" si="125"/>
        <v>0</v>
      </c>
      <c r="Q373">
        <f t="shared" si="126"/>
        <v>0</v>
      </c>
      <c r="R373">
        <f t="shared" si="127"/>
        <v>0</v>
      </c>
      <c r="S373">
        <f t="shared" si="128"/>
        <v>0.00838401215845053</v>
      </c>
      <c r="T373">
        <f t="shared" si="129"/>
        <v>0</v>
      </c>
      <c r="U373" s="52">
        <f t="shared" si="130"/>
        <v>0</v>
      </c>
      <c r="V373">
        <f t="shared" si="131"/>
        <v>0</v>
      </c>
      <c r="W373">
        <f t="shared" si="132"/>
        <v>65.592308</v>
      </c>
      <c r="X373">
        <f t="shared" si="133"/>
        <v>0</v>
      </c>
      <c r="Y373">
        <f t="shared" si="134"/>
        <v>0</v>
      </c>
      <c r="Z373">
        <f t="shared" si="135"/>
        <v>0</v>
      </c>
      <c r="AA373">
        <f t="shared" si="136"/>
        <v>150.888062</v>
      </c>
      <c r="AB373">
        <f t="shared" si="137"/>
        <v>0</v>
      </c>
      <c r="AC373">
        <f t="shared" si="138"/>
        <v>0</v>
      </c>
    </row>
    <row r="374" spans="2:29">
      <c r="B374" s="5">
        <v>83</v>
      </c>
      <c r="C374" s="6">
        <v>70.316368</v>
      </c>
      <c r="D374" s="6">
        <v>159.604156</v>
      </c>
      <c r="E374">
        <v>0.45</v>
      </c>
      <c r="F374" s="5">
        <f t="shared" si="139"/>
        <v>68.4062020154829</v>
      </c>
      <c r="G374">
        <f t="shared" si="140"/>
        <v>156.24620759857</v>
      </c>
      <c r="H374">
        <f t="shared" si="141"/>
        <v>-1.17128880174576</v>
      </c>
      <c r="I374">
        <f t="shared" si="142"/>
        <v>-1.8970508455835</v>
      </c>
      <c r="J374">
        <f t="shared" si="143"/>
        <v>67.2349132137371</v>
      </c>
      <c r="K374">
        <f t="shared" si="144"/>
        <v>154.349156752987</v>
      </c>
      <c r="L374">
        <f t="shared" si="145"/>
        <v>0.00192043113718028</v>
      </c>
      <c r="M374">
        <f t="shared" si="146"/>
        <v>0.00108406899715844</v>
      </c>
      <c r="N374" s="47">
        <f t="shared" si="123"/>
        <v>0</v>
      </c>
      <c r="O374">
        <f t="shared" si="124"/>
        <v>0</v>
      </c>
      <c r="P374">
        <f t="shared" si="125"/>
        <v>0.00192043113718028</v>
      </c>
      <c r="Q374">
        <f t="shared" si="126"/>
        <v>0</v>
      </c>
      <c r="R374">
        <f t="shared" si="127"/>
        <v>0</v>
      </c>
      <c r="S374">
        <f t="shared" si="128"/>
        <v>0</v>
      </c>
      <c r="T374">
        <f t="shared" si="129"/>
        <v>0.00108406899715844</v>
      </c>
      <c r="U374" s="52">
        <f t="shared" si="130"/>
        <v>0</v>
      </c>
      <c r="V374">
        <f t="shared" si="131"/>
        <v>0</v>
      </c>
      <c r="W374">
        <f t="shared" si="132"/>
        <v>0</v>
      </c>
      <c r="X374">
        <f t="shared" si="133"/>
        <v>70.316368</v>
      </c>
      <c r="Y374">
        <f t="shared" si="134"/>
        <v>0</v>
      </c>
      <c r="Z374">
        <f t="shared" si="135"/>
        <v>0</v>
      </c>
      <c r="AA374">
        <f t="shared" si="136"/>
        <v>0</v>
      </c>
      <c r="AB374">
        <f t="shared" si="137"/>
        <v>159.604156</v>
      </c>
      <c r="AC374">
        <f t="shared" si="138"/>
        <v>0</v>
      </c>
    </row>
    <row r="375" spans="2:29">
      <c r="B375" s="5">
        <v>84</v>
      </c>
      <c r="C375" s="6">
        <v>67.874245</v>
      </c>
      <c r="D375" s="6">
        <v>151.411224</v>
      </c>
      <c r="E375">
        <v>0.85</v>
      </c>
      <c r="F375" s="5">
        <f t="shared" si="139"/>
        <v>69.4567933069673</v>
      </c>
      <c r="G375">
        <f t="shared" si="140"/>
        <v>158.093079219357</v>
      </c>
      <c r="H375">
        <f t="shared" si="141"/>
        <v>0.717309277499883</v>
      </c>
      <c r="I375">
        <f t="shared" si="142"/>
        <v>1.28528325083099</v>
      </c>
      <c r="J375">
        <f t="shared" si="143"/>
        <v>70.1741025844672</v>
      </c>
      <c r="K375">
        <f t="shared" si="144"/>
        <v>159.378362470188</v>
      </c>
      <c r="L375">
        <f t="shared" si="145"/>
        <v>0.001148132112461</v>
      </c>
      <c r="M375">
        <f t="shared" si="146"/>
        <v>0.00276878089832911</v>
      </c>
      <c r="N375" s="47">
        <f t="shared" si="123"/>
        <v>0</v>
      </c>
      <c r="O375">
        <f t="shared" si="124"/>
        <v>0</v>
      </c>
      <c r="P375">
        <f t="shared" si="125"/>
        <v>0</v>
      </c>
      <c r="Q375">
        <f t="shared" si="126"/>
        <v>0.001148132112461</v>
      </c>
      <c r="R375">
        <f t="shared" si="127"/>
        <v>0</v>
      </c>
      <c r="S375">
        <f t="shared" si="128"/>
        <v>0</v>
      </c>
      <c r="T375">
        <f t="shared" si="129"/>
        <v>0</v>
      </c>
      <c r="U375" s="52">
        <f t="shared" si="130"/>
        <v>0.00276878089832911</v>
      </c>
      <c r="V375">
        <f t="shared" si="131"/>
        <v>0</v>
      </c>
      <c r="W375">
        <f t="shared" si="132"/>
        <v>0</v>
      </c>
      <c r="X375">
        <f t="shared" si="133"/>
        <v>0</v>
      </c>
      <c r="Y375">
        <f t="shared" si="134"/>
        <v>67.874245</v>
      </c>
      <c r="Z375">
        <f t="shared" si="135"/>
        <v>0</v>
      </c>
      <c r="AA375">
        <f t="shared" si="136"/>
        <v>0</v>
      </c>
      <c r="AB375">
        <f t="shared" si="137"/>
        <v>0</v>
      </c>
      <c r="AC375">
        <f t="shared" si="138"/>
        <v>151.411224</v>
      </c>
    </row>
    <row r="376" spans="2:29">
      <c r="B376" s="5">
        <v>85</v>
      </c>
      <c r="C376" s="6">
        <v>61.171341</v>
      </c>
      <c r="D376" s="6">
        <v>133.110397</v>
      </c>
      <c r="E376">
        <v>0.15</v>
      </c>
      <c r="F376" s="5">
        <f t="shared" si="139"/>
        <v>68.5863917381353</v>
      </c>
      <c r="G376">
        <f t="shared" si="140"/>
        <v>154.41805884871</v>
      </c>
      <c r="H376">
        <f t="shared" si="141"/>
        <v>0.4791526505501</v>
      </c>
      <c r="I376">
        <f t="shared" si="142"/>
        <v>0.541237707609424</v>
      </c>
      <c r="J376">
        <f t="shared" si="143"/>
        <v>69.0655443886854</v>
      </c>
      <c r="K376">
        <f t="shared" si="144"/>
        <v>154.95929655632</v>
      </c>
      <c r="L376">
        <f t="shared" si="145"/>
        <v>0.0166540790047427</v>
      </c>
      <c r="M376">
        <f t="shared" si="146"/>
        <v>0.0269423317130709</v>
      </c>
      <c r="N376" s="47">
        <f t="shared" si="123"/>
        <v>0.0166540790047427</v>
      </c>
      <c r="O376">
        <f t="shared" si="124"/>
        <v>0</v>
      </c>
      <c r="P376">
        <f t="shared" si="125"/>
        <v>0</v>
      </c>
      <c r="Q376">
        <f t="shared" si="126"/>
        <v>0</v>
      </c>
      <c r="R376">
        <f t="shared" si="127"/>
        <v>0.0269423317130709</v>
      </c>
      <c r="S376">
        <f t="shared" si="128"/>
        <v>0</v>
      </c>
      <c r="T376">
        <f t="shared" si="129"/>
        <v>0</v>
      </c>
      <c r="U376" s="52">
        <f t="shared" si="130"/>
        <v>0</v>
      </c>
      <c r="V376">
        <f t="shared" si="131"/>
        <v>61.171341</v>
      </c>
      <c r="W376">
        <f t="shared" si="132"/>
        <v>0</v>
      </c>
      <c r="X376">
        <f t="shared" si="133"/>
        <v>0</v>
      </c>
      <c r="Y376">
        <f t="shared" si="134"/>
        <v>0</v>
      </c>
      <c r="Z376">
        <f t="shared" si="135"/>
        <v>133.110397</v>
      </c>
      <c r="AA376">
        <f t="shared" si="136"/>
        <v>0</v>
      </c>
      <c r="AB376">
        <f t="shared" si="137"/>
        <v>0</v>
      </c>
      <c r="AC376">
        <f t="shared" si="138"/>
        <v>0</v>
      </c>
    </row>
    <row r="377" spans="2:29">
      <c r="B377" s="5">
        <v>86</v>
      </c>
      <c r="C377" s="6">
        <v>68.500175</v>
      </c>
      <c r="D377" s="6">
        <v>147.482574</v>
      </c>
      <c r="E377">
        <v>0.25</v>
      </c>
      <c r="F377" s="5">
        <f t="shared" si="139"/>
        <v>64.5081138321609</v>
      </c>
      <c r="G377">
        <f t="shared" si="140"/>
        <v>142.69884483192</v>
      </c>
      <c r="H377">
        <f t="shared" si="141"/>
        <v>-0.66020498858103</v>
      </c>
      <c r="I377">
        <f t="shared" si="142"/>
        <v>-2.52387522349061</v>
      </c>
      <c r="J377">
        <f t="shared" si="143"/>
        <v>63.8479088435798</v>
      </c>
      <c r="K377">
        <f t="shared" si="144"/>
        <v>140.174969608429</v>
      </c>
      <c r="L377">
        <f t="shared" si="145"/>
        <v>0.00461259945718133</v>
      </c>
      <c r="M377">
        <f t="shared" si="146"/>
        <v>0.00245509690508178</v>
      </c>
      <c r="N377" s="47">
        <f t="shared" si="123"/>
        <v>0</v>
      </c>
      <c r="O377">
        <f t="shared" si="124"/>
        <v>0.00461259945718133</v>
      </c>
      <c r="P377">
        <f t="shared" si="125"/>
        <v>0</v>
      </c>
      <c r="Q377">
        <f t="shared" si="126"/>
        <v>0</v>
      </c>
      <c r="R377">
        <f t="shared" si="127"/>
        <v>0</v>
      </c>
      <c r="S377">
        <f t="shared" si="128"/>
        <v>0.00245509690508178</v>
      </c>
      <c r="T377">
        <f t="shared" si="129"/>
        <v>0</v>
      </c>
      <c r="U377" s="52">
        <f t="shared" si="130"/>
        <v>0</v>
      </c>
      <c r="V377">
        <f t="shared" si="131"/>
        <v>0</v>
      </c>
      <c r="W377">
        <f t="shared" si="132"/>
        <v>68.500175</v>
      </c>
      <c r="X377">
        <f t="shared" si="133"/>
        <v>0</v>
      </c>
      <c r="Y377">
        <f t="shared" si="134"/>
        <v>0</v>
      </c>
      <c r="Z377">
        <f t="shared" si="135"/>
        <v>0</v>
      </c>
      <c r="AA377">
        <f t="shared" si="136"/>
        <v>147.482574</v>
      </c>
      <c r="AB377">
        <f t="shared" si="137"/>
        <v>0</v>
      </c>
      <c r="AC377">
        <f t="shared" si="138"/>
        <v>0</v>
      </c>
    </row>
    <row r="378" spans="2:29">
      <c r="B378" s="5">
        <v>87</v>
      </c>
      <c r="C378" s="6">
        <v>59.687832</v>
      </c>
      <c r="D378" s="6">
        <v>133.524979</v>
      </c>
      <c r="E378">
        <v>0.45</v>
      </c>
      <c r="F378" s="5">
        <f t="shared" si="139"/>
        <v>66.7037474744724</v>
      </c>
      <c r="G378">
        <f t="shared" si="140"/>
        <v>145.329895874364</v>
      </c>
      <c r="H378">
        <f t="shared" si="141"/>
        <v>0.624922395320618</v>
      </c>
      <c r="I378">
        <f t="shared" si="142"/>
        <v>-0.204158403819972</v>
      </c>
      <c r="J378">
        <f t="shared" si="143"/>
        <v>67.328669869793</v>
      </c>
      <c r="K378">
        <f t="shared" si="144"/>
        <v>145.125737470544</v>
      </c>
      <c r="L378">
        <f t="shared" si="145"/>
        <v>0.0163874115209581</v>
      </c>
      <c r="M378">
        <f t="shared" si="146"/>
        <v>0.00754827532817179</v>
      </c>
      <c r="N378" s="47">
        <f t="shared" si="123"/>
        <v>0</v>
      </c>
      <c r="O378">
        <f t="shared" si="124"/>
        <v>0</v>
      </c>
      <c r="P378">
        <f t="shared" si="125"/>
        <v>0.0163874115209581</v>
      </c>
      <c r="Q378">
        <f t="shared" si="126"/>
        <v>0</v>
      </c>
      <c r="R378">
        <f t="shared" si="127"/>
        <v>0</v>
      </c>
      <c r="S378">
        <f t="shared" si="128"/>
        <v>0</v>
      </c>
      <c r="T378">
        <f t="shared" si="129"/>
        <v>0.00754827532817179</v>
      </c>
      <c r="U378" s="52">
        <f t="shared" si="130"/>
        <v>0</v>
      </c>
      <c r="V378">
        <f t="shared" si="131"/>
        <v>0</v>
      </c>
      <c r="W378">
        <f t="shared" si="132"/>
        <v>0</v>
      </c>
      <c r="X378">
        <f t="shared" si="133"/>
        <v>59.687832</v>
      </c>
      <c r="Y378">
        <f t="shared" si="134"/>
        <v>0</v>
      </c>
      <c r="Z378">
        <f t="shared" si="135"/>
        <v>0</v>
      </c>
      <c r="AA378">
        <f t="shared" si="136"/>
        <v>0</v>
      </c>
      <c r="AB378">
        <f t="shared" si="137"/>
        <v>133.524979</v>
      </c>
      <c r="AC378">
        <f t="shared" si="138"/>
        <v>0</v>
      </c>
    </row>
    <row r="379" spans="2:29">
      <c r="B379" s="5">
        <v>88</v>
      </c>
      <c r="C379" s="6">
        <v>62.312309</v>
      </c>
      <c r="D379" s="6">
        <v>130.099747</v>
      </c>
      <c r="E379">
        <v>0.85</v>
      </c>
      <c r="F379" s="5">
        <f t="shared" si="139"/>
        <v>62.8449939635126</v>
      </c>
      <c r="G379">
        <f t="shared" si="140"/>
        <v>138.837191593464</v>
      </c>
      <c r="H379">
        <f t="shared" si="141"/>
        <v>-3.18620212501775</v>
      </c>
      <c r="I379">
        <f t="shared" si="142"/>
        <v>-5.54942239933809</v>
      </c>
      <c r="J379">
        <f t="shared" si="143"/>
        <v>59.6587918384948</v>
      </c>
      <c r="K379">
        <f t="shared" si="144"/>
        <v>133.287769194126</v>
      </c>
      <c r="L379">
        <f t="shared" si="145"/>
        <v>0.00181341044382499</v>
      </c>
      <c r="M379">
        <f t="shared" si="146"/>
        <v>0.000600467862145824</v>
      </c>
      <c r="N379" s="47">
        <f t="shared" si="123"/>
        <v>0</v>
      </c>
      <c r="O379">
        <f t="shared" si="124"/>
        <v>0</v>
      </c>
      <c r="P379">
        <f t="shared" si="125"/>
        <v>0</v>
      </c>
      <c r="Q379">
        <f t="shared" si="126"/>
        <v>0.00181341044382499</v>
      </c>
      <c r="R379">
        <f t="shared" si="127"/>
        <v>0</v>
      </c>
      <c r="S379">
        <f t="shared" si="128"/>
        <v>0</v>
      </c>
      <c r="T379">
        <f t="shared" si="129"/>
        <v>0</v>
      </c>
      <c r="U379" s="52">
        <f t="shared" si="130"/>
        <v>0.000600467862145824</v>
      </c>
      <c r="V379">
        <f t="shared" si="131"/>
        <v>0</v>
      </c>
      <c r="W379">
        <f t="shared" si="132"/>
        <v>0</v>
      </c>
      <c r="X379">
        <f t="shared" si="133"/>
        <v>0</v>
      </c>
      <c r="Y379">
        <f t="shared" si="134"/>
        <v>62.312309</v>
      </c>
      <c r="Z379">
        <f t="shared" si="135"/>
        <v>0</v>
      </c>
      <c r="AA379">
        <f t="shared" si="136"/>
        <v>0</v>
      </c>
      <c r="AB379">
        <f t="shared" si="137"/>
        <v>0</v>
      </c>
      <c r="AC379">
        <f t="shared" si="138"/>
        <v>130.099747</v>
      </c>
    </row>
    <row r="380" spans="2:29">
      <c r="B380" s="5">
        <v>89</v>
      </c>
      <c r="C380" s="6">
        <v>60.786911</v>
      </c>
      <c r="D380" s="6">
        <v>118.067001</v>
      </c>
      <c r="E380">
        <v>0.15</v>
      </c>
      <c r="F380" s="5">
        <f t="shared" si="139"/>
        <v>62.5520172335807</v>
      </c>
      <c r="G380">
        <f t="shared" si="140"/>
        <v>134.031597067059</v>
      </c>
      <c r="H380">
        <f t="shared" si="141"/>
        <v>-2.75221831575488</v>
      </c>
      <c r="I380">
        <f t="shared" si="142"/>
        <v>-5.43784821839814</v>
      </c>
      <c r="J380">
        <f t="shared" si="143"/>
        <v>59.7997989178258</v>
      </c>
      <c r="K380">
        <f t="shared" si="144"/>
        <v>128.593748848661</v>
      </c>
      <c r="L380">
        <f t="shared" si="145"/>
        <v>0.000263701613083979</v>
      </c>
      <c r="M380">
        <f t="shared" si="146"/>
        <v>0.0079493455656042</v>
      </c>
      <c r="N380" s="47">
        <f t="shared" si="123"/>
        <v>0.000263701613083979</v>
      </c>
      <c r="O380">
        <f t="shared" si="124"/>
        <v>0</v>
      </c>
      <c r="P380">
        <f t="shared" si="125"/>
        <v>0</v>
      </c>
      <c r="Q380">
        <f t="shared" si="126"/>
        <v>0</v>
      </c>
      <c r="R380">
        <f t="shared" si="127"/>
        <v>0.0079493455656042</v>
      </c>
      <c r="S380">
        <f t="shared" si="128"/>
        <v>0</v>
      </c>
      <c r="T380">
        <f t="shared" si="129"/>
        <v>0</v>
      </c>
      <c r="U380" s="52">
        <f t="shared" si="130"/>
        <v>0</v>
      </c>
      <c r="V380">
        <f t="shared" si="131"/>
        <v>60.786911</v>
      </c>
      <c r="W380">
        <f t="shared" si="132"/>
        <v>0</v>
      </c>
      <c r="X380">
        <f t="shared" si="133"/>
        <v>0</v>
      </c>
      <c r="Y380">
        <f t="shared" si="134"/>
        <v>0</v>
      </c>
      <c r="Z380">
        <f t="shared" si="135"/>
        <v>118.067001</v>
      </c>
      <c r="AA380">
        <f t="shared" si="136"/>
        <v>0</v>
      </c>
      <c r="AB380">
        <f t="shared" si="137"/>
        <v>0</v>
      </c>
      <c r="AC380">
        <f t="shared" si="138"/>
        <v>0</v>
      </c>
    </row>
    <row r="381" spans="2:29">
      <c r="B381" s="5">
        <v>90</v>
      </c>
      <c r="C381" s="6">
        <v>60.321156</v>
      </c>
      <c r="D381" s="6">
        <v>117.425385</v>
      </c>
      <c r="E381">
        <v>0.25</v>
      </c>
      <c r="F381" s="5">
        <f t="shared" si="139"/>
        <v>61.5812088051113</v>
      </c>
      <c r="G381">
        <f t="shared" si="140"/>
        <v>125.251069230176</v>
      </c>
      <c r="H381">
        <f t="shared" si="141"/>
        <v>-2.3068658439335</v>
      </c>
      <c r="I381">
        <f t="shared" si="142"/>
        <v>-6.27351812301917</v>
      </c>
      <c r="J381">
        <f t="shared" si="143"/>
        <v>59.2743429611778</v>
      </c>
      <c r="K381">
        <f t="shared" si="144"/>
        <v>118.977551107157</v>
      </c>
      <c r="L381">
        <f t="shared" si="145"/>
        <v>0.000301161142002006</v>
      </c>
      <c r="M381">
        <f t="shared" si="146"/>
        <v>0.000174723936817607</v>
      </c>
      <c r="N381" s="47">
        <f t="shared" si="123"/>
        <v>0</v>
      </c>
      <c r="O381">
        <f t="shared" si="124"/>
        <v>0.000301161142002006</v>
      </c>
      <c r="P381">
        <f t="shared" si="125"/>
        <v>0</v>
      </c>
      <c r="Q381">
        <f t="shared" si="126"/>
        <v>0</v>
      </c>
      <c r="R381">
        <f t="shared" si="127"/>
        <v>0</v>
      </c>
      <c r="S381">
        <f t="shared" si="128"/>
        <v>0.000174723936817607</v>
      </c>
      <c r="T381">
        <f t="shared" si="129"/>
        <v>0</v>
      </c>
      <c r="U381" s="52">
        <f t="shared" si="130"/>
        <v>0</v>
      </c>
      <c r="V381">
        <f t="shared" si="131"/>
        <v>0</v>
      </c>
      <c r="W381">
        <f t="shared" si="132"/>
        <v>60.321156</v>
      </c>
      <c r="X381">
        <f t="shared" si="133"/>
        <v>0</v>
      </c>
      <c r="Y381">
        <f t="shared" si="134"/>
        <v>0</v>
      </c>
      <c r="Z381">
        <f t="shared" si="135"/>
        <v>0</v>
      </c>
      <c r="AA381">
        <f t="shared" si="136"/>
        <v>117.425385</v>
      </c>
      <c r="AB381">
        <f t="shared" si="137"/>
        <v>0</v>
      </c>
      <c r="AC381">
        <f t="shared" si="138"/>
        <v>0</v>
      </c>
    </row>
    <row r="382" spans="2:29">
      <c r="B382" s="5">
        <v>91</v>
      </c>
      <c r="C382" s="6">
        <v>56.491634</v>
      </c>
      <c r="D382" s="6">
        <v>111.048721</v>
      </c>
      <c r="E382">
        <v>0.45</v>
      </c>
      <c r="F382" s="5">
        <f t="shared" si="139"/>
        <v>60.8881797623001</v>
      </c>
      <c r="G382">
        <f t="shared" si="140"/>
        <v>120.946942903579</v>
      </c>
      <c r="H382">
        <f t="shared" si="141"/>
        <v>-1.58063928342847</v>
      </c>
      <c r="I382">
        <f t="shared" si="142"/>
        <v>-5.3872918146292</v>
      </c>
      <c r="J382">
        <f t="shared" si="143"/>
        <v>59.3075404788716</v>
      </c>
      <c r="K382">
        <f t="shared" si="144"/>
        <v>115.55965108895</v>
      </c>
      <c r="L382">
        <f t="shared" si="145"/>
        <v>0.00248466693511281</v>
      </c>
      <c r="M382">
        <f t="shared" si="146"/>
        <v>0.00165008026784023</v>
      </c>
      <c r="N382" s="47">
        <f t="shared" si="123"/>
        <v>0</v>
      </c>
      <c r="O382">
        <f t="shared" si="124"/>
        <v>0</v>
      </c>
      <c r="P382">
        <f t="shared" si="125"/>
        <v>0.00248466693511281</v>
      </c>
      <c r="Q382">
        <f t="shared" si="126"/>
        <v>0</v>
      </c>
      <c r="R382">
        <f t="shared" si="127"/>
        <v>0</v>
      </c>
      <c r="S382">
        <f t="shared" si="128"/>
        <v>0</v>
      </c>
      <c r="T382">
        <f t="shared" si="129"/>
        <v>0.00165008026784023</v>
      </c>
      <c r="U382" s="52">
        <f t="shared" si="130"/>
        <v>0</v>
      </c>
      <c r="V382">
        <f t="shared" si="131"/>
        <v>0</v>
      </c>
      <c r="W382">
        <f t="shared" si="132"/>
        <v>0</v>
      </c>
      <c r="X382">
        <f t="shared" si="133"/>
        <v>56.491634</v>
      </c>
      <c r="Y382">
        <f t="shared" si="134"/>
        <v>0</v>
      </c>
      <c r="Z382">
        <f t="shared" si="135"/>
        <v>0</v>
      </c>
      <c r="AA382">
        <f t="shared" si="136"/>
        <v>0</v>
      </c>
      <c r="AB382">
        <f t="shared" si="137"/>
        <v>111.048721</v>
      </c>
      <c r="AC382">
        <f t="shared" si="138"/>
        <v>0</v>
      </c>
    </row>
    <row r="383" spans="2:29">
      <c r="B383" s="5">
        <v>92</v>
      </c>
      <c r="C383" s="6">
        <v>55.291519</v>
      </c>
      <c r="D383" s="6">
        <v>102.520172</v>
      </c>
      <c r="E383">
        <v>0.85</v>
      </c>
      <c r="F383" s="5">
        <f t="shared" si="139"/>
        <v>58.470079593035</v>
      </c>
      <c r="G383">
        <f t="shared" si="140"/>
        <v>115.502920856611</v>
      </c>
      <c r="H383">
        <f t="shared" si="141"/>
        <v>-2.29248103638956</v>
      </c>
      <c r="I383">
        <f t="shared" si="142"/>
        <v>-5.43551251211774</v>
      </c>
      <c r="J383">
        <f t="shared" si="143"/>
        <v>56.1775985566455</v>
      </c>
      <c r="K383">
        <f t="shared" si="144"/>
        <v>110.067408344493</v>
      </c>
      <c r="L383">
        <f t="shared" si="145"/>
        <v>0.00025681973348827</v>
      </c>
      <c r="M383">
        <f t="shared" si="146"/>
        <v>0.0054194753879459</v>
      </c>
      <c r="N383" s="47">
        <f t="shared" si="123"/>
        <v>0</v>
      </c>
      <c r="O383">
        <f t="shared" si="124"/>
        <v>0</v>
      </c>
      <c r="P383">
        <f t="shared" si="125"/>
        <v>0</v>
      </c>
      <c r="Q383">
        <f t="shared" si="126"/>
        <v>0.00025681973348827</v>
      </c>
      <c r="R383">
        <f t="shared" si="127"/>
        <v>0</v>
      </c>
      <c r="S383">
        <f t="shared" si="128"/>
        <v>0</v>
      </c>
      <c r="T383">
        <f t="shared" si="129"/>
        <v>0</v>
      </c>
      <c r="U383" s="52">
        <f t="shared" si="130"/>
        <v>0.0054194753879459</v>
      </c>
      <c r="V383">
        <f t="shared" si="131"/>
        <v>0</v>
      </c>
      <c r="W383">
        <f t="shared" si="132"/>
        <v>0</v>
      </c>
      <c r="X383">
        <f t="shared" si="133"/>
        <v>0</v>
      </c>
      <c r="Y383">
        <f t="shared" si="134"/>
        <v>55.291519</v>
      </c>
      <c r="Z383">
        <f t="shared" si="135"/>
        <v>0</v>
      </c>
      <c r="AA383">
        <f t="shared" si="136"/>
        <v>0</v>
      </c>
      <c r="AB383">
        <f t="shared" si="137"/>
        <v>0</v>
      </c>
      <c r="AC383">
        <f t="shared" si="138"/>
        <v>102.520172</v>
      </c>
    </row>
    <row r="384" spans="2:29">
      <c r="B384" s="5">
        <v>93</v>
      </c>
      <c r="C384" s="6">
        <v>60.838661</v>
      </c>
      <c r="D384" s="6">
        <v>117.968285</v>
      </c>
      <c r="E384">
        <v>0.15</v>
      </c>
      <c r="F384" s="5">
        <f t="shared" si="139"/>
        <v>56.7218712668658</v>
      </c>
      <c r="G384">
        <f t="shared" si="140"/>
        <v>108.362408985475</v>
      </c>
      <c r="H384">
        <f t="shared" si="141"/>
        <v>-2.21084012985652</v>
      </c>
      <c r="I384">
        <f t="shared" si="142"/>
        <v>-5.69126241597046</v>
      </c>
      <c r="J384">
        <f t="shared" si="143"/>
        <v>54.5110311370092</v>
      </c>
      <c r="K384">
        <f t="shared" si="144"/>
        <v>102.671146569504</v>
      </c>
      <c r="L384">
        <f t="shared" si="145"/>
        <v>0.0108173987734092</v>
      </c>
      <c r="M384">
        <f t="shared" si="146"/>
        <v>0.0168147286067647</v>
      </c>
      <c r="N384" s="47">
        <f t="shared" si="123"/>
        <v>0.0108173987734092</v>
      </c>
      <c r="O384">
        <f t="shared" si="124"/>
        <v>0</v>
      </c>
      <c r="P384">
        <f t="shared" si="125"/>
        <v>0</v>
      </c>
      <c r="Q384">
        <f t="shared" si="126"/>
        <v>0</v>
      </c>
      <c r="R384">
        <f t="shared" si="127"/>
        <v>0.0168147286067647</v>
      </c>
      <c r="S384">
        <f t="shared" si="128"/>
        <v>0</v>
      </c>
      <c r="T384">
        <f t="shared" si="129"/>
        <v>0</v>
      </c>
      <c r="U384" s="52">
        <f t="shared" si="130"/>
        <v>0</v>
      </c>
      <c r="V384">
        <f t="shared" si="131"/>
        <v>60.838661</v>
      </c>
      <c r="W384">
        <f t="shared" si="132"/>
        <v>0</v>
      </c>
      <c r="X384">
        <f t="shared" si="133"/>
        <v>0</v>
      </c>
      <c r="Y384">
        <f t="shared" si="134"/>
        <v>0</v>
      </c>
      <c r="Z384">
        <f t="shared" si="135"/>
        <v>117.968285</v>
      </c>
      <c r="AA384">
        <f t="shared" si="136"/>
        <v>0</v>
      </c>
      <c r="AB384">
        <f t="shared" si="137"/>
        <v>0</v>
      </c>
      <c r="AC384">
        <f t="shared" si="138"/>
        <v>0</v>
      </c>
    </row>
    <row r="385" spans="2:29">
      <c r="B385" s="5">
        <v>94</v>
      </c>
      <c r="C385" s="6">
        <v>60.503517</v>
      </c>
      <c r="D385" s="6">
        <v>127.977478</v>
      </c>
      <c r="E385">
        <v>0.25</v>
      </c>
      <c r="F385" s="5">
        <f t="shared" si="139"/>
        <v>58.9861056200896</v>
      </c>
      <c r="G385">
        <f t="shared" si="140"/>
        <v>113.645640793464</v>
      </c>
      <c r="H385">
        <f t="shared" si="141"/>
        <v>-1.09207150908643</v>
      </c>
      <c r="I385">
        <f t="shared" si="142"/>
        <v>-2.94763885998063</v>
      </c>
      <c r="J385">
        <f t="shared" si="143"/>
        <v>57.8940341110032</v>
      </c>
      <c r="K385">
        <f t="shared" si="144"/>
        <v>110.698001933483</v>
      </c>
      <c r="L385">
        <f t="shared" si="145"/>
        <v>0.00186014871269799</v>
      </c>
      <c r="M385">
        <f t="shared" si="146"/>
        <v>0.0182303096400642</v>
      </c>
      <c r="N385" s="47">
        <f t="shared" si="123"/>
        <v>0</v>
      </c>
      <c r="O385">
        <f t="shared" si="124"/>
        <v>0.00186014871269799</v>
      </c>
      <c r="P385">
        <f t="shared" si="125"/>
        <v>0</v>
      </c>
      <c r="Q385">
        <f t="shared" si="126"/>
        <v>0</v>
      </c>
      <c r="R385">
        <f t="shared" si="127"/>
        <v>0</v>
      </c>
      <c r="S385">
        <f t="shared" si="128"/>
        <v>0.0182303096400642</v>
      </c>
      <c r="T385">
        <f t="shared" si="129"/>
        <v>0</v>
      </c>
      <c r="U385" s="52">
        <f t="shared" si="130"/>
        <v>0</v>
      </c>
      <c r="V385">
        <f t="shared" si="131"/>
        <v>0</v>
      </c>
      <c r="W385">
        <f t="shared" si="132"/>
        <v>60.503517</v>
      </c>
      <c r="X385">
        <f t="shared" si="133"/>
        <v>0</v>
      </c>
      <c r="Y385">
        <f t="shared" si="134"/>
        <v>0</v>
      </c>
      <c r="Z385">
        <f t="shared" si="135"/>
        <v>0</v>
      </c>
      <c r="AA385">
        <f t="shared" si="136"/>
        <v>127.977478</v>
      </c>
      <c r="AB385">
        <f t="shared" si="137"/>
        <v>0</v>
      </c>
      <c r="AC385">
        <f t="shared" si="138"/>
        <v>0</v>
      </c>
    </row>
    <row r="386" spans="2:29">
      <c r="B386" s="5">
        <v>95</v>
      </c>
      <c r="C386" s="6">
        <v>63.687393</v>
      </c>
      <c r="D386" s="6">
        <v>135.627487</v>
      </c>
      <c r="E386">
        <v>0.45</v>
      </c>
      <c r="F386" s="5">
        <f t="shared" si="139"/>
        <v>59.8206818790403</v>
      </c>
      <c r="G386">
        <f t="shared" si="140"/>
        <v>121.528151257059</v>
      </c>
      <c r="H386">
        <f t="shared" si="141"/>
        <v>-0.225080013469709</v>
      </c>
      <c r="I386">
        <f t="shared" si="142"/>
        <v>1.92592833562839</v>
      </c>
      <c r="J386">
        <f t="shared" si="143"/>
        <v>59.5956018655706</v>
      </c>
      <c r="K386">
        <f t="shared" si="144"/>
        <v>123.454079592687</v>
      </c>
      <c r="L386">
        <f t="shared" si="145"/>
        <v>0.004127812583709</v>
      </c>
      <c r="M386">
        <f t="shared" si="146"/>
        <v>0.00805617485427411</v>
      </c>
      <c r="N386" s="47">
        <f t="shared" si="123"/>
        <v>0</v>
      </c>
      <c r="O386">
        <f t="shared" si="124"/>
        <v>0</v>
      </c>
      <c r="P386">
        <f t="shared" si="125"/>
        <v>0.004127812583709</v>
      </c>
      <c r="Q386">
        <f t="shared" si="126"/>
        <v>0</v>
      </c>
      <c r="R386">
        <f t="shared" si="127"/>
        <v>0</v>
      </c>
      <c r="S386">
        <f t="shared" si="128"/>
        <v>0</v>
      </c>
      <c r="T386">
        <f t="shared" si="129"/>
        <v>0.00805617485427411</v>
      </c>
      <c r="U386" s="52">
        <f t="shared" si="130"/>
        <v>0</v>
      </c>
      <c r="V386">
        <f t="shared" si="131"/>
        <v>0</v>
      </c>
      <c r="W386">
        <f t="shared" si="132"/>
        <v>0</v>
      </c>
      <c r="X386">
        <f t="shared" si="133"/>
        <v>63.687393</v>
      </c>
      <c r="Y386">
        <f t="shared" si="134"/>
        <v>0</v>
      </c>
      <c r="Z386">
        <f t="shared" si="135"/>
        <v>0</v>
      </c>
      <c r="AA386">
        <f t="shared" si="136"/>
        <v>0</v>
      </c>
      <c r="AB386">
        <f t="shared" si="137"/>
        <v>135.627487</v>
      </c>
      <c r="AC386">
        <f t="shared" si="138"/>
        <v>0</v>
      </c>
    </row>
    <row r="387" spans="2:29">
      <c r="B387" s="5">
        <v>96</v>
      </c>
      <c r="C387" s="6">
        <v>61.050594</v>
      </c>
      <c r="D387" s="6">
        <v>129.576599</v>
      </c>
      <c r="E387">
        <v>0.85</v>
      </c>
      <c r="F387" s="5">
        <f t="shared" si="139"/>
        <v>61.9473729955681</v>
      </c>
      <c r="G387">
        <f t="shared" si="140"/>
        <v>129.282785915676</v>
      </c>
      <c r="H387">
        <f t="shared" si="141"/>
        <v>1.77392544702819</v>
      </c>
      <c r="I387">
        <f t="shared" si="142"/>
        <v>6.88032871016935</v>
      </c>
      <c r="J387">
        <f t="shared" si="143"/>
        <v>63.7212984425963</v>
      </c>
      <c r="K387">
        <f t="shared" si="144"/>
        <v>136.163114625846</v>
      </c>
      <c r="L387">
        <f t="shared" si="145"/>
        <v>0.00191369124513699</v>
      </c>
      <c r="M387">
        <f t="shared" si="146"/>
        <v>0.00258379646260424</v>
      </c>
      <c r="N387" s="47">
        <f t="shared" si="123"/>
        <v>0</v>
      </c>
      <c r="O387">
        <f t="shared" si="124"/>
        <v>0</v>
      </c>
      <c r="P387">
        <f t="shared" si="125"/>
        <v>0</v>
      </c>
      <c r="Q387">
        <f t="shared" si="126"/>
        <v>0.00191369124513699</v>
      </c>
      <c r="R387">
        <f t="shared" si="127"/>
        <v>0</v>
      </c>
      <c r="S387">
        <f t="shared" si="128"/>
        <v>0</v>
      </c>
      <c r="T387">
        <f t="shared" si="129"/>
        <v>0</v>
      </c>
      <c r="U387" s="52">
        <f t="shared" si="130"/>
        <v>0.00258379646260424</v>
      </c>
      <c r="V387">
        <f t="shared" si="131"/>
        <v>0</v>
      </c>
      <c r="W387">
        <f t="shared" si="132"/>
        <v>0</v>
      </c>
      <c r="X387">
        <f t="shared" si="133"/>
        <v>0</v>
      </c>
      <c r="Y387">
        <f t="shared" si="134"/>
        <v>61.050594</v>
      </c>
      <c r="Z387">
        <f t="shared" si="135"/>
        <v>0</v>
      </c>
      <c r="AA387">
        <f t="shared" si="136"/>
        <v>0</v>
      </c>
      <c r="AB387">
        <f t="shared" si="137"/>
        <v>0</v>
      </c>
      <c r="AC387">
        <f t="shared" si="138"/>
        <v>129.576599</v>
      </c>
    </row>
    <row r="388" spans="2:29">
      <c r="B388" s="5">
        <v>97</v>
      </c>
      <c r="C388" s="6">
        <v>62.79285</v>
      </c>
      <c r="D388" s="6">
        <v>130.050385</v>
      </c>
      <c r="E388">
        <v>0.15</v>
      </c>
      <c r="F388" s="5">
        <f t="shared" si="139"/>
        <v>61.4541445480057</v>
      </c>
      <c r="G388">
        <f t="shared" si="140"/>
        <v>129.444383112054</v>
      </c>
      <c r="H388">
        <f t="shared" si="141"/>
        <v>1.43385236283959</v>
      </c>
      <c r="I388">
        <f t="shared" si="142"/>
        <v>5.87251898310064</v>
      </c>
      <c r="J388">
        <f t="shared" si="143"/>
        <v>62.8879969108453</v>
      </c>
      <c r="K388">
        <f t="shared" si="144"/>
        <v>135.316902095155</v>
      </c>
      <c r="L388">
        <f t="shared" si="145"/>
        <v>2.29598472862611e-6</v>
      </c>
      <c r="M388">
        <f t="shared" si="146"/>
        <v>0.00163992396345894</v>
      </c>
      <c r="N388" s="47">
        <f t="shared" si="123"/>
        <v>2.29598472862611e-6</v>
      </c>
      <c r="O388">
        <f t="shared" si="124"/>
        <v>0</v>
      </c>
      <c r="P388">
        <f t="shared" si="125"/>
        <v>0</v>
      </c>
      <c r="Q388">
        <f t="shared" si="126"/>
        <v>0</v>
      </c>
      <c r="R388">
        <f t="shared" si="127"/>
        <v>0.00163992396345894</v>
      </c>
      <c r="S388">
        <f t="shared" si="128"/>
        <v>0</v>
      </c>
      <c r="T388">
        <f t="shared" si="129"/>
        <v>0</v>
      </c>
      <c r="U388" s="52">
        <f t="shared" si="130"/>
        <v>0</v>
      </c>
      <c r="V388">
        <f t="shared" si="131"/>
        <v>62.79285</v>
      </c>
      <c r="W388">
        <f t="shared" si="132"/>
        <v>0</v>
      </c>
      <c r="X388">
        <f t="shared" si="133"/>
        <v>0</v>
      </c>
      <c r="Y388">
        <f t="shared" si="134"/>
        <v>0</v>
      </c>
      <c r="Z388">
        <f t="shared" si="135"/>
        <v>130.050385</v>
      </c>
      <c r="AA388">
        <f t="shared" si="136"/>
        <v>0</v>
      </c>
      <c r="AB388">
        <f t="shared" si="137"/>
        <v>0</v>
      </c>
      <c r="AC388">
        <f t="shared" si="138"/>
        <v>0</v>
      </c>
    </row>
    <row r="389" spans="2:29">
      <c r="B389" s="5">
        <v>98</v>
      </c>
      <c r="C389" s="6">
        <v>62.664707</v>
      </c>
      <c r="D389" s="6">
        <v>132.064072</v>
      </c>
      <c r="E389">
        <v>0.25</v>
      </c>
      <c r="F389" s="5">
        <f t="shared" si="139"/>
        <v>62.1904325466026</v>
      </c>
      <c r="G389">
        <f t="shared" si="140"/>
        <v>129.777684150424</v>
      </c>
      <c r="H389">
        <f t="shared" si="141"/>
        <v>1.25946127177892</v>
      </c>
      <c r="I389">
        <f t="shared" si="142"/>
        <v>4.48771449691801</v>
      </c>
      <c r="J389">
        <f t="shared" si="143"/>
        <v>63.4498938183815</v>
      </c>
      <c r="K389">
        <f t="shared" si="144"/>
        <v>134.265398647342</v>
      </c>
      <c r="L389">
        <f t="shared" si="145"/>
        <v>0.000157000116053597</v>
      </c>
      <c r="M389">
        <f t="shared" si="146"/>
        <v>0.000277843098568509</v>
      </c>
      <c r="N389" s="47">
        <f t="shared" si="123"/>
        <v>0</v>
      </c>
      <c r="O389">
        <f t="shared" si="124"/>
        <v>0.000157000116053597</v>
      </c>
      <c r="P389">
        <f t="shared" si="125"/>
        <v>0</v>
      </c>
      <c r="Q389">
        <f t="shared" si="126"/>
        <v>0</v>
      </c>
      <c r="R389">
        <f t="shared" si="127"/>
        <v>0</v>
      </c>
      <c r="S389">
        <f t="shared" si="128"/>
        <v>0.000277843098568509</v>
      </c>
      <c r="T389">
        <f t="shared" si="129"/>
        <v>0</v>
      </c>
      <c r="U389" s="52">
        <f t="shared" si="130"/>
        <v>0</v>
      </c>
      <c r="V389">
        <f t="shared" si="131"/>
        <v>0</v>
      </c>
      <c r="W389">
        <f t="shared" si="132"/>
        <v>62.664707</v>
      </c>
      <c r="X389">
        <f t="shared" si="133"/>
        <v>0</v>
      </c>
      <c r="Y389">
        <f t="shared" si="134"/>
        <v>0</v>
      </c>
      <c r="Z389">
        <f t="shared" si="135"/>
        <v>0</v>
      </c>
      <c r="AA389">
        <f t="shared" si="136"/>
        <v>132.064072</v>
      </c>
      <c r="AB389">
        <f t="shared" si="137"/>
        <v>0</v>
      </c>
      <c r="AC389">
        <f t="shared" si="138"/>
        <v>0</v>
      </c>
    </row>
    <row r="390" spans="2:29">
      <c r="B390" s="5">
        <v>99</v>
      </c>
      <c r="C390" s="6">
        <v>59.367474</v>
      </c>
      <c r="D390" s="6">
        <v>128.036713</v>
      </c>
      <c r="E390">
        <v>0.45</v>
      </c>
      <c r="F390" s="5">
        <f t="shared" si="139"/>
        <v>62.4512834959711</v>
      </c>
      <c r="G390">
        <f t="shared" si="140"/>
        <v>131.035197467691</v>
      </c>
      <c r="H390">
        <f t="shared" si="141"/>
        <v>0.810086626694272</v>
      </c>
      <c r="I390">
        <f t="shared" si="142"/>
        <v>3.03412396607484</v>
      </c>
      <c r="J390">
        <f t="shared" si="143"/>
        <v>63.2613701226654</v>
      </c>
      <c r="K390">
        <f t="shared" si="144"/>
        <v>134.069321433766</v>
      </c>
      <c r="L390">
        <f t="shared" si="145"/>
        <v>0.0043020116478652</v>
      </c>
      <c r="M390">
        <f t="shared" si="146"/>
        <v>0.00221994002408049</v>
      </c>
      <c r="N390" s="47">
        <f t="shared" si="123"/>
        <v>0</v>
      </c>
      <c r="O390">
        <f t="shared" si="124"/>
        <v>0</v>
      </c>
      <c r="P390">
        <f t="shared" si="125"/>
        <v>0.0043020116478652</v>
      </c>
      <c r="Q390">
        <f t="shared" si="126"/>
        <v>0</v>
      </c>
      <c r="R390">
        <f t="shared" si="127"/>
        <v>0</v>
      </c>
      <c r="S390">
        <f t="shared" si="128"/>
        <v>0</v>
      </c>
      <c r="T390">
        <f t="shared" si="129"/>
        <v>0.00221994002408049</v>
      </c>
      <c r="U390" s="52">
        <f t="shared" si="130"/>
        <v>0</v>
      </c>
      <c r="V390">
        <f t="shared" si="131"/>
        <v>0</v>
      </c>
      <c r="W390">
        <f t="shared" si="132"/>
        <v>0</v>
      </c>
      <c r="X390">
        <f t="shared" si="133"/>
        <v>59.367474</v>
      </c>
      <c r="Y390">
        <f t="shared" si="134"/>
        <v>0</v>
      </c>
      <c r="Z390">
        <f t="shared" si="135"/>
        <v>0</v>
      </c>
      <c r="AA390">
        <f t="shared" si="136"/>
        <v>0</v>
      </c>
      <c r="AB390">
        <f t="shared" si="137"/>
        <v>128.036713</v>
      </c>
      <c r="AC390">
        <f t="shared" si="138"/>
        <v>0</v>
      </c>
    </row>
    <row r="391" spans="2:29">
      <c r="B391" s="5">
        <v>100</v>
      </c>
      <c r="C391" s="6">
        <v>60.35812</v>
      </c>
      <c r="D391" s="6">
        <v>131.09671</v>
      </c>
      <c r="E391">
        <v>0.85</v>
      </c>
      <c r="F391" s="5">
        <f t="shared" si="139"/>
        <v>60.755188273187</v>
      </c>
      <c r="G391">
        <f t="shared" si="140"/>
        <v>129.386031010461</v>
      </c>
      <c r="H391">
        <f t="shared" si="141"/>
        <v>-1.32016794536237</v>
      </c>
      <c r="I391">
        <f t="shared" si="142"/>
        <v>-0.946672893734318</v>
      </c>
      <c r="J391">
        <f t="shared" si="143"/>
        <v>59.4350203278246</v>
      </c>
      <c r="K391">
        <f t="shared" si="144"/>
        <v>128.439358116727</v>
      </c>
      <c r="L391">
        <f t="shared" si="145"/>
        <v>0.000233897610539629</v>
      </c>
      <c r="M391">
        <f t="shared" si="146"/>
        <v>0.000410879570763395</v>
      </c>
      <c r="N391" s="47">
        <f t="shared" si="123"/>
        <v>0</v>
      </c>
      <c r="O391">
        <f t="shared" si="124"/>
        <v>0</v>
      </c>
      <c r="P391">
        <f t="shared" si="125"/>
        <v>0</v>
      </c>
      <c r="Q391">
        <f t="shared" si="126"/>
        <v>0.000233897610539629</v>
      </c>
      <c r="R391">
        <f t="shared" si="127"/>
        <v>0</v>
      </c>
      <c r="S391">
        <f t="shared" si="128"/>
        <v>0</v>
      </c>
      <c r="T391">
        <f t="shared" si="129"/>
        <v>0</v>
      </c>
      <c r="U391" s="52">
        <f t="shared" si="130"/>
        <v>0.000410879570763395</v>
      </c>
      <c r="V391">
        <f t="shared" si="131"/>
        <v>0</v>
      </c>
      <c r="W391">
        <f t="shared" si="132"/>
        <v>0</v>
      </c>
      <c r="X391">
        <f t="shared" si="133"/>
        <v>0</v>
      </c>
      <c r="Y391">
        <f t="shared" si="134"/>
        <v>60.35812</v>
      </c>
      <c r="Z391">
        <f t="shared" si="135"/>
        <v>0</v>
      </c>
      <c r="AA391">
        <f t="shared" si="136"/>
        <v>0</v>
      </c>
      <c r="AB391">
        <f t="shared" si="137"/>
        <v>0</v>
      </c>
      <c r="AC391">
        <f t="shared" si="138"/>
        <v>131.09671</v>
      </c>
    </row>
    <row r="392" spans="2:29">
      <c r="B392" s="5">
        <v>101</v>
      </c>
      <c r="C392" s="6">
        <v>59.490692</v>
      </c>
      <c r="D392" s="6">
        <v>125.805862</v>
      </c>
      <c r="E392">
        <v>0.15</v>
      </c>
      <c r="F392" s="5">
        <f t="shared" si="139"/>
        <v>60.5368007229342</v>
      </c>
      <c r="G392">
        <f t="shared" si="140"/>
        <v>130.326904454707</v>
      </c>
      <c r="H392">
        <f t="shared" si="141"/>
        <v>-1.15490088609594</v>
      </c>
      <c r="I392">
        <f t="shared" si="142"/>
        <v>-0.663540943037198</v>
      </c>
      <c r="J392">
        <f t="shared" si="143"/>
        <v>59.3818998368382</v>
      </c>
      <c r="K392">
        <f t="shared" si="144"/>
        <v>129.66336351167</v>
      </c>
      <c r="L392">
        <f t="shared" si="145"/>
        <v>3.34423804184323e-6</v>
      </c>
      <c r="M392">
        <f t="shared" si="146"/>
        <v>0.000940178800356499</v>
      </c>
      <c r="N392" s="47">
        <f t="shared" si="123"/>
        <v>3.34423804184323e-6</v>
      </c>
      <c r="O392">
        <f t="shared" si="124"/>
        <v>0</v>
      </c>
      <c r="P392">
        <f t="shared" si="125"/>
        <v>0</v>
      </c>
      <c r="Q392">
        <f t="shared" si="126"/>
        <v>0</v>
      </c>
      <c r="R392">
        <f t="shared" si="127"/>
        <v>0.000940178800356499</v>
      </c>
      <c r="S392">
        <f t="shared" si="128"/>
        <v>0</v>
      </c>
      <c r="T392">
        <f t="shared" si="129"/>
        <v>0</v>
      </c>
      <c r="U392" s="52">
        <f t="shared" si="130"/>
        <v>0</v>
      </c>
      <c r="V392">
        <f t="shared" si="131"/>
        <v>59.490692</v>
      </c>
      <c r="W392">
        <f t="shared" si="132"/>
        <v>0</v>
      </c>
      <c r="X392">
        <f t="shared" si="133"/>
        <v>0</v>
      </c>
      <c r="Y392">
        <f t="shared" si="134"/>
        <v>0</v>
      </c>
      <c r="Z392">
        <f t="shared" si="135"/>
        <v>125.805862</v>
      </c>
      <c r="AA392">
        <f t="shared" si="136"/>
        <v>0</v>
      </c>
      <c r="AB392">
        <f t="shared" si="137"/>
        <v>0</v>
      </c>
      <c r="AC392">
        <f t="shared" si="138"/>
        <v>0</v>
      </c>
    </row>
    <row r="393" spans="2:29">
      <c r="B393" s="5">
        <v>102</v>
      </c>
      <c r="C393" s="6">
        <v>64.680504</v>
      </c>
      <c r="D393" s="6">
        <v>132.271362</v>
      </c>
      <c r="E393">
        <v>0.25</v>
      </c>
      <c r="F393" s="5">
        <f t="shared" si="139"/>
        <v>59.9614409253204</v>
      </c>
      <c r="G393">
        <f t="shared" si="140"/>
        <v>127.840331104618</v>
      </c>
      <c r="H393">
        <f t="shared" si="141"/>
        <v>-1.0100156139754</v>
      </c>
      <c r="I393">
        <f t="shared" si="142"/>
        <v>-1.11929904480017</v>
      </c>
      <c r="J393">
        <f t="shared" si="143"/>
        <v>58.951425311345</v>
      </c>
      <c r="K393">
        <f t="shared" si="144"/>
        <v>126.721032059818</v>
      </c>
      <c r="L393">
        <f t="shared" si="145"/>
        <v>0.00784553896987177</v>
      </c>
      <c r="M393">
        <f t="shared" si="146"/>
        <v>0.00176078346068711</v>
      </c>
      <c r="N393" s="47">
        <f t="shared" si="123"/>
        <v>0</v>
      </c>
      <c r="O393">
        <f t="shared" si="124"/>
        <v>0.00784553896987177</v>
      </c>
      <c r="P393">
        <f t="shared" si="125"/>
        <v>0</v>
      </c>
      <c r="Q393">
        <f t="shared" si="126"/>
        <v>0</v>
      </c>
      <c r="R393">
        <f t="shared" si="127"/>
        <v>0</v>
      </c>
      <c r="S393">
        <f t="shared" si="128"/>
        <v>0.00176078346068711</v>
      </c>
      <c r="T393">
        <f t="shared" si="129"/>
        <v>0</v>
      </c>
      <c r="U393" s="52">
        <f t="shared" si="130"/>
        <v>0</v>
      </c>
      <c r="V393">
        <f t="shared" si="131"/>
        <v>0</v>
      </c>
      <c r="W393">
        <f t="shared" si="132"/>
        <v>64.680504</v>
      </c>
      <c r="X393">
        <f t="shared" si="133"/>
        <v>0</v>
      </c>
      <c r="Y393">
        <f t="shared" si="134"/>
        <v>0</v>
      </c>
      <c r="Z393">
        <f t="shared" si="135"/>
        <v>0</v>
      </c>
      <c r="AA393">
        <f t="shared" si="136"/>
        <v>132.271362</v>
      </c>
      <c r="AB393">
        <f t="shared" si="137"/>
        <v>0</v>
      </c>
      <c r="AC393">
        <f t="shared" si="138"/>
        <v>0</v>
      </c>
    </row>
    <row r="394" spans="2:29">
      <c r="B394" s="5">
        <v>103</v>
      </c>
      <c r="C394" s="6">
        <v>63.931355</v>
      </c>
      <c r="D394" s="6">
        <v>133.495361</v>
      </c>
      <c r="E394">
        <v>0.45</v>
      </c>
      <c r="F394" s="5">
        <f t="shared" si="139"/>
        <v>62.5569256163942</v>
      </c>
      <c r="G394">
        <f t="shared" si="140"/>
        <v>130.277398097078</v>
      </c>
      <c r="H394">
        <f t="shared" si="141"/>
        <v>0.612459523296735</v>
      </c>
      <c r="I394">
        <f t="shared" si="142"/>
        <v>0.481065671966876</v>
      </c>
      <c r="J394">
        <f t="shared" si="143"/>
        <v>63.1693851396909</v>
      </c>
      <c r="K394">
        <f t="shared" si="144"/>
        <v>130.758463769045</v>
      </c>
      <c r="L394">
        <f t="shared" si="145"/>
        <v>0.000142052135806855</v>
      </c>
      <c r="M394">
        <f t="shared" si="146"/>
        <v>0.000420324429466835</v>
      </c>
      <c r="N394" s="47">
        <f t="shared" si="123"/>
        <v>0</v>
      </c>
      <c r="O394">
        <f t="shared" si="124"/>
        <v>0</v>
      </c>
      <c r="P394">
        <f t="shared" si="125"/>
        <v>0.000142052135806855</v>
      </c>
      <c r="Q394">
        <f t="shared" si="126"/>
        <v>0</v>
      </c>
      <c r="R394">
        <f t="shared" si="127"/>
        <v>0</v>
      </c>
      <c r="S394">
        <f t="shared" si="128"/>
        <v>0</v>
      </c>
      <c r="T394">
        <f t="shared" si="129"/>
        <v>0.000420324429466835</v>
      </c>
      <c r="U394" s="52">
        <f t="shared" si="130"/>
        <v>0</v>
      </c>
      <c r="V394">
        <f t="shared" si="131"/>
        <v>0</v>
      </c>
      <c r="W394">
        <f t="shared" si="132"/>
        <v>0</v>
      </c>
      <c r="X394">
        <f t="shared" si="133"/>
        <v>63.931355</v>
      </c>
      <c r="Y394">
        <f t="shared" si="134"/>
        <v>0</v>
      </c>
      <c r="Z394">
        <f t="shared" si="135"/>
        <v>0</v>
      </c>
      <c r="AA394">
        <f t="shared" si="136"/>
        <v>0</v>
      </c>
      <c r="AB394">
        <f t="shared" si="137"/>
        <v>133.495361</v>
      </c>
      <c r="AC394">
        <f t="shared" si="138"/>
        <v>0</v>
      </c>
    </row>
    <row r="395" spans="2:29">
      <c r="B395" s="5">
        <v>104</v>
      </c>
      <c r="C395" s="6">
        <v>65.567657</v>
      </c>
      <c r="D395" s="6">
        <v>137.453644</v>
      </c>
      <c r="E395">
        <v>0.85</v>
      </c>
      <c r="F395" s="5">
        <f t="shared" si="139"/>
        <v>63.3128617773774</v>
      </c>
      <c r="G395">
        <f t="shared" si="140"/>
        <v>132.047277693685</v>
      </c>
      <c r="H395">
        <f t="shared" si="141"/>
        <v>0.734414665330239</v>
      </c>
      <c r="I395">
        <f t="shared" si="142"/>
        <v>1.57655750791094</v>
      </c>
      <c r="J395">
        <f t="shared" si="143"/>
        <v>64.0472764427076</v>
      </c>
      <c r="K395">
        <f t="shared" si="144"/>
        <v>133.623835201596</v>
      </c>
      <c r="L395">
        <f t="shared" si="145"/>
        <v>0.00053768173615027</v>
      </c>
      <c r="M395">
        <f t="shared" si="146"/>
        <v>0.00077632159916559</v>
      </c>
      <c r="N395" s="47">
        <f t="shared" si="123"/>
        <v>0</v>
      </c>
      <c r="O395">
        <f t="shared" si="124"/>
        <v>0</v>
      </c>
      <c r="P395">
        <f t="shared" si="125"/>
        <v>0</v>
      </c>
      <c r="Q395">
        <f t="shared" si="126"/>
        <v>0.00053768173615027</v>
      </c>
      <c r="R395">
        <f t="shared" si="127"/>
        <v>0</v>
      </c>
      <c r="S395">
        <f t="shared" si="128"/>
        <v>0</v>
      </c>
      <c r="T395">
        <f t="shared" si="129"/>
        <v>0</v>
      </c>
      <c r="U395" s="52">
        <f t="shared" si="130"/>
        <v>0.00077632159916559</v>
      </c>
      <c r="V395">
        <f t="shared" si="131"/>
        <v>0</v>
      </c>
      <c r="W395">
        <f t="shared" si="132"/>
        <v>0</v>
      </c>
      <c r="X395">
        <f t="shared" si="133"/>
        <v>0</v>
      </c>
      <c r="Y395">
        <f t="shared" si="134"/>
        <v>65.567657</v>
      </c>
      <c r="Z395">
        <f t="shared" si="135"/>
        <v>0</v>
      </c>
      <c r="AA395">
        <f t="shared" si="136"/>
        <v>0</v>
      </c>
      <c r="AB395">
        <f t="shared" si="137"/>
        <v>0</v>
      </c>
      <c r="AC395">
        <f t="shared" si="138"/>
        <v>137.453644</v>
      </c>
    </row>
    <row r="396" spans="2:29">
      <c r="B396" s="5">
        <v>105</v>
      </c>
      <c r="C396" s="6">
        <v>66.040802</v>
      </c>
      <c r="D396" s="6">
        <v>141.579712</v>
      </c>
      <c r="E396">
        <v>0.15</v>
      </c>
      <c r="F396" s="5">
        <f t="shared" si="139"/>
        <v>64.5529991498198</v>
      </c>
      <c r="G396">
        <f t="shared" si="140"/>
        <v>135.020779162158</v>
      </c>
      <c r="H396">
        <f t="shared" si="141"/>
        <v>0.810273071397069</v>
      </c>
      <c r="I396">
        <f t="shared" si="142"/>
        <v>1.78609910199527</v>
      </c>
      <c r="J396">
        <f t="shared" si="143"/>
        <v>65.3632722212169</v>
      </c>
      <c r="K396">
        <f t="shared" si="144"/>
        <v>136.806878264154</v>
      </c>
      <c r="L396">
        <f t="shared" si="145"/>
        <v>0.000105252422103357</v>
      </c>
      <c r="M396">
        <f t="shared" si="146"/>
        <v>0.00113645060034216</v>
      </c>
      <c r="N396" s="47">
        <f t="shared" si="123"/>
        <v>0.000105252422103357</v>
      </c>
      <c r="O396">
        <f t="shared" si="124"/>
        <v>0</v>
      </c>
      <c r="P396">
        <f t="shared" si="125"/>
        <v>0</v>
      </c>
      <c r="Q396">
        <f t="shared" si="126"/>
        <v>0</v>
      </c>
      <c r="R396">
        <f t="shared" si="127"/>
        <v>0.00113645060034216</v>
      </c>
      <c r="S396">
        <f t="shared" si="128"/>
        <v>0</v>
      </c>
      <c r="T396">
        <f t="shared" si="129"/>
        <v>0</v>
      </c>
      <c r="U396" s="52">
        <f t="shared" si="130"/>
        <v>0</v>
      </c>
      <c r="V396">
        <f t="shared" si="131"/>
        <v>66.040802</v>
      </c>
      <c r="W396">
        <f t="shared" si="132"/>
        <v>0</v>
      </c>
      <c r="X396">
        <f t="shared" si="133"/>
        <v>0</v>
      </c>
      <c r="Y396">
        <f t="shared" si="134"/>
        <v>0</v>
      </c>
      <c r="Z396">
        <f t="shared" si="135"/>
        <v>141.579712</v>
      </c>
      <c r="AA396">
        <f t="shared" si="136"/>
        <v>0</v>
      </c>
      <c r="AB396">
        <f t="shared" si="137"/>
        <v>0</v>
      </c>
      <c r="AC396">
        <f t="shared" si="138"/>
        <v>0</v>
      </c>
    </row>
    <row r="397" spans="2:29">
      <c r="B397" s="5">
        <v>106</v>
      </c>
      <c r="C397" s="6">
        <v>67.337029</v>
      </c>
      <c r="D397" s="6">
        <v>136.160538</v>
      </c>
      <c r="E397">
        <v>0.25</v>
      </c>
      <c r="F397" s="5">
        <f t="shared" si="139"/>
        <v>65.3712907174189</v>
      </c>
      <c r="G397">
        <f t="shared" si="140"/>
        <v>138.628192222971</v>
      </c>
      <c r="H397">
        <f t="shared" si="141"/>
        <v>0.812277695447577</v>
      </c>
      <c r="I397">
        <f t="shared" si="142"/>
        <v>2.24142759169968</v>
      </c>
      <c r="J397">
        <f t="shared" si="143"/>
        <v>66.1835684128665</v>
      </c>
      <c r="K397">
        <f t="shared" si="144"/>
        <v>140.869619814671</v>
      </c>
      <c r="L397">
        <f t="shared" si="145"/>
        <v>0.000293425340727307</v>
      </c>
      <c r="M397">
        <f t="shared" si="146"/>
        <v>0.00119610678578412</v>
      </c>
      <c r="N397" s="47">
        <f t="shared" si="123"/>
        <v>0</v>
      </c>
      <c r="O397">
        <f t="shared" si="124"/>
        <v>0.000293425340727307</v>
      </c>
      <c r="P397">
        <f t="shared" si="125"/>
        <v>0</v>
      </c>
      <c r="Q397">
        <f t="shared" si="126"/>
        <v>0</v>
      </c>
      <c r="R397">
        <f t="shared" si="127"/>
        <v>0</v>
      </c>
      <c r="S397">
        <f t="shared" si="128"/>
        <v>0.00119610678578412</v>
      </c>
      <c r="T397">
        <f t="shared" si="129"/>
        <v>0</v>
      </c>
      <c r="U397" s="52">
        <f t="shared" si="130"/>
        <v>0</v>
      </c>
      <c r="V397">
        <f t="shared" si="131"/>
        <v>0</v>
      </c>
      <c r="W397">
        <f t="shared" si="132"/>
        <v>67.337029</v>
      </c>
      <c r="X397">
        <f t="shared" si="133"/>
        <v>0</v>
      </c>
      <c r="Y397">
        <f t="shared" si="134"/>
        <v>0</v>
      </c>
      <c r="Z397">
        <f t="shared" si="135"/>
        <v>0</v>
      </c>
      <c r="AA397">
        <f t="shared" si="136"/>
        <v>136.160538</v>
      </c>
      <c r="AB397">
        <f t="shared" si="137"/>
        <v>0</v>
      </c>
      <c r="AC397">
        <f t="shared" si="138"/>
        <v>0</v>
      </c>
    </row>
    <row r="398" spans="2:29">
      <c r="B398" s="5">
        <v>107</v>
      </c>
      <c r="C398" s="6">
        <v>70.737755</v>
      </c>
      <c r="D398" s="6">
        <v>138.776337</v>
      </c>
      <c r="E398">
        <v>0.45</v>
      </c>
      <c r="F398" s="5">
        <f t="shared" si="139"/>
        <v>66.4524467728385</v>
      </c>
      <c r="G398">
        <f t="shared" si="140"/>
        <v>137.270982400337</v>
      </c>
      <c r="H398">
        <f t="shared" si="141"/>
        <v>0.933272957434987</v>
      </c>
      <c r="I398">
        <f t="shared" si="142"/>
        <v>0.622040755249428</v>
      </c>
      <c r="J398">
        <f t="shared" si="143"/>
        <v>67.3857197302735</v>
      </c>
      <c r="K398">
        <f t="shared" si="144"/>
        <v>137.893023155586</v>
      </c>
      <c r="L398">
        <f t="shared" si="145"/>
        <v>0.00224550803862672</v>
      </c>
      <c r="M398">
        <f t="shared" si="146"/>
        <v>4.05134506026837e-5</v>
      </c>
      <c r="N398" s="47">
        <f t="shared" si="123"/>
        <v>0</v>
      </c>
      <c r="O398">
        <f t="shared" si="124"/>
        <v>0</v>
      </c>
      <c r="P398">
        <f t="shared" si="125"/>
        <v>0.00224550803862672</v>
      </c>
      <c r="Q398">
        <f t="shared" si="126"/>
        <v>0</v>
      </c>
      <c r="R398">
        <f t="shared" si="127"/>
        <v>0</v>
      </c>
      <c r="S398">
        <f t="shared" si="128"/>
        <v>0</v>
      </c>
      <c r="T398">
        <f t="shared" si="129"/>
        <v>4.05134506026837e-5</v>
      </c>
      <c r="U398" s="52">
        <f t="shared" si="130"/>
        <v>0</v>
      </c>
      <c r="V398">
        <f t="shared" si="131"/>
        <v>0</v>
      </c>
      <c r="W398">
        <f t="shared" si="132"/>
        <v>0</v>
      </c>
      <c r="X398">
        <f t="shared" si="133"/>
        <v>70.737755</v>
      </c>
      <c r="Y398">
        <f t="shared" si="134"/>
        <v>0</v>
      </c>
      <c r="Z398">
        <f t="shared" si="135"/>
        <v>0</v>
      </c>
      <c r="AA398">
        <f t="shared" si="136"/>
        <v>0</v>
      </c>
      <c r="AB398">
        <f t="shared" si="137"/>
        <v>138.776337</v>
      </c>
      <c r="AC398">
        <f t="shared" si="138"/>
        <v>0</v>
      </c>
    </row>
    <row r="399" spans="2:29">
      <c r="B399" s="5">
        <v>108</v>
      </c>
      <c r="C399" s="6">
        <v>70.09211</v>
      </c>
      <c r="D399" s="6">
        <v>133.100525</v>
      </c>
      <c r="E399">
        <v>0.85</v>
      </c>
      <c r="F399" s="5">
        <f t="shared" si="139"/>
        <v>68.8093662977773</v>
      </c>
      <c r="G399">
        <f t="shared" si="140"/>
        <v>138.098927430152</v>
      </c>
      <c r="H399">
        <f t="shared" si="141"/>
        <v>2.14337253981324</v>
      </c>
      <c r="I399">
        <f t="shared" si="142"/>
        <v>0.797059388629848</v>
      </c>
      <c r="J399">
        <f t="shared" si="143"/>
        <v>70.9527388375906</v>
      </c>
      <c r="K399">
        <f t="shared" si="144"/>
        <v>138.895986818782</v>
      </c>
      <c r="L399">
        <f t="shared" si="145"/>
        <v>0.000150762565998225</v>
      </c>
      <c r="M399">
        <f t="shared" si="146"/>
        <v>0.00189590495219953</v>
      </c>
      <c r="N399" s="47">
        <f t="shared" si="123"/>
        <v>0</v>
      </c>
      <c r="O399">
        <f t="shared" si="124"/>
        <v>0</v>
      </c>
      <c r="P399">
        <f t="shared" si="125"/>
        <v>0</v>
      </c>
      <c r="Q399">
        <f t="shared" si="126"/>
        <v>0.000150762565998225</v>
      </c>
      <c r="R399">
        <f t="shared" si="127"/>
        <v>0</v>
      </c>
      <c r="S399">
        <f t="shared" si="128"/>
        <v>0</v>
      </c>
      <c r="T399">
        <f t="shared" si="129"/>
        <v>0</v>
      </c>
      <c r="U399" s="52">
        <f t="shared" si="130"/>
        <v>0.00189590495219953</v>
      </c>
      <c r="V399">
        <f t="shared" si="131"/>
        <v>0</v>
      </c>
      <c r="W399">
        <f t="shared" si="132"/>
        <v>0</v>
      </c>
      <c r="X399">
        <f t="shared" si="133"/>
        <v>0</v>
      </c>
      <c r="Y399">
        <f t="shared" si="134"/>
        <v>70.09211</v>
      </c>
      <c r="Z399">
        <f t="shared" si="135"/>
        <v>0</v>
      </c>
      <c r="AA399">
        <f t="shared" si="136"/>
        <v>0</v>
      </c>
      <c r="AB399">
        <f t="shared" si="137"/>
        <v>0</v>
      </c>
      <c r="AC399">
        <f t="shared" si="138"/>
        <v>133.100525</v>
      </c>
    </row>
    <row r="400" spans="2:29">
      <c r="B400" s="5">
        <v>109</v>
      </c>
      <c r="C400" s="6">
        <v>70.64904</v>
      </c>
      <c r="D400" s="6">
        <v>130.62291</v>
      </c>
      <c r="E400">
        <v>0.15</v>
      </c>
      <c r="F400" s="5">
        <f t="shared" si="139"/>
        <v>69.5148753339998</v>
      </c>
      <c r="G400">
        <f t="shared" si="140"/>
        <v>135.349806093568</v>
      </c>
      <c r="H400">
        <f t="shared" si="141"/>
        <v>1.92769301427463</v>
      </c>
      <c r="I400">
        <f t="shared" si="142"/>
        <v>0.265132279847855</v>
      </c>
      <c r="J400">
        <f t="shared" si="143"/>
        <v>71.4425683482744</v>
      </c>
      <c r="K400">
        <f t="shared" si="144"/>
        <v>135.614938373416</v>
      </c>
      <c r="L400">
        <f t="shared" si="145"/>
        <v>0.000126157293313361</v>
      </c>
      <c r="M400">
        <f t="shared" si="146"/>
        <v>0.00146054647474151</v>
      </c>
      <c r="N400" s="47">
        <f t="shared" si="123"/>
        <v>0.000126157293313361</v>
      </c>
      <c r="O400">
        <f t="shared" si="124"/>
        <v>0</v>
      </c>
      <c r="P400">
        <f t="shared" si="125"/>
        <v>0</v>
      </c>
      <c r="Q400">
        <f t="shared" si="126"/>
        <v>0</v>
      </c>
      <c r="R400">
        <f t="shared" si="127"/>
        <v>0.00146054647474151</v>
      </c>
      <c r="S400">
        <f t="shared" si="128"/>
        <v>0</v>
      </c>
      <c r="T400">
        <f t="shared" si="129"/>
        <v>0</v>
      </c>
      <c r="U400" s="52">
        <f t="shared" si="130"/>
        <v>0</v>
      </c>
      <c r="V400">
        <f t="shared" si="131"/>
        <v>70.64904</v>
      </c>
      <c r="W400">
        <f t="shared" si="132"/>
        <v>0</v>
      </c>
      <c r="X400">
        <f t="shared" si="133"/>
        <v>0</v>
      </c>
      <c r="Y400">
        <f t="shared" si="134"/>
        <v>0</v>
      </c>
      <c r="Z400">
        <f t="shared" si="135"/>
        <v>130.62291</v>
      </c>
      <c r="AA400">
        <f t="shared" si="136"/>
        <v>0</v>
      </c>
      <c r="AB400">
        <f t="shared" si="137"/>
        <v>0</v>
      </c>
      <c r="AC400">
        <f t="shared" si="138"/>
        <v>0</v>
      </c>
    </row>
    <row r="401" spans="2:29">
      <c r="B401" s="5">
        <v>110</v>
      </c>
      <c r="C401" s="6">
        <v>69.690422</v>
      </c>
      <c r="D401" s="6">
        <v>136.535645</v>
      </c>
      <c r="E401">
        <v>0.25</v>
      </c>
      <c r="F401" s="5">
        <f t="shared" si="139"/>
        <v>70.1386659002999</v>
      </c>
      <c r="G401">
        <f t="shared" si="140"/>
        <v>132.750013242106</v>
      </c>
      <c r="H401">
        <f t="shared" si="141"/>
        <v>1.601717402281</v>
      </c>
      <c r="I401">
        <f t="shared" si="142"/>
        <v>-0.451099002979747</v>
      </c>
      <c r="J401">
        <f t="shared" si="143"/>
        <v>71.7403833025809</v>
      </c>
      <c r="K401">
        <f t="shared" si="144"/>
        <v>132.298914239126</v>
      </c>
      <c r="L401">
        <f t="shared" si="145"/>
        <v>0.000865257031199787</v>
      </c>
      <c r="M401">
        <f t="shared" si="146"/>
        <v>0.000962874398106973</v>
      </c>
      <c r="N401" s="47">
        <f t="shared" si="123"/>
        <v>0</v>
      </c>
      <c r="O401">
        <f t="shared" si="124"/>
        <v>0.000865257031199787</v>
      </c>
      <c r="P401">
        <f t="shared" si="125"/>
        <v>0</v>
      </c>
      <c r="Q401">
        <f t="shared" si="126"/>
        <v>0</v>
      </c>
      <c r="R401">
        <f t="shared" si="127"/>
        <v>0</v>
      </c>
      <c r="S401">
        <f t="shared" si="128"/>
        <v>0.000962874398106973</v>
      </c>
      <c r="T401">
        <f t="shared" si="129"/>
        <v>0</v>
      </c>
      <c r="U401" s="52">
        <f t="shared" si="130"/>
        <v>0</v>
      </c>
      <c r="V401">
        <f t="shared" si="131"/>
        <v>0</v>
      </c>
      <c r="W401">
        <f t="shared" si="132"/>
        <v>69.690422</v>
      </c>
      <c r="X401">
        <f t="shared" si="133"/>
        <v>0</v>
      </c>
      <c r="Y401">
        <f t="shared" si="134"/>
        <v>0</v>
      </c>
      <c r="Z401">
        <f t="shared" si="135"/>
        <v>0</v>
      </c>
      <c r="AA401">
        <f t="shared" si="136"/>
        <v>136.535645</v>
      </c>
      <c r="AB401">
        <f t="shared" si="137"/>
        <v>0</v>
      </c>
      <c r="AC401">
        <f t="shared" si="138"/>
        <v>0</v>
      </c>
    </row>
    <row r="402" spans="2:29">
      <c r="B402" s="5">
        <v>111</v>
      </c>
      <c r="C402" s="6">
        <v>68.243881</v>
      </c>
      <c r="D402" s="6">
        <v>133.949432</v>
      </c>
      <c r="E402">
        <v>0.45</v>
      </c>
      <c r="F402" s="5">
        <f t="shared" si="139"/>
        <v>69.892131755135</v>
      </c>
      <c r="G402">
        <f t="shared" si="140"/>
        <v>134.832110708948</v>
      </c>
      <c r="H402">
        <f t="shared" si="141"/>
        <v>0.770004205930317</v>
      </c>
      <c r="I402">
        <f t="shared" si="142"/>
        <v>0.688839408439982</v>
      </c>
      <c r="J402">
        <f t="shared" si="143"/>
        <v>70.6621359610653</v>
      </c>
      <c r="K402">
        <f t="shared" si="144"/>
        <v>135.520950117388</v>
      </c>
      <c r="L402">
        <f t="shared" si="145"/>
        <v>0.00125567353440608</v>
      </c>
      <c r="M402">
        <f t="shared" si="146"/>
        <v>0.0001376439197225</v>
      </c>
      <c r="N402" s="47">
        <f t="shared" si="123"/>
        <v>0</v>
      </c>
      <c r="O402">
        <f t="shared" si="124"/>
        <v>0</v>
      </c>
      <c r="P402">
        <f t="shared" si="125"/>
        <v>0.00125567353440608</v>
      </c>
      <c r="Q402">
        <f t="shared" si="126"/>
        <v>0</v>
      </c>
      <c r="R402">
        <f t="shared" si="127"/>
        <v>0</v>
      </c>
      <c r="S402">
        <f t="shared" si="128"/>
        <v>0</v>
      </c>
      <c r="T402">
        <f t="shared" si="129"/>
        <v>0.0001376439197225</v>
      </c>
      <c r="U402" s="52">
        <f t="shared" si="130"/>
        <v>0</v>
      </c>
      <c r="V402">
        <f t="shared" si="131"/>
        <v>0</v>
      </c>
      <c r="W402">
        <f t="shared" si="132"/>
        <v>0</v>
      </c>
      <c r="X402">
        <f t="shared" si="133"/>
        <v>68.243881</v>
      </c>
      <c r="Y402">
        <f t="shared" si="134"/>
        <v>0</v>
      </c>
      <c r="Z402">
        <f t="shared" si="135"/>
        <v>0</v>
      </c>
      <c r="AA402">
        <f t="shared" si="136"/>
        <v>0</v>
      </c>
      <c r="AB402">
        <f t="shared" si="137"/>
        <v>133.949432</v>
      </c>
      <c r="AC402">
        <f t="shared" si="138"/>
        <v>0</v>
      </c>
    </row>
    <row r="403" spans="2:29">
      <c r="B403" s="5">
        <v>112</v>
      </c>
      <c r="C403" s="6">
        <v>66.134438</v>
      </c>
      <c r="D403" s="6">
        <v>130.297165</v>
      </c>
      <c r="E403">
        <v>0.85</v>
      </c>
      <c r="F403" s="5">
        <f t="shared" si="139"/>
        <v>68.9855938398107</v>
      </c>
      <c r="G403">
        <f t="shared" si="140"/>
        <v>134.346637419026</v>
      </c>
      <c r="H403">
        <f t="shared" si="141"/>
        <v>-0.655056597136041</v>
      </c>
      <c r="I403">
        <f t="shared" si="142"/>
        <v>-0.309326385167001</v>
      </c>
      <c r="J403">
        <f t="shared" si="143"/>
        <v>68.3305372426747</v>
      </c>
      <c r="K403">
        <f t="shared" si="144"/>
        <v>134.037311033859</v>
      </c>
      <c r="L403">
        <f t="shared" si="145"/>
        <v>0.00110267769487302</v>
      </c>
      <c r="M403">
        <f t="shared" si="146"/>
        <v>0.000823962005851402</v>
      </c>
      <c r="N403" s="47">
        <f t="shared" si="123"/>
        <v>0</v>
      </c>
      <c r="O403">
        <f t="shared" si="124"/>
        <v>0</v>
      </c>
      <c r="P403">
        <f t="shared" si="125"/>
        <v>0</v>
      </c>
      <c r="Q403">
        <f t="shared" si="126"/>
        <v>0.00110267769487302</v>
      </c>
      <c r="R403">
        <f t="shared" si="127"/>
        <v>0</v>
      </c>
      <c r="S403">
        <f t="shared" si="128"/>
        <v>0</v>
      </c>
      <c r="T403">
        <f t="shared" si="129"/>
        <v>0</v>
      </c>
      <c r="U403" s="52">
        <f t="shared" si="130"/>
        <v>0.000823962005851402</v>
      </c>
      <c r="V403">
        <f t="shared" si="131"/>
        <v>0</v>
      </c>
      <c r="W403">
        <f t="shared" si="132"/>
        <v>0</v>
      </c>
      <c r="X403">
        <f t="shared" si="133"/>
        <v>0</v>
      </c>
      <c r="Y403">
        <f t="shared" si="134"/>
        <v>66.134438</v>
      </c>
      <c r="Z403">
        <f t="shared" si="135"/>
        <v>0</v>
      </c>
      <c r="AA403">
        <f t="shared" si="136"/>
        <v>0</v>
      </c>
      <c r="AB403">
        <f t="shared" si="137"/>
        <v>0</v>
      </c>
      <c r="AC403">
        <f t="shared" si="138"/>
        <v>130.297165</v>
      </c>
    </row>
    <row r="404" spans="2:29">
      <c r="B404" s="5">
        <v>113</v>
      </c>
      <c r="C404" s="6">
        <v>68.039352</v>
      </c>
      <c r="D404" s="6">
        <v>131.313873</v>
      </c>
      <c r="E404">
        <v>0.15</v>
      </c>
      <c r="F404" s="5">
        <f t="shared" si="139"/>
        <v>67.4174581279148</v>
      </c>
      <c r="G404">
        <f t="shared" si="140"/>
        <v>132.119427588562</v>
      </c>
      <c r="H404">
        <f t="shared" si="141"/>
        <v>-0.792018464350018</v>
      </c>
      <c r="I404">
        <f t="shared" si="142"/>
        <v>-0.597008901961628</v>
      </c>
      <c r="J404">
        <f t="shared" si="143"/>
        <v>66.6254396635648</v>
      </c>
      <c r="K404">
        <f t="shared" si="144"/>
        <v>131.5224186866</v>
      </c>
      <c r="L404">
        <f t="shared" si="145"/>
        <v>0.000431841752724325</v>
      </c>
      <c r="M404">
        <f t="shared" si="146"/>
        <v>2.5222097600584e-6</v>
      </c>
      <c r="N404" s="47">
        <f t="shared" si="123"/>
        <v>0.000431841752724325</v>
      </c>
      <c r="O404">
        <f t="shared" si="124"/>
        <v>0</v>
      </c>
      <c r="P404">
        <f t="shared" si="125"/>
        <v>0</v>
      </c>
      <c r="Q404">
        <f t="shared" si="126"/>
        <v>0</v>
      </c>
      <c r="R404">
        <f t="shared" si="127"/>
        <v>2.5222097600584e-6</v>
      </c>
      <c r="S404">
        <f t="shared" si="128"/>
        <v>0</v>
      </c>
      <c r="T404">
        <f t="shared" si="129"/>
        <v>0</v>
      </c>
      <c r="U404" s="52">
        <f t="shared" si="130"/>
        <v>0</v>
      </c>
      <c r="V404">
        <f t="shared" si="131"/>
        <v>68.039352</v>
      </c>
      <c r="W404">
        <f t="shared" si="132"/>
        <v>0</v>
      </c>
      <c r="X404">
        <f t="shared" si="133"/>
        <v>0</v>
      </c>
      <c r="Y404">
        <f t="shared" si="134"/>
        <v>0</v>
      </c>
      <c r="Z404">
        <f t="shared" si="135"/>
        <v>131.313873</v>
      </c>
      <c r="AA404">
        <f t="shared" si="136"/>
        <v>0</v>
      </c>
      <c r="AB404">
        <f t="shared" si="137"/>
        <v>0</v>
      </c>
      <c r="AC404">
        <f t="shared" si="138"/>
        <v>0</v>
      </c>
    </row>
    <row r="405" spans="2:29">
      <c r="B405" s="5">
        <v>114</v>
      </c>
      <c r="C405" s="6">
        <v>67.775673</v>
      </c>
      <c r="D405" s="6">
        <v>132.942581</v>
      </c>
      <c r="E405">
        <v>0.25</v>
      </c>
      <c r="F405" s="5">
        <f t="shared" si="139"/>
        <v>67.7594997575617</v>
      </c>
      <c r="G405">
        <f t="shared" si="140"/>
        <v>131.676372564853</v>
      </c>
      <c r="H405">
        <f t="shared" si="141"/>
        <v>-0.508503440850803</v>
      </c>
      <c r="I405">
        <f t="shared" si="142"/>
        <v>-0.55852043239848</v>
      </c>
      <c r="J405">
        <f t="shared" si="143"/>
        <v>67.2509963167109</v>
      </c>
      <c r="K405">
        <f t="shared" si="144"/>
        <v>131.117852132454</v>
      </c>
      <c r="L405">
        <f t="shared" si="145"/>
        <v>5.99288372546631e-5</v>
      </c>
      <c r="M405">
        <f t="shared" si="146"/>
        <v>0.000188394609946133</v>
      </c>
      <c r="N405" s="47">
        <f t="shared" si="123"/>
        <v>0</v>
      </c>
      <c r="O405">
        <f t="shared" si="124"/>
        <v>5.99288372546631e-5</v>
      </c>
      <c r="P405">
        <f t="shared" si="125"/>
        <v>0</v>
      </c>
      <c r="Q405">
        <f t="shared" si="126"/>
        <v>0</v>
      </c>
      <c r="R405">
        <f t="shared" si="127"/>
        <v>0</v>
      </c>
      <c r="S405">
        <f t="shared" si="128"/>
        <v>0.000188394609946133</v>
      </c>
      <c r="T405">
        <f t="shared" si="129"/>
        <v>0</v>
      </c>
      <c r="U405" s="52">
        <f t="shared" si="130"/>
        <v>0</v>
      </c>
      <c r="V405">
        <f t="shared" si="131"/>
        <v>0</v>
      </c>
      <c r="W405">
        <f t="shared" si="132"/>
        <v>67.775673</v>
      </c>
      <c r="X405">
        <f t="shared" si="133"/>
        <v>0</v>
      </c>
      <c r="Y405">
        <f t="shared" si="134"/>
        <v>0</v>
      </c>
      <c r="Z405">
        <f t="shared" si="135"/>
        <v>0</v>
      </c>
      <c r="AA405">
        <f t="shared" si="136"/>
        <v>132.942581</v>
      </c>
      <c r="AB405">
        <f t="shared" si="137"/>
        <v>0</v>
      </c>
      <c r="AC405">
        <f t="shared" si="138"/>
        <v>0</v>
      </c>
    </row>
    <row r="406" spans="2:29">
      <c r="B406" s="5">
        <v>115</v>
      </c>
      <c r="C406" s="6">
        <v>69.732323</v>
      </c>
      <c r="D406" s="6">
        <v>133.771759</v>
      </c>
      <c r="E406">
        <v>0.45</v>
      </c>
      <c r="F406" s="5">
        <f t="shared" si="139"/>
        <v>67.7683950409028</v>
      </c>
      <c r="G406">
        <f t="shared" si="140"/>
        <v>132.372787204184</v>
      </c>
      <c r="H406">
        <f t="shared" si="141"/>
        <v>-0.275674014964458</v>
      </c>
      <c r="I406">
        <f t="shared" si="142"/>
        <v>0.00620034987975221</v>
      </c>
      <c r="J406">
        <f t="shared" si="143"/>
        <v>67.4927210259383</v>
      </c>
      <c r="K406">
        <f t="shared" si="144"/>
        <v>132.378987554064</v>
      </c>
      <c r="L406">
        <f t="shared" si="145"/>
        <v>0.00103150993909431</v>
      </c>
      <c r="M406">
        <f t="shared" si="146"/>
        <v>0.000108400387181654</v>
      </c>
      <c r="N406" s="47">
        <f t="shared" si="123"/>
        <v>0</v>
      </c>
      <c r="O406">
        <f t="shared" si="124"/>
        <v>0</v>
      </c>
      <c r="P406">
        <f t="shared" si="125"/>
        <v>0.00103150993909431</v>
      </c>
      <c r="Q406">
        <f t="shared" si="126"/>
        <v>0</v>
      </c>
      <c r="R406">
        <f t="shared" si="127"/>
        <v>0</v>
      </c>
      <c r="S406">
        <f t="shared" si="128"/>
        <v>0</v>
      </c>
      <c r="T406">
        <f t="shared" si="129"/>
        <v>0.000108400387181654</v>
      </c>
      <c r="U406" s="52">
        <f t="shared" si="130"/>
        <v>0</v>
      </c>
      <c r="V406">
        <f t="shared" si="131"/>
        <v>0</v>
      </c>
      <c r="W406">
        <f t="shared" si="132"/>
        <v>0</v>
      </c>
      <c r="X406">
        <f t="shared" si="133"/>
        <v>69.732323</v>
      </c>
      <c r="Y406">
        <f t="shared" si="134"/>
        <v>0</v>
      </c>
      <c r="Z406">
        <f t="shared" si="135"/>
        <v>0</v>
      </c>
      <c r="AA406">
        <f t="shared" si="136"/>
        <v>0</v>
      </c>
      <c r="AB406">
        <f t="shared" si="137"/>
        <v>133.771759</v>
      </c>
      <c r="AC406">
        <f t="shared" si="138"/>
        <v>0</v>
      </c>
    </row>
    <row r="407" spans="2:29">
      <c r="B407" s="5">
        <v>116</v>
      </c>
      <c r="C407" s="6">
        <v>69.781609</v>
      </c>
      <c r="D407" s="6">
        <v>138.075516</v>
      </c>
      <c r="E407">
        <v>0.85</v>
      </c>
      <c r="F407" s="5">
        <f t="shared" si="139"/>
        <v>68.8485554184062</v>
      </c>
      <c r="G407">
        <f t="shared" si="140"/>
        <v>133.142221691883</v>
      </c>
      <c r="H407">
        <f t="shared" si="141"/>
        <v>0.876785218633285</v>
      </c>
      <c r="I407">
        <f t="shared" si="142"/>
        <v>0.654949367026054</v>
      </c>
      <c r="J407">
        <f t="shared" si="143"/>
        <v>69.7253406370395</v>
      </c>
      <c r="K407">
        <f t="shared" si="144"/>
        <v>133.797171058909</v>
      </c>
      <c r="L407">
        <f t="shared" si="145"/>
        <v>6.5019945685142e-7</v>
      </c>
      <c r="M407">
        <f t="shared" si="146"/>
        <v>0.00096010392115526</v>
      </c>
      <c r="N407" s="47">
        <f t="shared" si="123"/>
        <v>0</v>
      </c>
      <c r="O407">
        <f t="shared" si="124"/>
        <v>0</v>
      </c>
      <c r="P407">
        <f t="shared" si="125"/>
        <v>0</v>
      </c>
      <c r="Q407">
        <f t="shared" si="126"/>
        <v>6.5019945685142e-7</v>
      </c>
      <c r="R407">
        <f t="shared" si="127"/>
        <v>0</v>
      </c>
      <c r="S407">
        <f t="shared" si="128"/>
        <v>0</v>
      </c>
      <c r="T407">
        <f t="shared" si="129"/>
        <v>0</v>
      </c>
      <c r="U407" s="52">
        <f t="shared" si="130"/>
        <v>0.00096010392115526</v>
      </c>
      <c r="V407">
        <f t="shared" si="131"/>
        <v>0</v>
      </c>
      <c r="W407">
        <f t="shared" si="132"/>
        <v>0</v>
      </c>
      <c r="X407">
        <f t="shared" si="133"/>
        <v>0</v>
      </c>
      <c r="Y407">
        <f t="shared" si="134"/>
        <v>69.781609</v>
      </c>
      <c r="Z407">
        <f t="shared" si="135"/>
        <v>0</v>
      </c>
      <c r="AA407">
        <f t="shared" si="136"/>
        <v>0</v>
      </c>
      <c r="AB407">
        <f t="shared" si="137"/>
        <v>0</v>
      </c>
      <c r="AC407">
        <f t="shared" si="138"/>
        <v>138.075516</v>
      </c>
    </row>
    <row r="408" spans="2:29">
      <c r="B408" s="5">
        <v>117</v>
      </c>
      <c r="C408" s="6">
        <v>68.65049</v>
      </c>
      <c r="D408" s="6">
        <v>140.91835</v>
      </c>
      <c r="E408">
        <v>0.15</v>
      </c>
      <c r="F408" s="5">
        <f t="shared" si="139"/>
        <v>69.3617348882828</v>
      </c>
      <c r="G408">
        <f t="shared" si="140"/>
        <v>135.855533561347</v>
      </c>
      <c r="H408">
        <f t="shared" si="141"/>
        <v>0.822244356319779</v>
      </c>
      <c r="I408">
        <f t="shared" si="142"/>
        <v>0.963703742391824</v>
      </c>
      <c r="J408">
        <f t="shared" si="143"/>
        <v>70.1839792446026</v>
      </c>
      <c r="K408">
        <f t="shared" si="144"/>
        <v>136.819237303739</v>
      </c>
      <c r="L408">
        <f t="shared" si="145"/>
        <v>0.000498969713798173</v>
      </c>
      <c r="M408">
        <f t="shared" si="146"/>
        <v>0.000846144660242525</v>
      </c>
      <c r="N408" s="47">
        <f t="shared" si="123"/>
        <v>0.000498969713798173</v>
      </c>
      <c r="O408">
        <f t="shared" si="124"/>
        <v>0</v>
      </c>
      <c r="P408">
        <f t="shared" si="125"/>
        <v>0</v>
      </c>
      <c r="Q408">
        <f t="shared" si="126"/>
        <v>0</v>
      </c>
      <c r="R408">
        <f t="shared" si="127"/>
        <v>0.000846144660242525</v>
      </c>
      <c r="S408">
        <f t="shared" si="128"/>
        <v>0</v>
      </c>
      <c r="T408">
        <f t="shared" si="129"/>
        <v>0</v>
      </c>
      <c r="U408" s="52">
        <f t="shared" si="130"/>
        <v>0</v>
      </c>
      <c r="V408">
        <f t="shared" si="131"/>
        <v>68.65049</v>
      </c>
      <c r="W408">
        <f t="shared" si="132"/>
        <v>0</v>
      </c>
      <c r="X408">
        <f t="shared" si="133"/>
        <v>0</v>
      </c>
      <c r="Y408">
        <f t="shared" si="134"/>
        <v>0</v>
      </c>
      <c r="Z408">
        <f t="shared" si="135"/>
        <v>140.91835</v>
      </c>
      <c r="AA408">
        <f t="shared" si="136"/>
        <v>0</v>
      </c>
      <c r="AB408">
        <f t="shared" si="137"/>
        <v>0</v>
      </c>
      <c r="AC408">
        <f t="shared" si="138"/>
        <v>0</v>
      </c>
    </row>
    <row r="409" spans="2:29">
      <c r="B409" s="5">
        <v>118</v>
      </c>
      <c r="C409" s="6">
        <v>70.905334</v>
      </c>
      <c r="D409" s="6">
        <v>144.274506</v>
      </c>
      <c r="E409">
        <v>0.25</v>
      </c>
      <c r="F409" s="5">
        <f t="shared" si="139"/>
        <v>68.9705501997273</v>
      </c>
      <c r="G409">
        <f t="shared" si="140"/>
        <v>138.640082602606</v>
      </c>
      <c r="H409">
        <f t="shared" si="141"/>
        <v>0.518887095100949</v>
      </c>
      <c r="I409">
        <f t="shared" si="142"/>
        <v>1.41891506710862</v>
      </c>
      <c r="J409">
        <f t="shared" si="143"/>
        <v>69.4894372948282</v>
      </c>
      <c r="K409">
        <f t="shared" si="144"/>
        <v>140.058997669715</v>
      </c>
      <c r="L409">
        <f t="shared" si="145"/>
        <v>0.000398754252921011</v>
      </c>
      <c r="M409">
        <f t="shared" si="146"/>
        <v>0.000853730332306151</v>
      </c>
      <c r="N409" s="47">
        <f t="shared" si="123"/>
        <v>0</v>
      </c>
      <c r="O409">
        <f t="shared" si="124"/>
        <v>0.000398754252921011</v>
      </c>
      <c r="P409">
        <f t="shared" si="125"/>
        <v>0</v>
      </c>
      <c r="Q409">
        <f t="shared" si="126"/>
        <v>0</v>
      </c>
      <c r="R409">
        <f t="shared" si="127"/>
        <v>0</v>
      </c>
      <c r="S409">
        <f t="shared" si="128"/>
        <v>0.000853730332306151</v>
      </c>
      <c r="T409">
        <f t="shared" si="129"/>
        <v>0</v>
      </c>
      <c r="U409" s="52">
        <f t="shared" si="130"/>
        <v>0</v>
      </c>
      <c r="V409">
        <f t="shared" si="131"/>
        <v>0</v>
      </c>
      <c r="W409">
        <f t="shared" si="132"/>
        <v>70.905334</v>
      </c>
      <c r="X409">
        <f t="shared" si="133"/>
        <v>0</v>
      </c>
      <c r="Y409">
        <f t="shared" si="134"/>
        <v>0</v>
      </c>
      <c r="Z409">
        <f t="shared" si="135"/>
        <v>0</v>
      </c>
      <c r="AA409">
        <f t="shared" si="136"/>
        <v>144.274506</v>
      </c>
      <c r="AB409">
        <f t="shared" si="137"/>
        <v>0</v>
      </c>
      <c r="AC409">
        <f t="shared" si="138"/>
        <v>0</v>
      </c>
    </row>
    <row r="410" spans="2:29">
      <c r="B410" s="5">
        <v>119</v>
      </c>
      <c r="C410" s="6">
        <v>72.401154</v>
      </c>
      <c r="D410" s="6">
        <v>140.069443</v>
      </c>
      <c r="E410">
        <v>0.45</v>
      </c>
      <c r="F410" s="5">
        <f t="shared" si="139"/>
        <v>70.0346812898773</v>
      </c>
      <c r="G410">
        <f t="shared" si="140"/>
        <v>141.739015471173</v>
      </c>
      <c r="H410">
        <f t="shared" si="141"/>
        <v>0.764246892873021</v>
      </c>
      <c r="I410">
        <f t="shared" si="142"/>
        <v>2.1749230777647</v>
      </c>
      <c r="J410">
        <f t="shared" si="143"/>
        <v>70.7989281827503</v>
      </c>
      <c r="K410">
        <f t="shared" si="144"/>
        <v>143.913938548938</v>
      </c>
      <c r="L410">
        <f t="shared" si="145"/>
        <v>0.000489729734929188</v>
      </c>
      <c r="M410">
        <f t="shared" si="146"/>
        <v>0.000753341550494752</v>
      </c>
      <c r="N410" s="47">
        <f t="shared" si="123"/>
        <v>0</v>
      </c>
      <c r="O410">
        <f t="shared" si="124"/>
        <v>0</v>
      </c>
      <c r="P410">
        <f t="shared" si="125"/>
        <v>0.000489729734929188</v>
      </c>
      <c r="Q410">
        <f t="shared" si="126"/>
        <v>0</v>
      </c>
      <c r="R410">
        <f t="shared" si="127"/>
        <v>0</v>
      </c>
      <c r="S410">
        <f t="shared" si="128"/>
        <v>0</v>
      </c>
      <c r="T410">
        <f t="shared" si="129"/>
        <v>0.000753341550494752</v>
      </c>
      <c r="U410" s="52">
        <f t="shared" si="130"/>
        <v>0</v>
      </c>
      <c r="V410">
        <f t="shared" si="131"/>
        <v>0</v>
      </c>
      <c r="W410">
        <f t="shared" si="132"/>
        <v>0</v>
      </c>
      <c r="X410">
        <f t="shared" si="133"/>
        <v>72.401154</v>
      </c>
      <c r="Y410">
        <f t="shared" si="134"/>
        <v>0</v>
      </c>
      <c r="Z410">
        <f t="shared" si="135"/>
        <v>0</v>
      </c>
      <c r="AA410">
        <f t="shared" si="136"/>
        <v>0</v>
      </c>
      <c r="AB410">
        <f t="shared" si="137"/>
        <v>140.069443</v>
      </c>
      <c r="AC410">
        <f t="shared" si="138"/>
        <v>0</v>
      </c>
    </row>
    <row r="411" spans="2:29">
      <c r="B411" s="5">
        <v>120</v>
      </c>
      <c r="C411" s="6">
        <v>71.235542</v>
      </c>
      <c r="D411" s="6">
        <v>135.479431</v>
      </c>
      <c r="E411">
        <v>0.85</v>
      </c>
      <c r="F411" s="5">
        <f t="shared" si="139"/>
        <v>71.3362412804448</v>
      </c>
      <c r="G411">
        <f t="shared" si="140"/>
        <v>140.820750612028</v>
      </c>
      <c r="H411">
        <f t="shared" si="141"/>
        <v>1.22096302591333</v>
      </c>
      <c r="I411">
        <f t="shared" si="142"/>
        <v>-0.454286668608579</v>
      </c>
      <c r="J411">
        <f t="shared" si="143"/>
        <v>72.5572043063581</v>
      </c>
      <c r="K411">
        <f t="shared" si="144"/>
        <v>140.366463943419</v>
      </c>
      <c r="L411">
        <f t="shared" si="145"/>
        <v>0.000344229069019672</v>
      </c>
      <c r="M411">
        <f t="shared" si="146"/>
        <v>0.00130119925290356</v>
      </c>
      <c r="N411" s="47">
        <f t="shared" si="123"/>
        <v>0</v>
      </c>
      <c r="O411">
        <f t="shared" si="124"/>
        <v>0</v>
      </c>
      <c r="P411">
        <f t="shared" si="125"/>
        <v>0</v>
      </c>
      <c r="Q411">
        <f t="shared" si="126"/>
        <v>0.000344229069019672</v>
      </c>
      <c r="R411">
        <f t="shared" si="127"/>
        <v>0</v>
      </c>
      <c r="S411">
        <f t="shared" si="128"/>
        <v>0</v>
      </c>
      <c r="T411">
        <f t="shared" si="129"/>
        <v>0</v>
      </c>
      <c r="U411" s="52">
        <f t="shared" si="130"/>
        <v>0.00130119925290356</v>
      </c>
      <c r="V411">
        <f t="shared" si="131"/>
        <v>0</v>
      </c>
      <c r="W411">
        <f t="shared" si="132"/>
        <v>0</v>
      </c>
      <c r="X411">
        <f t="shared" si="133"/>
        <v>0</v>
      </c>
      <c r="Y411">
        <f t="shared" si="134"/>
        <v>71.235542</v>
      </c>
      <c r="Z411">
        <f t="shared" si="135"/>
        <v>0</v>
      </c>
      <c r="AA411">
        <f t="shared" si="136"/>
        <v>0</v>
      </c>
      <c r="AB411">
        <f t="shared" si="137"/>
        <v>0</v>
      </c>
      <c r="AC411">
        <f t="shared" si="138"/>
        <v>135.479431</v>
      </c>
    </row>
    <row r="412" spans="2:29">
      <c r="B412" s="5">
        <v>121</v>
      </c>
      <c r="C412" s="6">
        <v>72.243446</v>
      </c>
      <c r="D412" s="6">
        <v>133.455887</v>
      </c>
      <c r="E412">
        <v>0.15</v>
      </c>
      <c r="F412" s="5">
        <f t="shared" si="139"/>
        <v>71.2808566762001</v>
      </c>
      <c r="G412">
        <f t="shared" si="140"/>
        <v>137.883024825413</v>
      </c>
      <c r="H412">
        <f t="shared" si="141"/>
        <v>1.02951088138963</v>
      </c>
      <c r="I412">
        <f t="shared" si="142"/>
        <v>-0.826802536309581</v>
      </c>
      <c r="J412">
        <f t="shared" si="143"/>
        <v>72.3103675575898</v>
      </c>
      <c r="K412">
        <f t="shared" si="144"/>
        <v>137.056222289103</v>
      </c>
      <c r="L412">
        <f t="shared" si="145"/>
        <v>8.58094609873646e-7</v>
      </c>
      <c r="M412">
        <f t="shared" si="146"/>
        <v>0.000727797270176298</v>
      </c>
      <c r="N412" s="47">
        <f t="shared" si="123"/>
        <v>8.58094609873646e-7</v>
      </c>
      <c r="O412">
        <f t="shared" si="124"/>
        <v>0</v>
      </c>
      <c r="P412">
        <f t="shared" si="125"/>
        <v>0</v>
      </c>
      <c r="Q412">
        <f t="shared" si="126"/>
        <v>0</v>
      </c>
      <c r="R412">
        <f t="shared" si="127"/>
        <v>0.000727797270176298</v>
      </c>
      <c r="S412">
        <f t="shared" si="128"/>
        <v>0</v>
      </c>
      <c r="T412">
        <f t="shared" si="129"/>
        <v>0</v>
      </c>
      <c r="U412" s="52">
        <f t="shared" si="130"/>
        <v>0</v>
      </c>
      <c r="V412">
        <f t="shared" si="131"/>
        <v>72.243446</v>
      </c>
      <c r="W412">
        <f t="shared" si="132"/>
        <v>0</v>
      </c>
      <c r="X412">
        <f t="shared" si="133"/>
        <v>0</v>
      </c>
      <c r="Y412">
        <f t="shared" si="134"/>
        <v>0</v>
      </c>
      <c r="Z412">
        <f t="shared" si="135"/>
        <v>133.455887</v>
      </c>
      <c r="AA412">
        <f t="shared" si="136"/>
        <v>0</v>
      </c>
      <c r="AB412">
        <f t="shared" si="137"/>
        <v>0</v>
      </c>
      <c r="AC412">
        <f t="shared" si="138"/>
        <v>0</v>
      </c>
    </row>
    <row r="413" spans="2:29">
      <c r="B413" s="5">
        <v>122</v>
      </c>
      <c r="C413" s="6">
        <v>73.327736</v>
      </c>
      <c r="D413" s="6">
        <v>133.130142</v>
      </c>
      <c r="E413">
        <v>0.25</v>
      </c>
      <c r="F413" s="5">
        <f t="shared" si="139"/>
        <v>71.8102808042901</v>
      </c>
      <c r="G413">
        <f t="shared" si="140"/>
        <v>135.448099021436</v>
      </c>
      <c r="H413">
        <f t="shared" si="141"/>
        <v>0.90448919306471</v>
      </c>
      <c r="I413">
        <f t="shared" si="142"/>
        <v>-1.22883335322641</v>
      </c>
      <c r="J413">
        <f t="shared" si="143"/>
        <v>72.7147699973548</v>
      </c>
      <c r="K413">
        <f t="shared" si="144"/>
        <v>134.219265668209</v>
      </c>
      <c r="L413">
        <f t="shared" si="145"/>
        <v>6.98773171703872e-5</v>
      </c>
      <c r="M413">
        <f t="shared" si="146"/>
        <v>6.69270374916449e-5</v>
      </c>
      <c r="N413" s="47">
        <f t="shared" si="123"/>
        <v>0</v>
      </c>
      <c r="O413">
        <f t="shared" si="124"/>
        <v>6.98773171703872e-5</v>
      </c>
      <c r="P413">
        <f t="shared" si="125"/>
        <v>0</v>
      </c>
      <c r="Q413">
        <f t="shared" si="126"/>
        <v>0</v>
      </c>
      <c r="R413">
        <f t="shared" si="127"/>
        <v>0</v>
      </c>
      <c r="S413">
        <f t="shared" si="128"/>
        <v>6.69270374916449e-5</v>
      </c>
      <c r="T413">
        <f t="shared" si="129"/>
        <v>0</v>
      </c>
      <c r="U413" s="52">
        <f t="shared" si="130"/>
        <v>0</v>
      </c>
      <c r="V413">
        <f t="shared" si="131"/>
        <v>0</v>
      </c>
      <c r="W413">
        <f t="shared" si="132"/>
        <v>73.327736</v>
      </c>
      <c r="X413">
        <f t="shared" si="133"/>
        <v>0</v>
      </c>
      <c r="Y413">
        <f t="shared" si="134"/>
        <v>0</v>
      </c>
      <c r="Z413">
        <f t="shared" si="135"/>
        <v>0</v>
      </c>
      <c r="AA413">
        <f t="shared" si="136"/>
        <v>133.130142</v>
      </c>
      <c r="AB413">
        <f t="shared" si="137"/>
        <v>0</v>
      </c>
      <c r="AC413">
        <f t="shared" si="138"/>
        <v>0</v>
      </c>
    </row>
    <row r="414" spans="2:29">
      <c r="B414" s="5">
        <v>123</v>
      </c>
      <c r="C414" s="6">
        <v>74.084282</v>
      </c>
      <c r="D414" s="6">
        <v>131.323746</v>
      </c>
      <c r="E414">
        <v>0.45</v>
      </c>
      <c r="F414" s="5">
        <f t="shared" si="139"/>
        <v>72.6448811619305</v>
      </c>
      <c r="G414">
        <f t="shared" si="140"/>
        <v>134.173222659646</v>
      </c>
      <c r="H414">
        <f t="shared" si="141"/>
        <v>0.873039217123795</v>
      </c>
      <c r="I414">
        <f t="shared" si="142"/>
        <v>-1.24955270707984</v>
      </c>
      <c r="J414">
        <f t="shared" si="143"/>
        <v>73.5179203790543</v>
      </c>
      <c r="K414">
        <f t="shared" si="144"/>
        <v>132.923669952566</v>
      </c>
      <c r="L414">
        <f t="shared" si="145"/>
        <v>5.84434008358576e-5</v>
      </c>
      <c r="M414">
        <f t="shared" si="146"/>
        <v>0.000148426742344174</v>
      </c>
      <c r="N414" s="47">
        <f t="shared" si="123"/>
        <v>0</v>
      </c>
      <c r="O414">
        <f t="shared" si="124"/>
        <v>0</v>
      </c>
      <c r="P414">
        <f t="shared" si="125"/>
        <v>5.84434008358576e-5</v>
      </c>
      <c r="Q414">
        <f t="shared" si="126"/>
        <v>0</v>
      </c>
      <c r="R414">
        <f t="shared" si="127"/>
        <v>0</v>
      </c>
      <c r="S414">
        <f t="shared" si="128"/>
        <v>0</v>
      </c>
      <c r="T414">
        <f t="shared" si="129"/>
        <v>0.000148426742344174</v>
      </c>
      <c r="U414" s="52">
        <f t="shared" si="130"/>
        <v>0</v>
      </c>
      <c r="V414">
        <f t="shared" si="131"/>
        <v>0</v>
      </c>
      <c r="W414">
        <f t="shared" si="132"/>
        <v>0</v>
      </c>
      <c r="X414">
        <f t="shared" si="133"/>
        <v>74.084282</v>
      </c>
      <c r="Y414">
        <f t="shared" si="134"/>
        <v>0</v>
      </c>
      <c r="Z414">
        <f t="shared" si="135"/>
        <v>0</v>
      </c>
      <c r="AA414">
        <f t="shared" si="136"/>
        <v>0</v>
      </c>
      <c r="AB414">
        <f t="shared" si="137"/>
        <v>131.323746</v>
      </c>
      <c r="AC414">
        <f t="shared" si="138"/>
        <v>0</v>
      </c>
    </row>
    <row r="415" spans="2:29">
      <c r="B415" s="5">
        <v>124</v>
      </c>
      <c r="C415" s="6">
        <v>74.85067</v>
      </c>
      <c r="D415" s="6">
        <v>131.076965</v>
      </c>
      <c r="E415">
        <v>0.85</v>
      </c>
      <c r="F415" s="5">
        <f t="shared" si="139"/>
        <v>73.4365516228687</v>
      </c>
      <c r="G415">
        <f t="shared" si="140"/>
        <v>132.606010496841</v>
      </c>
      <c r="H415">
        <f t="shared" si="141"/>
        <v>0.803875774366045</v>
      </c>
      <c r="I415">
        <f t="shared" si="142"/>
        <v>-1.51956324444648</v>
      </c>
      <c r="J415">
        <f t="shared" si="143"/>
        <v>74.2404273972348</v>
      </c>
      <c r="K415">
        <f t="shared" si="144"/>
        <v>131.086447252394</v>
      </c>
      <c r="L415">
        <f t="shared" si="145"/>
        <v>6.64681609952914e-5</v>
      </c>
      <c r="M415">
        <f t="shared" si="146"/>
        <v>5.23323536896265e-9</v>
      </c>
      <c r="N415" s="47">
        <f t="shared" si="123"/>
        <v>0</v>
      </c>
      <c r="O415">
        <f t="shared" si="124"/>
        <v>0</v>
      </c>
      <c r="P415">
        <f t="shared" si="125"/>
        <v>0</v>
      </c>
      <c r="Q415">
        <f t="shared" si="126"/>
        <v>6.64681609952914e-5</v>
      </c>
      <c r="R415">
        <f t="shared" si="127"/>
        <v>0</v>
      </c>
      <c r="S415">
        <f t="shared" si="128"/>
        <v>0</v>
      </c>
      <c r="T415">
        <f t="shared" si="129"/>
        <v>0</v>
      </c>
      <c r="U415" s="52">
        <f t="shared" si="130"/>
        <v>5.23323536896265e-9</v>
      </c>
      <c r="V415">
        <f t="shared" si="131"/>
        <v>0</v>
      </c>
      <c r="W415">
        <f t="shared" si="132"/>
        <v>0</v>
      </c>
      <c r="X415">
        <f t="shared" si="133"/>
        <v>0</v>
      </c>
      <c r="Y415">
        <f t="shared" si="134"/>
        <v>74.85067</v>
      </c>
      <c r="Z415">
        <f t="shared" si="135"/>
        <v>0</v>
      </c>
      <c r="AA415">
        <f t="shared" si="136"/>
        <v>0</v>
      </c>
      <c r="AB415">
        <f t="shared" si="137"/>
        <v>0</v>
      </c>
      <c r="AC415">
        <f t="shared" si="138"/>
        <v>131.076965</v>
      </c>
    </row>
    <row r="416" spans="2:29">
      <c r="B416" s="5">
        <v>125</v>
      </c>
      <c r="C416" s="6">
        <v>77.259674</v>
      </c>
      <c r="D416" s="6">
        <v>135.143829</v>
      </c>
      <c r="E416">
        <v>0.15</v>
      </c>
      <c r="F416" s="5">
        <f t="shared" si="139"/>
        <v>74.2143167302909</v>
      </c>
      <c r="G416">
        <f t="shared" si="140"/>
        <v>131.765035473578</v>
      </c>
      <c r="H416">
        <f t="shared" si="141"/>
        <v>0.799959174324468</v>
      </c>
      <c r="I416">
        <f t="shared" si="142"/>
        <v>-1.41777501126887</v>
      </c>
      <c r="J416">
        <f t="shared" si="143"/>
        <v>75.0142759046154</v>
      </c>
      <c r="K416">
        <f t="shared" si="144"/>
        <v>130.347260462309</v>
      </c>
      <c r="L416">
        <f t="shared" si="145"/>
        <v>0.000844658111887499</v>
      </c>
      <c r="M416">
        <f t="shared" si="146"/>
        <v>0.00125970504833048</v>
      </c>
      <c r="N416" s="47">
        <f t="shared" si="123"/>
        <v>0.000844658111887499</v>
      </c>
      <c r="O416">
        <f t="shared" si="124"/>
        <v>0</v>
      </c>
      <c r="P416">
        <f t="shared" si="125"/>
        <v>0</v>
      </c>
      <c r="Q416">
        <f t="shared" si="126"/>
        <v>0</v>
      </c>
      <c r="R416">
        <f t="shared" si="127"/>
        <v>0.00125970504833048</v>
      </c>
      <c r="S416">
        <f t="shared" si="128"/>
        <v>0</v>
      </c>
      <c r="T416">
        <f t="shared" si="129"/>
        <v>0</v>
      </c>
      <c r="U416" s="52">
        <f t="shared" si="130"/>
        <v>0</v>
      </c>
      <c r="V416">
        <f t="shared" si="131"/>
        <v>77.259674</v>
      </c>
      <c r="W416">
        <f t="shared" si="132"/>
        <v>0</v>
      </c>
      <c r="X416">
        <f t="shared" si="133"/>
        <v>0</v>
      </c>
      <c r="Y416">
        <f t="shared" si="134"/>
        <v>0</v>
      </c>
      <c r="Z416">
        <f t="shared" si="135"/>
        <v>135.143829</v>
      </c>
      <c r="AA416">
        <f t="shared" si="136"/>
        <v>0</v>
      </c>
      <c r="AB416">
        <f t="shared" si="137"/>
        <v>0</v>
      </c>
      <c r="AC416">
        <f t="shared" si="138"/>
        <v>0</v>
      </c>
    </row>
    <row r="417" spans="2:29">
      <c r="B417" s="5">
        <v>126</v>
      </c>
      <c r="C417" s="6">
        <v>78.475372</v>
      </c>
      <c r="D417" s="6">
        <v>132.54776</v>
      </c>
      <c r="E417">
        <v>0.25</v>
      </c>
      <c r="F417" s="5">
        <f t="shared" si="139"/>
        <v>75.8892632286309</v>
      </c>
      <c r="G417">
        <f t="shared" si="140"/>
        <v>133.62337191311</v>
      </c>
      <c r="H417">
        <f t="shared" si="141"/>
        <v>1.01870600532835</v>
      </c>
      <c r="I417">
        <f t="shared" si="142"/>
        <v>-0.598747148568675</v>
      </c>
      <c r="J417">
        <f t="shared" si="143"/>
        <v>76.9079692339592</v>
      </c>
      <c r="K417">
        <f t="shared" si="144"/>
        <v>133.024624764542</v>
      </c>
      <c r="L417">
        <f t="shared" si="145"/>
        <v>0.000398927937392036</v>
      </c>
      <c r="M417">
        <f t="shared" si="146"/>
        <v>1.294331980375e-5</v>
      </c>
      <c r="N417" s="47">
        <f t="shared" ref="N417:N453" si="147">IF(E417=0.15,L417,0)</f>
        <v>0</v>
      </c>
      <c r="O417">
        <f t="shared" ref="O417:O453" si="148">IF(E417=0.25,L417,0)</f>
        <v>0.000398927937392036</v>
      </c>
      <c r="P417">
        <f t="shared" ref="P417:P453" si="149">IF(E417=0.45,L417,0)</f>
        <v>0</v>
      </c>
      <c r="Q417">
        <f t="shared" ref="Q417:Q453" si="150">IF(E417=0.85,L417,0)</f>
        <v>0</v>
      </c>
      <c r="R417">
        <f t="shared" ref="R417:R453" si="151">IF(E417=0.15,M417,0)</f>
        <v>0</v>
      </c>
      <c r="S417">
        <f t="shared" ref="S417:S453" si="152">IF(E417=0.25,M417,0)</f>
        <v>1.294331980375e-5</v>
      </c>
      <c r="T417">
        <f t="shared" ref="T417:T453" si="153">IF(E417=0.45,M417,0)</f>
        <v>0</v>
      </c>
      <c r="U417" s="52">
        <f t="shared" ref="U417:U453" si="154">IF(E417=0.85,M417,0)</f>
        <v>0</v>
      </c>
      <c r="V417">
        <f t="shared" ref="V417:V453" si="155">IF(E417=0.15,C417,0)</f>
        <v>0</v>
      </c>
      <c r="W417">
        <f t="shared" ref="W417:W453" si="156">IF(E417=0.25,C417,0)</f>
        <v>78.475372</v>
      </c>
      <c r="X417">
        <f t="shared" ref="X417:X453" si="157">IF(E417=0.45,C417,0)</f>
        <v>0</v>
      </c>
      <c r="Y417">
        <f t="shared" ref="Y417:Y453" si="158">IF(E417=0.85,C417,0)</f>
        <v>0</v>
      </c>
      <c r="Z417">
        <f t="shared" ref="Z417:Z453" si="159">IF(E417=0.15,D417,0)</f>
        <v>0</v>
      </c>
      <c r="AA417">
        <f t="shared" ref="AA417:AA453" si="160">IF(E417=0.25,D417,0)</f>
        <v>132.54776</v>
      </c>
      <c r="AB417">
        <f t="shared" ref="AB417:AB453" si="161">IF(E417=0.45,D417,0)</f>
        <v>0</v>
      </c>
      <c r="AC417">
        <f t="shared" ref="AC417:AC453" si="162">IF(E417=0.85,D417,0)</f>
        <v>0</v>
      </c>
    </row>
    <row r="418" spans="2:29">
      <c r="B418" s="5">
        <v>127</v>
      </c>
      <c r="C418" s="6">
        <v>77.578537</v>
      </c>
      <c r="D418" s="6">
        <v>125.944046</v>
      </c>
      <c r="E418">
        <v>0.45</v>
      </c>
      <c r="F418" s="5">
        <f t="shared" si="139"/>
        <v>77.3116230528839</v>
      </c>
      <c r="G418">
        <f t="shared" si="140"/>
        <v>133.0317853609</v>
      </c>
      <c r="H418">
        <f t="shared" si="141"/>
        <v>1.20035022384444</v>
      </c>
      <c r="I418">
        <f t="shared" si="142"/>
        <v>-0.595524880207554</v>
      </c>
      <c r="J418">
        <f t="shared" si="143"/>
        <v>78.5119732767283</v>
      </c>
      <c r="K418">
        <f t="shared" si="144"/>
        <v>132.436260480692</v>
      </c>
      <c r="L418">
        <f t="shared" si="145"/>
        <v>0.000144772535218144</v>
      </c>
      <c r="M418">
        <f t="shared" si="146"/>
        <v>0.00265723788625872</v>
      </c>
      <c r="N418" s="47">
        <f t="shared" si="147"/>
        <v>0</v>
      </c>
      <c r="O418">
        <f t="shared" si="148"/>
        <v>0</v>
      </c>
      <c r="P418">
        <f t="shared" si="149"/>
        <v>0.000144772535218144</v>
      </c>
      <c r="Q418">
        <f t="shared" si="150"/>
        <v>0</v>
      </c>
      <c r="R418">
        <f t="shared" si="151"/>
        <v>0</v>
      </c>
      <c r="S418">
        <f t="shared" si="152"/>
        <v>0</v>
      </c>
      <c r="T418">
        <f t="shared" si="153"/>
        <v>0.00265723788625872</v>
      </c>
      <c r="U418" s="52">
        <f t="shared" si="154"/>
        <v>0</v>
      </c>
      <c r="V418">
        <f t="shared" si="155"/>
        <v>0</v>
      </c>
      <c r="W418">
        <f t="shared" si="156"/>
        <v>0</v>
      </c>
      <c r="X418">
        <f t="shared" si="157"/>
        <v>77.578537</v>
      </c>
      <c r="Y418">
        <f t="shared" si="158"/>
        <v>0</v>
      </c>
      <c r="Z418">
        <f t="shared" si="159"/>
        <v>0</v>
      </c>
      <c r="AA418">
        <f t="shared" si="160"/>
        <v>0</v>
      </c>
      <c r="AB418">
        <f t="shared" si="161"/>
        <v>125.944046</v>
      </c>
      <c r="AC418">
        <f t="shared" si="162"/>
        <v>0</v>
      </c>
    </row>
    <row r="419" spans="2:29">
      <c r="B419" s="5">
        <v>128</v>
      </c>
      <c r="C419" s="6">
        <v>76.641853</v>
      </c>
      <c r="D419" s="6">
        <v>121.383652</v>
      </c>
      <c r="E419">
        <v>0.85</v>
      </c>
      <c r="F419" s="5">
        <f t="shared" si="139"/>
        <v>77.4584257237978</v>
      </c>
      <c r="G419">
        <f t="shared" si="140"/>
        <v>129.133528712405</v>
      </c>
      <c r="H419">
        <f t="shared" si="141"/>
        <v>0.304834803853444</v>
      </c>
      <c r="I419">
        <f t="shared" si="142"/>
        <v>-3.40284688325171</v>
      </c>
      <c r="J419">
        <f t="shared" si="143"/>
        <v>77.7632605276512</v>
      </c>
      <c r="K419">
        <f t="shared" si="144"/>
        <v>125.730681829153</v>
      </c>
      <c r="L419">
        <f t="shared" si="145"/>
        <v>0.000214089289808424</v>
      </c>
      <c r="M419">
        <f t="shared" si="146"/>
        <v>0.00128252205192458</v>
      </c>
      <c r="N419" s="47">
        <f t="shared" si="147"/>
        <v>0</v>
      </c>
      <c r="O419">
        <f t="shared" si="148"/>
        <v>0</v>
      </c>
      <c r="P419">
        <f t="shared" si="149"/>
        <v>0</v>
      </c>
      <c r="Q419">
        <f t="shared" si="150"/>
        <v>0.000214089289808424</v>
      </c>
      <c r="R419">
        <f t="shared" si="151"/>
        <v>0</v>
      </c>
      <c r="S419">
        <f t="shared" si="152"/>
        <v>0</v>
      </c>
      <c r="T419">
        <f t="shared" si="153"/>
        <v>0</v>
      </c>
      <c r="U419" s="52">
        <f t="shared" si="154"/>
        <v>0.00128252205192458</v>
      </c>
      <c r="V419">
        <f t="shared" si="155"/>
        <v>0</v>
      </c>
      <c r="W419">
        <f t="shared" si="156"/>
        <v>0</v>
      </c>
      <c r="X419">
        <f t="shared" si="157"/>
        <v>0</v>
      </c>
      <c r="Y419">
        <f t="shared" si="158"/>
        <v>76.641853</v>
      </c>
      <c r="Z419">
        <f t="shared" si="159"/>
        <v>0</v>
      </c>
      <c r="AA419">
        <f t="shared" si="160"/>
        <v>0</v>
      </c>
      <c r="AB419">
        <f t="shared" si="161"/>
        <v>0</v>
      </c>
      <c r="AC419">
        <f t="shared" si="162"/>
        <v>121.383652</v>
      </c>
    </row>
    <row r="420" spans="2:29">
      <c r="B420" s="5">
        <v>129</v>
      </c>
      <c r="C420" s="6">
        <v>77.112686</v>
      </c>
      <c r="D420" s="6">
        <v>126.335655</v>
      </c>
      <c r="E420">
        <v>0.15</v>
      </c>
      <c r="F420" s="5">
        <f t="shared" si="139"/>
        <v>77.009310725709</v>
      </c>
      <c r="G420">
        <f t="shared" si="140"/>
        <v>124.871096520582</v>
      </c>
      <c r="H420">
        <f t="shared" si="141"/>
        <v>0.191742333562111</v>
      </c>
      <c r="I420">
        <f t="shared" si="142"/>
        <v>-3.53178467953735</v>
      </c>
      <c r="J420">
        <f t="shared" si="143"/>
        <v>77.2010530592711</v>
      </c>
      <c r="K420">
        <f t="shared" si="144"/>
        <v>121.339311841045</v>
      </c>
      <c r="L420">
        <f t="shared" si="145"/>
        <v>1.31319476717948e-6</v>
      </c>
      <c r="M420">
        <f t="shared" si="146"/>
        <v>0.00156405724820316</v>
      </c>
      <c r="N420" s="47">
        <f t="shared" si="147"/>
        <v>1.31319476717948e-6</v>
      </c>
      <c r="O420">
        <f t="shared" si="148"/>
        <v>0</v>
      </c>
      <c r="P420">
        <f t="shared" si="149"/>
        <v>0</v>
      </c>
      <c r="Q420">
        <f t="shared" si="150"/>
        <v>0</v>
      </c>
      <c r="R420">
        <f t="shared" si="151"/>
        <v>0.00156405724820316</v>
      </c>
      <c r="S420">
        <f t="shared" si="152"/>
        <v>0</v>
      </c>
      <c r="T420">
        <f t="shared" si="153"/>
        <v>0</v>
      </c>
      <c r="U420" s="52">
        <f t="shared" si="154"/>
        <v>0</v>
      </c>
      <c r="V420">
        <f t="shared" si="155"/>
        <v>77.112686</v>
      </c>
      <c r="W420">
        <f t="shared" si="156"/>
        <v>0</v>
      </c>
      <c r="X420">
        <f t="shared" si="157"/>
        <v>0</v>
      </c>
      <c r="Y420">
        <f t="shared" si="158"/>
        <v>0</v>
      </c>
      <c r="Z420">
        <f t="shared" si="159"/>
        <v>126.335655</v>
      </c>
      <c r="AA420">
        <f t="shared" si="160"/>
        <v>0</v>
      </c>
      <c r="AB420">
        <f t="shared" si="161"/>
        <v>0</v>
      </c>
      <c r="AC420">
        <f t="shared" si="162"/>
        <v>0</v>
      </c>
    </row>
    <row r="421" spans="2:29">
      <c r="B421" s="5">
        <v>130</v>
      </c>
      <c r="C421" s="6">
        <v>76.656792</v>
      </c>
      <c r="D421" s="6">
        <v>124.70488</v>
      </c>
      <c r="E421">
        <v>0.25</v>
      </c>
      <c r="F421" s="5">
        <f t="shared" si="139"/>
        <v>77.066167126569</v>
      </c>
      <c r="G421">
        <f t="shared" si="140"/>
        <v>125.676603684262</v>
      </c>
      <c r="H421">
        <f t="shared" si="141"/>
        <v>0.158020850386598</v>
      </c>
      <c r="I421">
        <f t="shared" si="142"/>
        <v>-2.44746171873306</v>
      </c>
      <c r="J421">
        <f t="shared" si="143"/>
        <v>77.2241879769556</v>
      </c>
      <c r="K421">
        <f t="shared" si="144"/>
        <v>123.229141965529</v>
      </c>
      <c r="L421">
        <f t="shared" si="145"/>
        <v>5.47862056280751e-5</v>
      </c>
      <c r="M421">
        <f t="shared" si="146"/>
        <v>0.000140039852146625</v>
      </c>
      <c r="N421" s="47">
        <f t="shared" si="147"/>
        <v>0</v>
      </c>
      <c r="O421">
        <f t="shared" si="148"/>
        <v>5.47862056280751e-5</v>
      </c>
      <c r="P421">
        <f t="shared" si="149"/>
        <v>0</v>
      </c>
      <c r="Q421">
        <f t="shared" si="150"/>
        <v>0</v>
      </c>
      <c r="R421">
        <f t="shared" si="151"/>
        <v>0</v>
      </c>
      <c r="S421">
        <f t="shared" si="152"/>
        <v>0.000140039852146625</v>
      </c>
      <c r="T421">
        <f t="shared" si="153"/>
        <v>0</v>
      </c>
      <c r="U421" s="52">
        <f t="shared" si="154"/>
        <v>0</v>
      </c>
      <c r="V421">
        <f t="shared" si="155"/>
        <v>0</v>
      </c>
      <c r="W421">
        <f t="shared" si="156"/>
        <v>76.656792</v>
      </c>
      <c r="X421">
        <f t="shared" si="157"/>
        <v>0</v>
      </c>
      <c r="Y421">
        <f t="shared" si="158"/>
        <v>0</v>
      </c>
      <c r="Z421">
        <f t="shared" si="159"/>
        <v>0</v>
      </c>
      <c r="AA421">
        <f t="shared" si="160"/>
        <v>124.70488</v>
      </c>
      <c r="AB421">
        <f t="shared" si="161"/>
        <v>0</v>
      </c>
      <c r="AC421">
        <f t="shared" si="162"/>
        <v>0</v>
      </c>
    </row>
    <row r="422" spans="2:29">
      <c r="B422" s="5">
        <v>131</v>
      </c>
      <c r="C422" s="6">
        <v>78.462914</v>
      </c>
      <c r="D422" s="6">
        <v>135.275101</v>
      </c>
      <c r="E422">
        <v>0.45</v>
      </c>
      <c r="F422" s="5">
        <f t="shared" ref="F422:F485" si="163">((0.55*C421)+((1-0.55)*F421))</f>
        <v>76.8410108069561</v>
      </c>
      <c r="G422">
        <f t="shared" ref="G422:G485" si="164">(0.55*D421)+((1-0.55)*G421)</f>
        <v>125.142155657918</v>
      </c>
      <c r="H422">
        <f t="shared" ref="H422:H485" si="165">((E422*(F422-F421))+((1-E422)*H421))</f>
        <v>-0.0144088761132115</v>
      </c>
      <c r="I422">
        <f t="shared" ref="I422:I485" si="166">((E422*(G422-G421))+((1-E422)*I421))</f>
        <v>-1.58660555715802</v>
      </c>
      <c r="J422">
        <f t="shared" ref="J422:J485" si="167">F422+H422</f>
        <v>76.8266019308429</v>
      </c>
      <c r="K422">
        <f t="shared" ref="K422:K485" si="168">G422+I422</f>
        <v>123.55555010076</v>
      </c>
      <c r="L422">
        <f t="shared" ref="L422:L485" si="169">POWER(ABS((C422-J422)/C422),2)</f>
        <v>0.000434914013097834</v>
      </c>
      <c r="M422">
        <f t="shared" ref="M422:M485" si="170">POWER(ABS((D422-K422)/D422),2)</f>
        <v>0.00750561364934357</v>
      </c>
      <c r="N422" s="47">
        <f t="shared" si="147"/>
        <v>0</v>
      </c>
      <c r="O422">
        <f t="shared" si="148"/>
        <v>0</v>
      </c>
      <c r="P422">
        <f t="shared" si="149"/>
        <v>0.000434914013097834</v>
      </c>
      <c r="Q422">
        <f t="shared" si="150"/>
        <v>0</v>
      </c>
      <c r="R422">
        <f t="shared" si="151"/>
        <v>0</v>
      </c>
      <c r="S422">
        <f t="shared" si="152"/>
        <v>0</v>
      </c>
      <c r="T422">
        <f t="shared" si="153"/>
        <v>0.00750561364934357</v>
      </c>
      <c r="U422" s="52">
        <f t="shared" si="154"/>
        <v>0</v>
      </c>
      <c r="V422">
        <f t="shared" si="155"/>
        <v>0</v>
      </c>
      <c r="W422">
        <f t="shared" si="156"/>
        <v>0</v>
      </c>
      <c r="X422">
        <f t="shared" si="157"/>
        <v>78.462914</v>
      </c>
      <c r="Y422">
        <f t="shared" si="158"/>
        <v>0</v>
      </c>
      <c r="Z422">
        <f t="shared" si="159"/>
        <v>0</v>
      </c>
      <c r="AA422">
        <f t="shared" si="160"/>
        <v>0</v>
      </c>
      <c r="AB422">
        <f t="shared" si="161"/>
        <v>135.275101</v>
      </c>
      <c r="AC422">
        <f t="shared" si="162"/>
        <v>0</v>
      </c>
    </row>
    <row r="423" spans="2:29">
      <c r="B423" s="5">
        <v>132</v>
      </c>
      <c r="C423" s="6">
        <v>78.009521</v>
      </c>
      <c r="D423" s="6">
        <v>131.208099</v>
      </c>
      <c r="E423">
        <v>0.85</v>
      </c>
      <c r="F423" s="5">
        <f t="shared" si="163"/>
        <v>77.7330575631302</v>
      </c>
      <c r="G423">
        <f t="shared" si="164"/>
        <v>130.715275596063</v>
      </c>
      <c r="H423">
        <f t="shared" si="165"/>
        <v>0.756078411331061</v>
      </c>
      <c r="I423">
        <f t="shared" si="166"/>
        <v>4.49916111384969</v>
      </c>
      <c r="J423">
        <f t="shared" si="167"/>
        <v>78.4891359744613</v>
      </c>
      <c r="K423">
        <f t="shared" si="168"/>
        <v>135.214436709913</v>
      </c>
      <c r="L423">
        <f t="shared" si="169"/>
        <v>3.77998647385047e-5</v>
      </c>
      <c r="M423">
        <f t="shared" si="170"/>
        <v>0.000932338939740277</v>
      </c>
      <c r="N423" s="47">
        <f t="shared" si="147"/>
        <v>0</v>
      </c>
      <c r="O423">
        <f t="shared" si="148"/>
        <v>0</v>
      </c>
      <c r="P423">
        <f t="shared" si="149"/>
        <v>0</v>
      </c>
      <c r="Q423">
        <f t="shared" si="150"/>
        <v>3.77998647385047e-5</v>
      </c>
      <c r="R423">
        <f t="shared" si="151"/>
        <v>0</v>
      </c>
      <c r="S423">
        <f t="shared" si="152"/>
        <v>0</v>
      </c>
      <c r="T423">
        <f t="shared" si="153"/>
        <v>0</v>
      </c>
      <c r="U423" s="52">
        <f t="shared" si="154"/>
        <v>0.000932338939740277</v>
      </c>
      <c r="V423">
        <f t="shared" si="155"/>
        <v>0</v>
      </c>
      <c r="W423">
        <f t="shared" si="156"/>
        <v>0</v>
      </c>
      <c r="X423">
        <f t="shared" si="157"/>
        <v>0</v>
      </c>
      <c r="Y423">
        <f t="shared" si="158"/>
        <v>78.009521</v>
      </c>
      <c r="Z423">
        <f t="shared" si="159"/>
        <v>0</v>
      </c>
      <c r="AA423">
        <f t="shared" si="160"/>
        <v>0</v>
      </c>
      <c r="AB423">
        <f t="shared" si="161"/>
        <v>0</v>
      </c>
      <c r="AC423">
        <f t="shared" si="162"/>
        <v>131.208099</v>
      </c>
    </row>
    <row r="424" spans="2:29">
      <c r="B424" s="5">
        <v>133</v>
      </c>
      <c r="C424" s="6">
        <v>79.526665</v>
      </c>
      <c r="D424" s="6">
        <v>135.265167</v>
      </c>
      <c r="E424">
        <v>0.15</v>
      </c>
      <c r="F424" s="5">
        <f t="shared" si="163"/>
        <v>77.8851124534086</v>
      </c>
      <c r="G424">
        <f t="shared" si="164"/>
        <v>130.986328468228</v>
      </c>
      <c r="H424">
        <f t="shared" si="165"/>
        <v>0.665474883173156</v>
      </c>
      <c r="I424">
        <f t="shared" si="166"/>
        <v>3.86494487759703</v>
      </c>
      <c r="J424">
        <f t="shared" si="167"/>
        <v>78.5505873365818</v>
      </c>
      <c r="K424">
        <f t="shared" si="168"/>
        <v>134.851273345825</v>
      </c>
      <c r="L424">
        <f t="shared" si="169"/>
        <v>0.000150641006284265</v>
      </c>
      <c r="M424">
        <f t="shared" si="170"/>
        <v>9.3627966182771e-6</v>
      </c>
      <c r="N424" s="47">
        <f t="shared" si="147"/>
        <v>0.000150641006284265</v>
      </c>
      <c r="O424">
        <f t="shared" si="148"/>
        <v>0</v>
      </c>
      <c r="P424">
        <f t="shared" si="149"/>
        <v>0</v>
      </c>
      <c r="Q424">
        <f t="shared" si="150"/>
        <v>0</v>
      </c>
      <c r="R424">
        <f t="shared" si="151"/>
        <v>9.3627966182771e-6</v>
      </c>
      <c r="S424">
        <f t="shared" si="152"/>
        <v>0</v>
      </c>
      <c r="T424">
        <f t="shared" si="153"/>
        <v>0</v>
      </c>
      <c r="U424" s="52">
        <f t="shared" si="154"/>
        <v>0</v>
      </c>
      <c r="V424">
        <f t="shared" si="155"/>
        <v>79.526665</v>
      </c>
      <c r="W424">
        <f t="shared" si="156"/>
        <v>0</v>
      </c>
      <c r="X424">
        <f t="shared" si="157"/>
        <v>0</v>
      </c>
      <c r="Y424">
        <f t="shared" si="158"/>
        <v>0</v>
      </c>
      <c r="Z424">
        <f t="shared" si="159"/>
        <v>135.265167</v>
      </c>
      <c r="AA424">
        <f t="shared" si="160"/>
        <v>0</v>
      </c>
      <c r="AB424">
        <f t="shared" si="161"/>
        <v>0</v>
      </c>
      <c r="AC424">
        <f t="shared" si="162"/>
        <v>0</v>
      </c>
    </row>
    <row r="425" spans="2:29">
      <c r="B425" s="5">
        <v>134</v>
      </c>
      <c r="C425" s="6">
        <v>78.933754</v>
      </c>
      <c r="D425" s="6">
        <v>136.915833</v>
      </c>
      <c r="E425">
        <v>0.25</v>
      </c>
      <c r="F425" s="5">
        <f t="shared" si="163"/>
        <v>78.7879663540339</v>
      </c>
      <c r="G425">
        <f t="shared" si="164"/>
        <v>133.339689660703</v>
      </c>
      <c r="H425">
        <f t="shared" si="165"/>
        <v>0.724819637536186</v>
      </c>
      <c r="I425">
        <f t="shared" si="166"/>
        <v>3.48704895631637</v>
      </c>
      <c r="J425">
        <f t="shared" si="167"/>
        <v>79.5127859915701</v>
      </c>
      <c r="K425">
        <f t="shared" si="168"/>
        <v>136.826738617019</v>
      </c>
      <c r="L425">
        <f t="shared" si="169"/>
        <v>5.38120581341009e-5</v>
      </c>
      <c r="M425">
        <f t="shared" si="170"/>
        <v>4.23441386425991e-7</v>
      </c>
      <c r="N425" s="47">
        <f t="shared" si="147"/>
        <v>0</v>
      </c>
      <c r="O425">
        <f t="shared" si="148"/>
        <v>5.38120581341009e-5</v>
      </c>
      <c r="P425">
        <f t="shared" si="149"/>
        <v>0</v>
      </c>
      <c r="Q425">
        <f t="shared" si="150"/>
        <v>0</v>
      </c>
      <c r="R425">
        <f t="shared" si="151"/>
        <v>0</v>
      </c>
      <c r="S425">
        <f t="shared" si="152"/>
        <v>4.23441386425991e-7</v>
      </c>
      <c r="T425">
        <f t="shared" si="153"/>
        <v>0</v>
      </c>
      <c r="U425" s="52">
        <f t="shared" si="154"/>
        <v>0</v>
      </c>
      <c r="V425">
        <f t="shared" si="155"/>
        <v>0</v>
      </c>
      <c r="W425">
        <f t="shared" si="156"/>
        <v>78.933754</v>
      </c>
      <c r="X425">
        <f t="shared" si="157"/>
        <v>0</v>
      </c>
      <c r="Y425">
        <f t="shared" si="158"/>
        <v>0</v>
      </c>
      <c r="Z425">
        <f t="shared" si="159"/>
        <v>0</v>
      </c>
      <c r="AA425">
        <f t="shared" si="160"/>
        <v>136.915833</v>
      </c>
      <c r="AB425">
        <f t="shared" si="161"/>
        <v>0</v>
      </c>
      <c r="AC425">
        <f t="shared" si="162"/>
        <v>0</v>
      </c>
    </row>
    <row r="426" spans="2:29">
      <c r="B426" s="5">
        <v>135</v>
      </c>
      <c r="C426" s="6">
        <v>79.441963</v>
      </c>
      <c r="D426" s="6">
        <v>138.397446</v>
      </c>
      <c r="E426">
        <v>0.45</v>
      </c>
      <c r="F426" s="5">
        <f t="shared" si="163"/>
        <v>78.8681495593152</v>
      </c>
      <c r="G426">
        <f t="shared" si="164"/>
        <v>135.306568497316</v>
      </c>
      <c r="H426">
        <f t="shared" si="165"/>
        <v>0.43473324302152</v>
      </c>
      <c r="I426">
        <f t="shared" si="166"/>
        <v>2.80297240245007</v>
      </c>
      <c r="J426">
        <f t="shared" si="167"/>
        <v>79.3028828023368</v>
      </c>
      <c r="K426">
        <f t="shared" si="168"/>
        <v>138.109540899766</v>
      </c>
      <c r="L426">
        <f t="shared" si="169"/>
        <v>3.06500131034487e-6</v>
      </c>
      <c r="M426">
        <f t="shared" si="170"/>
        <v>4.32755469533142e-6</v>
      </c>
      <c r="N426" s="47">
        <f t="shared" si="147"/>
        <v>0</v>
      </c>
      <c r="O426">
        <f t="shared" si="148"/>
        <v>0</v>
      </c>
      <c r="P426">
        <f t="shared" si="149"/>
        <v>3.06500131034487e-6</v>
      </c>
      <c r="Q426">
        <f t="shared" si="150"/>
        <v>0</v>
      </c>
      <c r="R426">
        <f t="shared" si="151"/>
        <v>0</v>
      </c>
      <c r="S426">
        <f t="shared" si="152"/>
        <v>0</v>
      </c>
      <c r="T426">
        <f t="shared" si="153"/>
        <v>4.32755469533142e-6</v>
      </c>
      <c r="U426" s="52">
        <f t="shared" si="154"/>
        <v>0</v>
      </c>
      <c r="V426">
        <f t="shared" si="155"/>
        <v>0</v>
      </c>
      <c r="W426">
        <f t="shared" si="156"/>
        <v>0</v>
      </c>
      <c r="X426">
        <f t="shared" si="157"/>
        <v>79.441963</v>
      </c>
      <c r="Y426">
        <f t="shared" si="158"/>
        <v>0</v>
      </c>
      <c r="Z426">
        <f t="shared" si="159"/>
        <v>0</v>
      </c>
      <c r="AA426">
        <f t="shared" si="160"/>
        <v>0</v>
      </c>
      <c r="AB426">
        <f t="shared" si="161"/>
        <v>138.397446</v>
      </c>
      <c r="AC426">
        <f t="shared" si="162"/>
        <v>0</v>
      </c>
    </row>
    <row r="427" spans="2:29">
      <c r="B427" s="5">
        <v>136</v>
      </c>
      <c r="C427" s="6">
        <v>78.903862</v>
      </c>
      <c r="D427" s="6">
        <v>144.125061</v>
      </c>
      <c r="E427">
        <v>0.85</v>
      </c>
      <c r="F427" s="5">
        <f t="shared" si="163"/>
        <v>79.1837469516919</v>
      </c>
      <c r="G427">
        <f t="shared" si="164"/>
        <v>137.006551123792</v>
      </c>
      <c r="H427">
        <f t="shared" si="165"/>
        <v>0.333467769973352</v>
      </c>
      <c r="I427">
        <f t="shared" si="166"/>
        <v>1.86543109287217</v>
      </c>
      <c r="J427">
        <f t="shared" si="167"/>
        <v>79.5172147216652</v>
      </c>
      <c r="K427">
        <f t="shared" si="168"/>
        <v>138.871982216664</v>
      </c>
      <c r="L427">
        <f t="shared" si="169"/>
        <v>6.04260314468497e-5</v>
      </c>
      <c r="M427">
        <f t="shared" si="170"/>
        <v>0.00132846103350946</v>
      </c>
      <c r="N427" s="47">
        <f t="shared" si="147"/>
        <v>0</v>
      </c>
      <c r="O427">
        <f t="shared" si="148"/>
        <v>0</v>
      </c>
      <c r="P427">
        <f t="shared" si="149"/>
        <v>0</v>
      </c>
      <c r="Q427">
        <f t="shared" si="150"/>
        <v>6.04260314468497e-5</v>
      </c>
      <c r="R427">
        <f t="shared" si="151"/>
        <v>0</v>
      </c>
      <c r="S427">
        <f t="shared" si="152"/>
        <v>0</v>
      </c>
      <c r="T427">
        <f t="shared" si="153"/>
        <v>0</v>
      </c>
      <c r="U427" s="52">
        <f t="shared" si="154"/>
        <v>0.00132846103350946</v>
      </c>
      <c r="V427">
        <f t="shared" si="155"/>
        <v>0</v>
      </c>
      <c r="W427">
        <f t="shared" si="156"/>
        <v>0</v>
      </c>
      <c r="X427">
        <f t="shared" si="157"/>
        <v>0</v>
      </c>
      <c r="Y427">
        <f t="shared" si="158"/>
        <v>78.903862</v>
      </c>
      <c r="Z427">
        <f t="shared" si="159"/>
        <v>0</v>
      </c>
      <c r="AA427">
        <f t="shared" si="160"/>
        <v>0</v>
      </c>
      <c r="AB427">
        <f t="shared" si="161"/>
        <v>0</v>
      </c>
      <c r="AC427">
        <f t="shared" si="162"/>
        <v>144.125061</v>
      </c>
    </row>
    <row r="428" spans="2:29">
      <c r="B428" s="5">
        <v>137</v>
      </c>
      <c r="C428" s="6">
        <v>79.247643</v>
      </c>
      <c r="D428" s="6">
        <v>147.754532</v>
      </c>
      <c r="E428">
        <v>0.15</v>
      </c>
      <c r="F428" s="5">
        <f t="shared" si="163"/>
        <v>79.0298102282613</v>
      </c>
      <c r="G428">
        <f t="shared" si="164"/>
        <v>140.921731555707</v>
      </c>
      <c r="H428">
        <f t="shared" si="165"/>
        <v>0.260357095962772</v>
      </c>
      <c r="I428">
        <f t="shared" si="166"/>
        <v>2.17289349372848</v>
      </c>
      <c r="J428">
        <f t="shared" si="167"/>
        <v>79.2901673242241</v>
      </c>
      <c r="K428">
        <f t="shared" si="168"/>
        <v>143.094625049435</v>
      </c>
      <c r="L428">
        <f t="shared" si="169"/>
        <v>2.87940088021111e-7</v>
      </c>
      <c r="M428">
        <f t="shared" si="170"/>
        <v>0.000994655911696531</v>
      </c>
      <c r="N428" s="47">
        <f t="shared" si="147"/>
        <v>2.87940088021111e-7</v>
      </c>
      <c r="O428">
        <f t="shared" si="148"/>
        <v>0</v>
      </c>
      <c r="P428">
        <f t="shared" si="149"/>
        <v>0</v>
      </c>
      <c r="Q428">
        <f t="shared" si="150"/>
        <v>0</v>
      </c>
      <c r="R428">
        <f t="shared" si="151"/>
        <v>0.000994655911696531</v>
      </c>
      <c r="S428">
        <f t="shared" si="152"/>
        <v>0</v>
      </c>
      <c r="T428">
        <f t="shared" si="153"/>
        <v>0</v>
      </c>
      <c r="U428" s="52">
        <f t="shared" si="154"/>
        <v>0</v>
      </c>
      <c r="V428">
        <f t="shared" si="155"/>
        <v>79.247643</v>
      </c>
      <c r="W428">
        <f t="shared" si="156"/>
        <v>0</v>
      </c>
      <c r="X428">
        <f t="shared" si="157"/>
        <v>0</v>
      </c>
      <c r="Y428">
        <f t="shared" si="158"/>
        <v>0</v>
      </c>
      <c r="Z428">
        <f t="shared" si="159"/>
        <v>147.754532</v>
      </c>
      <c r="AA428">
        <f t="shared" si="160"/>
        <v>0</v>
      </c>
      <c r="AB428">
        <f t="shared" si="161"/>
        <v>0</v>
      </c>
      <c r="AC428">
        <f t="shared" si="162"/>
        <v>0</v>
      </c>
    </row>
    <row r="429" spans="2:29">
      <c r="B429" s="5">
        <v>138</v>
      </c>
      <c r="C429" s="6">
        <v>79.282524</v>
      </c>
      <c r="D429" s="6">
        <v>146.730331</v>
      </c>
      <c r="E429">
        <v>0.25</v>
      </c>
      <c r="F429" s="5">
        <f t="shared" si="163"/>
        <v>79.1496182527176</v>
      </c>
      <c r="G429">
        <f t="shared" si="164"/>
        <v>144.679771800068</v>
      </c>
      <c r="H429">
        <f t="shared" si="165"/>
        <v>0.225219828086144</v>
      </c>
      <c r="I429">
        <f t="shared" si="166"/>
        <v>2.56918018138671</v>
      </c>
      <c r="J429">
        <f t="shared" si="167"/>
        <v>79.3748380808037</v>
      </c>
      <c r="K429">
        <f t="shared" si="168"/>
        <v>147.248951981455</v>
      </c>
      <c r="L429">
        <f t="shared" si="169"/>
        <v>1.35575421696865e-6</v>
      </c>
      <c r="M429">
        <f t="shared" si="170"/>
        <v>1.24928167884187e-5</v>
      </c>
      <c r="N429" s="47">
        <f t="shared" si="147"/>
        <v>0</v>
      </c>
      <c r="O429">
        <f t="shared" si="148"/>
        <v>1.35575421696865e-6</v>
      </c>
      <c r="P429">
        <f t="shared" si="149"/>
        <v>0</v>
      </c>
      <c r="Q429">
        <f t="shared" si="150"/>
        <v>0</v>
      </c>
      <c r="R429">
        <f t="shared" si="151"/>
        <v>0</v>
      </c>
      <c r="S429">
        <f t="shared" si="152"/>
        <v>1.24928167884187e-5</v>
      </c>
      <c r="T429">
        <f t="shared" si="153"/>
        <v>0</v>
      </c>
      <c r="U429" s="52">
        <f t="shared" si="154"/>
        <v>0</v>
      </c>
      <c r="V429">
        <f t="shared" si="155"/>
        <v>0</v>
      </c>
      <c r="W429">
        <f t="shared" si="156"/>
        <v>79.282524</v>
      </c>
      <c r="X429">
        <f t="shared" si="157"/>
        <v>0</v>
      </c>
      <c r="Y429">
        <f t="shared" si="158"/>
        <v>0</v>
      </c>
      <c r="Z429">
        <f t="shared" si="159"/>
        <v>0</v>
      </c>
      <c r="AA429">
        <f t="shared" si="160"/>
        <v>146.730331</v>
      </c>
      <c r="AB429">
        <f t="shared" si="161"/>
        <v>0</v>
      </c>
      <c r="AC429">
        <f t="shared" si="162"/>
        <v>0</v>
      </c>
    </row>
    <row r="430" spans="2:29">
      <c r="B430" s="5">
        <v>139</v>
      </c>
      <c r="C430" s="6">
        <v>79.205299</v>
      </c>
      <c r="D430" s="6">
        <v>145.029953</v>
      </c>
      <c r="E430">
        <v>0.45</v>
      </c>
      <c r="F430" s="5">
        <f t="shared" si="163"/>
        <v>79.2227164137229</v>
      </c>
      <c r="G430">
        <f t="shared" si="164"/>
        <v>145.807579360031</v>
      </c>
      <c r="H430">
        <f t="shared" si="165"/>
        <v>0.156765077899773</v>
      </c>
      <c r="I430">
        <f t="shared" si="166"/>
        <v>1.92056250174588</v>
      </c>
      <c r="J430">
        <f t="shared" si="167"/>
        <v>79.3794814916227</v>
      </c>
      <c r="K430">
        <f t="shared" si="168"/>
        <v>147.728141861776</v>
      </c>
      <c r="L430">
        <f t="shared" si="169"/>
        <v>4.83615845423906e-6</v>
      </c>
      <c r="M430">
        <f t="shared" si="170"/>
        <v>0.000346122058454939</v>
      </c>
      <c r="N430" s="47">
        <f t="shared" si="147"/>
        <v>0</v>
      </c>
      <c r="O430">
        <f t="shared" si="148"/>
        <v>0</v>
      </c>
      <c r="P430">
        <f t="shared" si="149"/>
        <v>4.83615845423906e-6</v>
      </c>
      <c r="Q430">
        <f t="shared" si="150"/>
        <v>0</v>
      </c>
      <c r="R430">
        <f t="shared" si="151"/>
        <v>0</v>
      </c>
      <c r="S430">
        <f t="shared" si="152"/>
        <v>0</v>
      </c>
      <c r="T430">
        <f t="shared" si="153"/>
        <v>0.000346122058454939</v>
      </c>
      <c r="U430" s="52">
        <f t="shared" si="154"/>
        <v>0</v>
      </c>
      <c r="V430">
        <f t="shared" si="155"/>
        <v>0</v>
      </c>
      <c r="W430">
        <f t="shared" si="156"/>
        <v>0</v>
      </c>
      <c r="X430">
        <f t="shared" si="157"/>
        <v>79.205299</v>
      </c>
      <c r="Y430">
        <f t="shared" si="158"/>
        <v>0</v>
      </c>
      <c r="Z430">
        <f t="shared" si="159"/>
        <v>0</v>
      </c>
      <c r="AA430">
        <f t="shared" si="160"/>
        <v>0</v>
      </c>
      <c r="AB430">
        <f t="shared" si="161"/>
        <v>145.029953</v>
      </c>
      <c r="AC430">
        <f t="shared" si="162"/>
        <v>0</v>
      </c>
    </row>
    <row r="431" spans="2:29">
      <c r="B431" s="5">
        <v>140</v>
      </c>
      <c r="C431" s="6">
        <v>80.179359</v>
      </c>
      <c r="D431" s="6">
        <v>145.358093</v>
      </c>
      <c r="E431">
        <v>0.85</v>
      </c>
      <c r="F431" s="5">
        <f t="shared" si="163"/>
        <v>79.2131368361753</v>
      </c>
      <c r="G431">
        <f t="shared" si="164"/>
        <v>145.379884862014</v>
      </c>
      <c r="H431">
        <f t="shared" si="165"/>
        <v>0.0153721207694958</v>
      </c>
      <c r="I431">
        <f t="shared" si="166"/>
        <v>-0.0754559480524151</v>
      </c>
      <c r="J431">
        <f t="shared" si="167"/>
        <v>79.2285089569448</v>
      </c>
      <c r="K431">
        <f t="shared" si="168"/>
        <v>145.304428913961</v>
      </c>
      <c r="L431">
        <f t="shared" si="169"/>
        <v>0.000140636775735723</v>
      </c>
      <c r="M431">
        <f t="shared" si="170"/>
        <v>1.36297861255592e-7</v>
      </c>
      <c r="N431" s="47">
        <f t="shared" si="147"/>
        <v>0</v>
      </c>
      <c r="O431">
        <f t="shared" si="148"/>
        <v>0</v>
      </c>
      <c r="P431">
        <f t="shared" si="149"/>
        <v>0</v>
      </c>
      <c r="Q431">
        <f t="shared" si="150"/>
        <v>0.000140636775735723</v>
      </c>
      <c r="R431">
        <f t="shared" si="151"/>
        <v>0</v>
      </c>
      <c r="S431">
        <f t="shared" si="152"/>
        <v>0</v>
      </c>
      <c r="T431">
        <f t="shared" si="153"/>
        <v>0</v>
      </c>
      <c r="U431" s="52">
        <f t="shared" si="154"/>
        <v>1.36297861255592e-7</v>
      </c>
      <c r="V431">
        <f t="shared" si="155"/>
        <v>0</v>
      </c>
      <c r="W431">
        <f t="shared" si="156"/>
        <v>0</v>
      </c>
      <c r="X431">
        <f t="shared" si="157"/>
        <v>0</v>
      </c>
      <c r="Y431">
        <f t="shared" si="158"/>
        <v>80.179359</v>
      </c>
      <c r="Z431">
        <f t="shared" si="159"/>
        <v>0</v>
      </c>
      <c r="AA431">
        <f t="shared" si="160"/>
        <v>0</v>
      </c>
      <c r="AB431">
        <f t="shared" si="161"/>
        <v>0</v>
      </c>
      <c r="AC431">
        <f t="shared" si="162"/>
        <v>145.358093</v>
      </c>
    </row>
    <row r="432" spans="2:29">
      <c r="B432" s="5">
        <v>141</v>
      </c>
      <c r="C432" s="6">
        <v>80.550545</v>
      </c>
      <c r="D432" s="6">
        <v>147.5159</v>
      </c>
      <c r="E432">
        <v>0.15</v>
      </c>
      <c r="F432" s="5">
        <f t="shared" si="163"/>
        <v>79.7445590262789</v>
      </c>
      <c r="G432">
        <f t="shared" si="164"/>
        <v>145.367899337906</v>
      </c>
      <c r="H432">
        <f t="shared" si="165"/>
        <v>0.092779631169609</v>
      </c>
      <c r="I432">
        <f t="shared" si="166"/>
        <v>-0.0659353844606908</v>
      </c>
      <c r="J432">
        <f t="shared" si="167"/>
        <v>79.8373386574485</v>
      </c>
      <c r="K432">
        <f t="shared" si="168"/>
        <v>145.301963953445</v>
      </c>
      <c r="L432">
        <f t="shared" si="169"/>
        <v>7.83959138635051e-5</v>
      </c>
      <c r="M432">
        <f t="shared" si="170"/>
        <v>0.000225243608440982</v>
      </c>
      <c r="N432" s="47">
        <f t="shared" si="147"/>
        <v>7.83959138635051e-5</v>
      </c>
      <c r="O432">
        <f t="shared" si="148"/>
        <v>0</v>
      </c>
      <c r="P432">
        <f t="shared" si="149"/>
        <v>0</v>
      </c>
      <c r="Q432">
        <f t="shared" si="150"/>
        <v>0</v>
      </c>
      <c r="R432">
        <f t="shared" si="151"/>
        <v>0.000225243608440982</v>
      </c>
      <c r="S432">
        <f t="shared" si="152"/>
        <v>0</v>
      </c>
      <c r="T432">
        <f t="shared" si="153"/>
        <v>0</v>
      </c>
      <c r="U432" s="52">
        <f t="shared" si="154"/>
        <v>0</v>
      </c>
      <c r="V432">
        <f t="shared" si="155"/>
        <v>80.550545</v>
      </c>
      <c r="W432">
        <f t="shared" si="156"/>
        <v>0</v>
      </c>
      <c r="X432">
        <f t="shared" si="157"/>
        <v>0</v>
      </c>
      <c r="Y432">
        <f t="shared" si="158"/>
        <v>0</v>
      </c>
      <c r="Z432">
        <f t="shared" si="159"/>
        <v>147.5159</v>
      </c>
      <c r="AA432">
        <f t="shared" si="160"/>
        <v>0</v>
      </c>
      <c r="AB432">
        <f t="shared" si="161"/>
        <v>0</v>
      </c>
      <c r="AC432">
        <f t="shared" si="162"/>
        <v>0</v>
      </c>
    </row>
    <row r="433" spans="2:29">
      <c r="B433" s="5">
        <v>142</v>
      </c>
      <c r="C433" s="6">
        <v>80.99398</v>
      </c>
      <c r="D433" s="6">
        <v>152.487793</v>
      </c>
      <c r="E433">
        <v>0.25</v>
      </c>
      <c r="F433" s="5">
        <f t="shared" si="163"/>
        <v>80.1878513118255</v>
      </c>
      <c r="G433">
        <f t="shared" si="164"/>
        <v>146.549299702058</v>
      </c>
      <c r="H433">
        <f t="shared" si="165"/>
        <v>0.180407794763861</v>
      </c>
      <c r="I433">
        <f t="shared" si="166"/>
        <v>0.245898552692385</v>
      </c>
      <c r="J433">
        <f t="shared" si="167"/>
        <v>80.3682591065894</v>
      </c>
      <c r="K433">
        <f t="shared" si="168"/>
        <v>146.79519825475</v>
      </c>
      <c r="L433">
        <f t="shared" si="169"/>
        <v>5.96837128839767e-5</v>
      </c>
      <c r="M433">
        <f t="shared" si="170"/>
        <v>0.00139363927688891</v>
      </c>
      <c r="N433" s="47">
        <f t="shared" si="147"/>
        <v>0</v>
      </c>
      <c r="O433">
        <f t="shared" si="148"/>
        <v>5.96837128839767e-5</v>
      </c>
      <c r="P433">
        <f t="shared" si="149"/>
        <v>0</v>
      </c>
      <c r="Q433">
        <f t="shared" si="150"/>
        <v>0</v>
      </c>
      <c r="R433">
        <f t="shared" si="151"/>
        <v>0</v>
      </c>
      <c r="S433">
        <f t="shared" si="152"/>
        <v>0.00139363927688891</v>
      </c>
      <c r="T433">
        <f t="shared" si="153"/>
        <v>0</v>
      </c>
      <c r="U433" s="52">
        <f t="shared" si="154"/>
        <v>0</v>
      </c>
      <c r="V433">
        <f t="shared" si="155"/>
        <v>0</v>
      </c>
      <c r="W433">
        <f t="shared" si="156"/>
        <v>80.99398</v>
      </c>
      <c r="X433">
        <f t="shared" si="157"/>
        <v>0</v>
      </c>
      <c r="Y433">
        <f t="shared" si="158"/>
        <v>0</v>
      </c>
      <c r="Z433">
        <f t="shared" si="159"/>
        <v>0</v>
      </c>
      <c r="AA433">
        <f t="shared" si="160"/>
        <v>152.487793</v>
      </c>
      <c r="AB433">
        <f t="shared" si="161"/>
        <v>0</v>
      </c>
      <c r="AC433">
        <f t="shared" si="162"/>
        <v>0</v>
      </c>
    </row>
    <row r="434" spans="2:29">
      <c r="B434" s="5">
        <v>143</v>
      </c>
      <c r="C434" s="6">
        <v>80.296448</v>
      </c>
      <c r="D434" s="6">
        <v>155.033386</v>
      </c>
      <c r="E434">
        <v>0.45</v>
      </c>
      <c r="F434" s="5">
        <f t="shared" si="163"/>
        <v>80.6312220903215</v>
      </c>
      <c r="G434">
        <f t="shared" si="164"/>
        <v>149.815471015926</v>
      </c>
      <c r="H434">
        <f t="shared" si="165"/>
        <v>0.298741137443306</v>
      </c>
      <c r="I434">
        <f t="shared" si="166"/>
        <v>1.60502129522151</v>
      </c>
      <c r="J434">
        <f t="shared" si="167"/>
        <v>80.9299632277648</v>
      </c>
      <c r="K434">
        <f t="shared" si="168"/>
        <v>151.420492311148</v>
      </c>
      <c r="L434">
        <f t="shared" si="169"/>
        <v>6.22474332938152e-5</v>
      </c>
      <c r="M434">
        <f t="shared" si="170"/>
        <v>0.00054307511171131</v>
      </c>
      <c r="N434" s="47">
        <f t="shared" si="147"/>
        <v>0</v>
      </c>
      <c r="O434">
        <f t="shared" si="148"/>
        <v>0</v>
      </c>
      <c r="P434">
        <f t="shared" si="149"/>
        <v>6.22474332938152e-5</v>
      </c>
      <c r="Q434">
        <f t="shared" si="150"/>
        <v>0</v>
      </c>
      <c r="R434">
        <f t="shared" si="151"/>
        <v>0</v>
      </c>
      <c r="S434">
        <f t="shared" si="152"/>
        <v>0</v>
      </c>
      <c r="T434">
        <f t="shared" si="153"/>
        <v>0.00054307511171131</v>
      </c>
      <c r="U434" s="52">
        <f t="shared" si="154"/>
        <v>0</v>
      </c>
      <c r="V434">
        <f t="shared" si="155"/>
        <v>0</v>
      </c>
      <c r="W434">
        <f t="shared" si="156"/>
        <v>0</v>
      </c>
      <c r="X434">
        <f t="shared" si="157"/>
        <v>80.296448</v>
      </c>
      <c r="Y434">
        <f t="shared" si="158"/>
        <v>0</v>
      </c>
      <c r="Z434">
        <f t="shared" si="159"/>
        <v>0</v>
      </c>
      <c r="AA434">
        <f t="shared" si="160"/>
        <v>0</v>
      </c>
      <c r="AB434">
        <f t="shared" si="161"/>
        <v>155.033386</v>
      </c>
      <c r="AC434">
        <f t="shared" si="162"/>
        <v>0</v>
      </c>
    </row>
    <row r="435" spans="2:29">
      <c r="B435" s="5">
        <v>144</v>
      </c>
      <c r="C435" s="6">
        <v>82.583374</v>
      </c>
      <c r="D435" s="6">
        <v>160.462677</v>
      </c>
      <c r="E435">
        <v>0.85</v>
      </c>
      <c r="F435" s="5">
        <f t="shared" si="163"/>
        <v>80.4470963406447</v>
      </c>
      <c r="G435">
        <f t="shared" si="164"/>
        <v>152.685324257167</v>
      </c>
      <c r="H435">
        <f t="shared" si="165"/>
        <v>-0.111695716608792</v>
      </c>
      <c r="I435">
        <f t="shared" si="166"/>
        <v>2.68012844933781</v>
      </c>
      <c r="J435">
        <f t="shared" si="167"/>
        <v>80.3354006240359</v>
      </c>
      <c r="K435">
        <f t="shared" si="168"/>
        <v>155.365452706505</v>
      </c>
      <c r="L435">
        <f t="shared" si="169"/>
        <v>0.000740963955508668</v>
      </c>
      <c r="M435">
        <f t="shared" si="170"/>
        <v>0.00100906564913905</v>
      </c>
      <c r="N435" s="47">
        <f t="shared" si="147"/>
        <v>0</v>
      </c>
      <c r="O435">
        <f t="shared" si="148"/>
        <v>0</v>
      </c>
      <c r="P435">
        <f t="shared" si="149"/>
        <v>0</v>
      </c>
      <c r="Q435">
        <f t="shared" si="150"/>
        <v>0.000740963955508668</v>
      </c>
      <c r="R435">
        <f t="shared" si="151"/>
        <v>0</v>
      </c>
      <c r="S435">
        <f t="shared" si="152"/>
        <v>0</v>
      </c>
      <c r="T435">
        <f t="shared" si="153"/>
        <v>0</v>
      </c>
      <c r="U435" s="52">
        <f t="shared" si="154"/>
        <v>0.00100906564913905</v>
      </c>
      <c r="V435">
        <f t="shared" si="155"/>
        <v>0</v>
      </c>
      <c r="W435">
        <f t="shared" si="156"/>
        <v>0</v>
      </c>
      <c r="X435">
        <f t="shared" si="157"/>
        <v>0</v>
      </c>
      <c r="Y435">
        <f t="shared" si="158"/>
        <v>82.583374</v>
      </c>
      <c r="Z435">
        <f t="shared" si="159"/>
        <v>0</v>
      </c>
      <c r="AA435">
        <f t="shared" si="160"/>
        <v>0</v>
      </c>
      <c r="AB435">
        <f t="shared" si="161"/>
        <v>0</v>
      </c>
      <c r="AC435">
        <f t="shared" si="162"/>
        <v>160.462677</v>
      </c>
    </row>
    <row r="436" spans="2:29">
      <c r="B436" s="5">
        <v>145</v>
      </c>
      <c r="C436" s="6">
        <v>83.07164</v>
      </c>
      <c r="D436" s="6">
        <v>162.003967</v>
      </c>
      <c r="E436">
        <v>0.15</v>
      </c>
      <c r="F436" s="5">
        <f t="shared" si="163"/>
        <v>81.6220490532901</v>
      </c>
      <c r="G436">
        <f t="shared" si="164"/>
        <v>156.962868265725</v>
      </c>
      <c r="H436">
        <f t="shared" si="165"/>
        <v>0.0813015477793421</v>
      </c>
      <c r="I436">
        <f t="shared" si="166"/>
        <v>2.91974078322089</v>
      </c>
      <c r="J436">
        <f t="shared" si="167"/>
        <v>81.7033506010694</v>
      </c>
      <c r="K436">
        <f t="shared" si="168"/>
        <v>159.882609048946</v>
      </c>
      <c r="L436">
        <f t="shared" si="169"/>
        <v>0.000271300350986755</v>
      </c>
      <c r="M436">
        <f t="shared" si="170"/>
        <v>0.000171465446116913</v>
      </c>
      <c r="N436" s="47">
        <f t="shared" si="147"/>
        <v>0.000271300350986755</v>
      </c>
      <c r="O436">
        <f t="shared" si="148"/>
        <v>0</v>
      </c>
      <c r="P436">
        <f t="shared" si="149"/>
        <v>0</v>
      </c>
      <c r="Q436">
        <f t="shared" si="150"/>
        <v>0</v>
      </c>
      <c r="R436">
        <f t="shared" si="151"/>
        <v>0.000171465446116913</v>
      </c>
      <c r="S436">
        <f t="shared" si="152"/>
        <v>0</v>
      </c>
      <c r="T436">
        <f t="shared" si="153"/>
        <v>0</v>
      </c>
      <c r="U436" s="52">
        <f t="shared" si="154"/>
        <v>0</v>
      </c>
      <c r="V436">
        <f t="shared" si="155"/>
        <v>83.07164</v>
      </c>
      <c r="W436">
        <f t="shared" si="156"/>
        <v>0</v>
      </c>
      <c r="X436">
        <f t="shared" si="157"/>
        <v>0</v>
      </c>
      <c r="Y436">
        <f t="shared" si="158"/>
        <v>0</v>
      </c>
      <c r="Z436">
        <f t="shared" si="159"/>
        <v>162.003967</v>
      </c>
      <c r="AA436">
        <f t="shared" si="160"/>
        <v>0</v>
      </c>
      <c r="AB436">
        <f t="shared" si="161"/>
        <v>0</v>
      </c>
      <c r="AC436">
        <f t="shared" si="162"/>
        <v>0</v>
      </c>
    </row>
    <row r="437" spans="2:29">
      <c r="B437" s="5">
        <v>146</v>
      </c>
      <c r="C437" s="6">
        <v>85.694878</v>
      </c>
      <c r="D437" s="6">
        <v>157.211075</v>
      </c>
      <c r="E437">
        <v>0.25</v>
      </c>
      <c r="F437" s="5">
        <f t="shared" si="163"/>
        <v>82.4193240739805</v>
      </c>
      <c r="G437">
        <f t="shared" si="164"/>
        <v>159.735472569576</v>
      </c>
      <c r="H437">
        <f t="shared" si="165"/>
        <v>0.260294916007119</v>
      </c>
      <c r="I437">
        <f t="shared" si="166"/>
        <v>2.88295666337848</v>
      </c>
      <c r="J437">
        <f t="shared" si="167"/>
        <v>82.6796189899877</v>
      </c>
      <c r="K437">
        <f t="shared" si="168"/>
        <v>162.618429232955</v>
      </c>
      <c r="L437">
        <f t="shared" si="169"/>
        <v>0.00123805380166409</v>
      </c>
      <c r="M437">
        <f t="shared" si="170"/>
        <v>0.0011830507277715</v>
      </c>
      <c r="N437" s="47">
        <f t="shared" si="147"/>
        <v>0</v>
      </c>
      <c r="O437">
        <f t="shared" si="148"/>
        <v>0.00123805380166409</v>
      </c>
      <c r="P437">
        <f t="shared" si="149"/>
        <v>0</v>
      </c>
      <c r="Q437">
        <f t="shared" si="150"/>
        <v>0</v>
      </c>
      <c r="R437">
        <f t="shared" si="151"/>
        <v>0</v>
      </c>
      <c r="S437">
        <f t="shared" si="152"/>
        <v>0.0011830507277715</v>
      </c>
      <c r="T437">
        <f t="shared" si="153"/>
        <v>0</v>
      </c>
      <c r="U437" s="52">
        <f t="shared" si="154"/>
        <v>0</v>
      </c>
      <c r="V437">
        <f t="shared" si="155"/>
        <v>0</v>
      </c>
      <c r="W437">
        <f t="shared" si="156"/>
        <v>85.694878</v>
      </c>
      <c r="X437">
        <f t="shared" si="157"/>
        <v>0</v>
      </c>
      <c r="Y437">
        <f t="shared" si="158"/>
        <v>0</v>
      </c>
      <c r="Z437">
        <f t="shared" si="159"/>
        <v>0</v>
      </c>
      <c r="AA437">
        <f t="shared" si="160"/>
        <v>157.211075</v>
      </c>
      <c r="AB437">
        <f t="shared" si="161"/>
        <v>0</v>
      </c>
      <c r="AC437">
        <f t="shared" si="162"/>
        <v>0</v>
      </c>
    </row>
    <row r="438" spans="2:29">
      <c r="B438" s="5">
        <v>147</v>
      </c>
      <c r="C438" s="6">
        <v>87.89959</v>
      </c>
      <c r="D438" s="6">
        <v>153.253448</v>
      </c>
      <c r="E438">
        <v>0.45</v>
      </c>
      <c r="F438" s="5">
        <f t="shared" si="163"/>
        <v>84.2208787332912</v>
      </c>
      <c r="G438">
        <f t="shared" si="164"/>
        <v>158.347053906309</v>
      </c>
      <c r="H438">
        <f t="shared" si="165"/>
        <v>0.953861800493729</v>
      </c>
      <c r="I438">
        <f t="shared" si="166"/>
        <v>0.960837766388037</v>
      </c>
      <c r="J438">
        <f t="shared" si="167"/>
        <v>85.174740533785</v>
      </c>
      <c r="K438">
        <f t="shared" si="168"/>
        <v>159.307891672697</v>
      </c>
      <c r="L438">
        <f t="shared" si="169"/>
        <v>0.000960973321168027</v>
      </c>
      <c r="M438">
        <f t="shared" si="170"/>
        <v>0.00156073071566249</v>
      </c>
      <c r="N438" s="47">
        <f t="shared" si="147"/>
        <v>0</v>
      </c>
      <c r="O438">
        <f t="shared" si="148"/>
        <v>0</v>
      </c>
      <c r="P438">
        <f t="shared" si="149"/>
        <v>0.000960973321168027</v>
      </c>
      <c r="Q438">
        <f t="shared" si="150"/>
        <v>0</v>
      </c>
      <c r="R438">
        <f t="shared" si="151"/>
        <v>0</v>
      </c>
      <c r="S438">
        <f t="shared" si="152"/>
        <v>0</v>
      </c>
      <c r="T438">
        <f t="shared" si="153"/>
        <v>0.00156073071566249</v>
      </c>
      <c r="U438" s="52">
        <f t="shared" si="154"/>
        <v>0</v>
      </c>
      <c r="V438">
        <f t="shared" si="155"/>
        <v>0</v>
      </c>
      <c r="W438">
        <f t="shared" si="156"/>
        <v>0</v>
      </c>
      <c r="X438">
        <f t="shared" si="157"/>
        <v>87.89959</v>
      </c>
      <c r="Y438">
        <f t="shared" si="158"/>
        <v>0</v>
      </c>
      <c r="Z438">
        <f t="shared" si="159"/>
        <v>0</v>
      </c>
      <c r="AA438">
        <f t="shared" si="160"/>
        <v>0</v>
      </c>
      <c r="AB438">
        <f t="shared" si="161"/>
        <v>153.253448</v>
      </c>
      <c r="AC438">
        <f t="shared" si="162"/>
        <v>0</v>
      </c>
    </row>
    <row r="439" spans="2:29">
      <c r="B439" s="5">
        <v>148</v>
      </c>
      <c r="C439" s="6">
        <v>83.679497</v>
      </c>
      <c r="D439" s="6">
        <v>142.633499</v>
      </c>
      <c r="E439">
        <v>0.85</v>
      </c>
      <c r="F439" s="5">
        <f t="shared" si="163"/>
        <v>86.2441699299811</v>
      </c>
      <c r="G439">
        <f t="shared" si="164"/>
        <v>155.545570657839</v>
      </c>
      <c r="H439">
        <f t="shared" si="165"/>
        <v>1.86287678726041</v>
      </c>
      <c r="I439">
        <f t="shared" si="166"/>
        <v>-2.23713509624141</v>
      </c>
      <c r="J439">
        <f t="shared" si="167"/>
        <v>88.1070467172415</v>
      </c>
      <c r="K439">
        <f t="shared" si="168"/>
        <v>153.308435561598</v>
      </c>
      <c r="L439">
        <f t="shared" si="169"/>
        <v>0.00279955349943662</v>
      </c>
      <c r="M439">
        <f t="shared" si="170"/>
        <v>0.00560128322762328</v>
      </c>
      <c r="N439" s="47">
        <f t="shared" si="147"/>
        <v>0</v>
      </c>
      <c r="O439">
        <f t="shared" si="148"/>
        <v>0</v>
      </c>
      <c r="P439">
        <f t="shared" si="149"/>
        <v>0</v>
      </c>
      <c r="Q439">
        <f t="shared" si="150"/>
        <v>0.00279955349943662</v>
      </c>
      <c r="R439">
        <f t="shared" si="151"/>
        <v>0</v>
      </c>
      <c r="S439">
        <f t="shared" si="152"/>
        <v>0</v>
      </c>
      <c r="T439">
        <f t="shared" si="153"/>
        <v>0</v>
      </c>
      <c r="U439" s="52">
        <f t="shared" si="154"/>
        <v>0.00560128322762328</v>
      </c>
      <c r="V439">
        <f t="shared" si="155"/>
        <v>0</v>
      </c>
      <c r="W439">
        <f t="shared" si="156"/>
        <v>0</v>
      </c>
      <c r="X439">
        <f t="shared" si="157"/>
        <v>0</v>
      </c>
      <c r="Y439">
        <f t="shared" si="158"/>
        <v>83.679497</v>
      </c>
      <c r="Z439">
        <f t="shared" si="159"/>
        <v>0</v>
      </c>
      <c r="AA439">
        <f t="shared" si="160"/>
        <v>0</v>
      </c>
      <c r="AB439">
        <f t="shared" si="161"/>
        <v>0</v>
      </c>
      <c r="AC439">
        <f t="shared" si="162"/>
        <v>142.633499</v>
      </c>
    </row>
    <row r="440" spans="2:29">
      <c r="B440" s="5">
        <v>149</v>
      </c>
      <c r="C440" s="6">
        <v>84.401947</v>
      </c>
      <c r="D440" s="6">
        <v>143.697479</v>
      </c>
      <c r="E440">
        <v>0.15</v>
      </c>
      <c r="F440" s="5">
        <f t="shared" si="163"/>
        <v>84.8335998184915</v>
      </c>
      <c r="G440">
        <f t="shared" si="164"/>
        <v>148.443931246028</v>
      </c>
      <c r="H440">
        <f t="shared" si="165"/>
        <v>1.37185975244791</v>
      </c>
      <c r="I440">
        <f t="shared" si="166"/>
        <v>-2.96681074357693</v>
      </c>
      <c r="J440">
        <f t="shared" si="167"/>
        <v>86.2054595709394</v>
      </c>
      <c r="K440">
        <f t="shared" si="168"/>
        <v>145.477120502451</v>
      </c>
      <c r="L440">
        <f t="shared" si="169"/>
        <v>0.000456597382335306</v>
      </c>
      <c r="M440">
        <f t="shared" si="170"/>
        <v>0.000153379300367366</v>
      </c>
      <c r="N440" s="47">
        <f t="shared" si="147"/>
        <v>0.000456597382335306</v>
      </c>
      <c r="O440">
        <f t="shared" si="148"/>
        <v>0</v>
      </c>
      <c r="P440">
        <f t="shared" si="149"/>
        <v>0</v>
      </c>
      <c r="Q440">
        <f t="shared" si="150"/>
        <v>0</v>
      </c>
      <c r="R440">
        <f t="shared" si="151"/>
        <v>0.000153379300367366</v>
      </c>
      <c r="S440">
        <f t="shared" si="152"/>
        <v>0</v>
      </c>
      <c r="T440">
        <f t="shared" si="153"/>
        <v>0</v>
      </c>
      <c r="U440" s="52">
        <f t="shared" si="154"/>
        <v>0</v>
      </c>
      <c r="V440">
        <f t="shared" si="155"/>
        <v>84.401947</v>
      </c>
      <c r="W440">
        <f t="shared" si="156"/>
        <v>0</v>
      </c>
      <c r="X440">
        <f t="shared" si="157"/>
        <v>0</v>
      </c>
      <c r="Y440">
        <f t="shared" si="158"/>
        <v>0</v>
      </c>
      <c r="Z440">
        <f t="shared" si="159"/>
        <v>143.697479</v>
      </c>
      <c r="AA440">
        <f t="shared" si="160"/>
        <v>0</v>
      </c>
      <c r="AB440">
        <f t="shared" si="161"/>
        <v>0</v>
      </c>
      <c r="AC440">
        <f t="shared" si="162"/>
        <v>0</v>
      </c>
    </row>
    <row r="441" spans="2:29">
      <c r="B441" s="5">
        <v>150</v>
      </c>
      <c r="C441" s="6">
        <v>85.445755</v>
      </c>
      <c r="D441" s="6">
        <v>145.805573</v>
      </c>
      <c r="E441">
        <v>0.25</v>
      </c>
      <c r="F441" s="5">
        <f t="shared" si="163"/>
        <v>84.5961907683212</v>
      </c>
      <c r="G441">
        <f t="shared" si="164"/>
        <v>145.833382510712</v>
      </c>
      <c r="H441">
        <f t="shared" si="165"/>
        <v>0.969542551793355</v>
      </c>
      <c r="I441">
        <f t="shared" si="166"/>
        <v>-2.8777452415115</v>
      </c>
      <c r="J441">
        <f t="shared" si="167"/>
        <v>85.5657333201145</v>
      </c>
      <c r="K441">
        <f t="shared" si="168"/>
        <v>142.955637269201</v>
      </c>
      <c r="L441">
        <f t="shared" si="169"/>
        <v>1.97162615411727e-6</v>
      </c>
      <c r="M441">
        <f t="shared" si="170"/>
        <v>0.000382051478480432</v>
      </c>
      <c r="N441" s="47">
        <f t="shared" si="147"/>
        <v>0</v>
      </c>
      <c r="O441">
        <f t="shared" si="148"/>
        <v>1.97162615411727e-6</v>
      </c>
      <c r="P441">
        <f t="shared" si="149"/>
        <v>0</v>
      </c>
      <c r="Q441">
        <f t="shared" si="150"/>
        <v>0</v>
      </c>
      <c r="R441">
        <f t="shared" si="151"/>
        <v>0</v>
      </c>
      <c r="S441">
        <f t="shared" si="152"/>
        <v>0.000382051478480432</v>
      </c>
      <c r="T441">
        <f t="shared" si="153"/>
        <v>0</v>
      </c>
      <c r="U441" s="52">
        <f t="shared" si="154"/>
        <v>0</v>
      </c>
      <c r="V441">
        <f t="shared" si="155"/>
        <v>0</v>
      </c>
      <c r="W441">
        <f t="shared" si="156"/>
        <v>85.445755</v>
      </c>
      <c r="X441">
        <f t="shared" si="157"/>
        <v>0</v>
      </c>
      <c r="Y441">
        <f t="shared" si="158"/>
        <v>0</v>
      </c>
      <c r="Z441">
        <f t="shared" si="159"/>
        <v>0</v>
      </c>
      <c r="AA441">
        <f t="shared" si="160"/>
        <v>145.805573</v>
      </c>
      <c r="AB441">
        <f t="shared" si="161"/>
        <v>0</v>
      </c>
      <c r="AC441">
        <f t="shared" si="162"/>
        <v>0</v>
      </c>
    </row>
    <row r="442" spans="2:29">
      <c r="B442" s="5">
        <v>151</v>
      </c>
      <c r="C442" s="6">
        <v>87.710258</v>
      </c>
      <c r="D442" s="6">
        <v>148.271622</v>
      </c>
      <c r="E442">
        <v>0.45</v>
      </c>
      <c r="F442" s="5">
        <f t="shared" si="163"/>
        <v>85.0634510957445</v>
      </c>
      <c r="G442">
        <f t="shared" si="164"/>
        <v>145.818087279821</v>
      </c>
      <c r="H442">
        <f t="shared" si="165"/>
        <v>0.743515550826858</v>
      </c>
      <c r="I442">
        <f t="shared" si="166"/>
        <v>-1.58964273673265</v>
      </c>
      <c r="J442">
        <f t="shared" si="167"/>
        <v>85.8069666465714</v>
      </c>
      <c r="K442">
        <f t="shared" si="168"/>
        <v>144.228444543088</v>
      </c>
      <c r="L442">
        <f t="shared" si="169"/>
        <v>0.000470879487714286</v>
      </c>
      <c r="M442">
        <f t="shared" si="170"/>
        <v>0.000743583131872805</v>
      </c>
      <c r="N442" s="47">
        <f t="shared" si="147"/>
        <v>0</v>
      </c>
      <c r="O442">
        <f t="shared" si="148"/>
        <v>0</v>
      </c>
      <c r="P442">
        <f t="shared" si="149"/>
        <v>0.000470879487714286</v>
      </c>
      <c r="Q442">
        <f t="shared" si="150"/>
        <v>0</v>
      </c>
      <c r="R442">
        <f t="shared" si="151"/>
        <v>0</v>
      </c>
      <c r="S442">
        <f t="shared" si="152"/>
        <v>0</v>
      </c>
      <c r="T442">
        <f t="shared" si="153"/>
        <v>0.000743583131872805</v>
      </c>
      <c r="U442" s="52">
        <f t="shared" si="154"/>
        <v>0</v>
      </c>
      <c r="V442">
        <f t="shared" si="155"/>
        <v>0</v>
      </c>
      <c r="W442">
        <f t="shared" si="156"/>
        <v>0</v>
      </c>
      <c r="X442">
        <f t="shared" si="157"/>
        <v>87.710258</v>
      </c>
      <c r="Y442">
        <f t="shared" si="158"/>
        <v>0</v>
      </c>
      <c r="Z442">
        <f t="shared" si="159"/>
        <v>0</v>
      </c>
      <c r="AA442">
        <f t="shared" si="160"/>
        <v>0</v>
      </c>
      <c r="AB442">
        <f t="shared" si="161"/>
        <v>148.271622</v>
      </c>
      <c r="AC442">
        <f t="shared" si="162"/>
        <v>0</v>
      </c>
    </row>
    <row r="443" spans="2:29">
      <c r="B443" s="5">
        <v>152</v>
      </c>
      <c r="C443" s="6">
        <v>87.588196</v>
      </c>
      <c r="D443" s="6">
        <v>147.505951</v>
      </c>
      <c r="E443">
        <v>0.85</v>
      </c>
      <c r="F443" s="5">
        <f t="shared" si="163"/>
        <v>86.519194893085</v>
      </c>
      <c r="G443">
        <f t="shared" si="164"/>
        <v>147.167531375919</v>
      </c>
      <c r="H443">
        <f t="shared" si="165"/>
        <v>1.34890956036346</v>
      </c>
      <c r="I443">
        <f t="shared" si="166"/>
        <v>0.908581071173992</v>
      </c>
      <c r="J443">
        <f t="shared" si="167"/>
        <v>87.8681044534485</v>
      </c>
      <c r="K443">
        <f t="shared" si="168"/>
        <v>148.076112447093</v>
      </c>
      <c r="L443">
        <f t="shared" si="169"/>
        <v>1.02127068591744e-5</v>
      </c>
      <c r="M443">
        <f t="shared" si="170"/>
        <v>1.49408949524354e-5</v>
      </c>
      <c r="N443" s="47">
        <f t="shared" si="147"/>
        <v>0</v>
      </c>
      <c r="O443">
        <f t="shared" si="148"/>
        <v>0</v>
      </c>
      <c r="P443">
        <f t="shared" si="149"/>
        <v>0</v>
      </c>
      <c r="Q443">
        <f t="shared" si="150"/>
        <v>1.02127068591744e-5</v>
      </c>
      <c r="R443">
        <f t="shared" si="151"/>
        <v>0</v>
      </c>
      <c r="S443">
        <f t="shared" si="152"/>
        <v>0</v>
      </c>
      <c r="T443">
        <f t="shared" si="153"/>
        <v>0</v>
      </c>
      <c r="U443" s="52">
        <f t="shared" si="154"/>
        <v>1.49408949524354e-5</v>
      </c>
      <c r="V443">
        <f t="shared" si="155"/>
        <v>0</v>
      </c>
      <c r="W443">
        <f t="shared" si="156"/>
        <v>0</v>
      </c>
      <c r="X443">
        <f t="shared" si="157"/>
        <v>0</v>
      </c>
      <c r="Y443">
        <f t="shared" si="158"/>
        <v>87.588196</v>
      </c>
      <c r="Z443">
        <f t="shared" si="159"/>
        <v>0</v>
      </c>
      <c r="AA443">
        <f t="shared" si="160"/>
        <v>0</v>
      </c>
      <c r="AB443">
        <f t="shared" si="161"/>
        <v>0</v>
      </c>
      <c r="AC443">
        <f t="shared" si="162"/>
        <v>147.505951</v>
      </c>
    </row>
    <row r="444" spans="2:29">
      <c r="B444" s="5">
        <v>153</v>
      </c>
      <c r="C444" s="6">
        <v>87.623077</v>
      </c>
      <c r="D444" s="6">
        <v>147.396561</v>
      </c>
      <c r="E444">
        <v>0.15</v>
      </c>
      <c r="F444" s="5">
        <f t="shared" si="163"/>
        <v>87.1071455018883</v>
      </c>
      <c r="G444">
        <f t="shared" si="164"/>
        <v>147.353662169164</v>
      </c>
      <c r="H444">
        <f t="shared" si="165"/>
        <v>1.23476571762942</v>
      </c>
      <c r="I444">
        <f t="shared" si="166"/>
        <v>0.800213529484551</v>
      </c>
      <c r="J444">
        <f t="shared" si="167"/>
        <v>88.3419112195177</v>
      </c>
      <c r="K444">
        <f t="shared" si="168"/>
        <v>148.153875698648</v>
      </c>
      <c r="L444">
        <f t="shared" si="169"/>
        <v>6.73008402566027e-5</v>
      </c>
      <c r="M444">
        <f t="shared" si="170"/>
        <v>2.6398428281856e-5</v>
      </c>
      <c r="N444" s="47">
        <f t="shared" si="147"/>
        <v>6.73008402566027e-5</v>
      </c>
      <c r="O444">
        <f t="shared" si="148"/>
        <v>0</v>
      </c>
      <c r="P444">
        <f t="shared" si="149"/>
        <v>0</v>
      </c>
      <c r="Q444">
        <f t="shared" si="150"/>
        <v>0</v>
      </c>
      <c r="R444">
        <f t="shared" si="151"/>
        <v>2.6398428281856e-5</v>
      </c>
      <c r="S444">
        <f t="shared" si="152"/>
        <v>0</v>
      </c>
      <c r="T444">
        <f t="shared" si="153"/>
        <v>0</v>
      </c>
      <c r="U444" s="52">
        <f t="shared" si="154"/>
        <v>0</v>
      </c>
      <c r="V444">
        <f t="shared" si="155"/>
        <v>87.623077</v>
      </c>
      <c r="W444">
        <f t="shared" si="156"/>
        <v>0</v>
      </c>
      <c r="X444">
        <f t="shared" si="157"/>
        <v>0</v>
      </c>
      <c r="Y444">
        <f t="shared" si="158"/>
        <v>0</v>
      </c>
      <c r="Z444">
        <f t="shared" si="159"/>
        <v>147.396561</v>
      </c>
      <c r="AA444">
        <f t="shared" si="160"/>
        <v>0</v>
      </c>
      <c r="AB444">
        <f t="shared" si="161"/>
        <v>0</v>
      </c>
      <c r="AC444">
        <f t="shared" si="162"/>
        <v>0</v>
      </c>
    </row>
    <row r="445" spans="2:29">
      <c r="B445" s="5">
        <v>154</v>
      </c>
      <c r="C445" s="6">
        <v>87.122337</v>
      </c>
      <c r="D445" s="6">
        <v>144.552643</v>
      </c>
      <c r="E445">
        <v>0.25</v>
      </c>
      <c r="F445" s="5">
        <f t="shared" si="163"/>
        <v>87.3909078258497</v>
      </c>
      <c r="G445">
        <f t="shared" si="164"/>
        <v>147.377256526124</v>
      </c>
      <c r="H445">
        <f t="shared" si="165"/>
        <v>0.99701486921243</v>
      </c>
      <c r="I445">
        <f t="shared" si="166"/>
        <v>0.606058736353404</v>
      </c>
      <c r="J445">
        <f t="shared" si="167"/>
        <v>88.3879226950621</v>
      </c>
      <c r="K445">
        <f t="shared" si="168"/>
        <v>147.983315262477</v>
      </c>
      <c r="L445">
        <f t="shared" si="169"/>
        <v>0.000211020224891955</v>
      </c>
      <c r="M445">
        <f t="shared" si="170"/>
        <v>0.000563256729260834</v>
      </c>
      <c r="N445" s="47">
        <f t="shared" si="147"/>
        <v>0</v>
      </c>
      <c r="O445">
        <f t="shared" si="148"/>
        <v>0.000211020224891955</v>
      </c>
      <c r="P445">
        <f t="shared" si="149"/>
        <v>0</v>
      </c>
      <c r="Q445">
        <f t="shared" si="150"/>
        <v>0</v>
      </c>
      <c r="R445">
        <f t="shared" si="151"/>
        <v>0</v>
      </c>
      <c r="S445">
        <f t="shared" si="152"/>
        <v>0.000563256729260834</v>
      </c>
      <c r="T445">
        <f t="shared" si="153"/>
        <v>0</v>
      </c>
      <c r="U445" s="52">
        <f t="shared" si="154"/>
        <v>0</v>
      </c>
      <c r="V445">
        <f t="shared" si="155"/>
        <v>0</v>
      </c>
      <c r="W445">
        <f t="shared" si="156"/>
        <v>87.122337</v>
      </c>
      <c r="X445">
        <f t="shared" si="157"/>
        <v>0</v>
      </c>
      <c r="Y445">
        <f t="shared" si="158"/>
        <v>0</v>
      </c>
      <c r="Z445">
        <f t="shared" si="159"/>
        <v>0</v>
      </c>
      <c r="AA445">
        <f t="shared" si="160"/>
        <v>144.552643</v>
      </c>
      <c r="AB445">
        <f t="shared" si="161"/>
        <v>0</v>
      </c>
      <c r="AC445">
        <f t="shared" si="162"/>
        <v>0</v>
      </c>
    </row>
    <row r="446" spans="2:29">
      <c r="B446" s="5">
        <v>155</v>
      </c>
      <c r="C446" s="6">
        <v>89.401787</v>
      </c>
      <c r="D446" s="6">
        <v>144.125061</v>
      </c>
      <c r="E446">
        <v>0.45</v>
      </c>
      <c r="F446" s="5">
        <f t="shared" si="163"/>
        <v>87.2431938716324</v>
      </c>
      <c r="G446">
        <f t="shared" si="164"/>
        <v>145.823719086756</v>
      </c>
      <c r="H446">
        <f t="shared" si="165"/>
        <v>0.481886898669035</v>
      </c>
      <c r="I446">
        <f t="shared" si="166"/>
        <v>-0.365759542721228</v>
      </c>
      <c r="J446">
        <f t="shared" si="167"/>
        <v>87.7250807703014</v>
      </c>
      <c r="K446">
        <f t="shared" si="168"/>
        <v>145.457959544034</v>
      </c>
      <c r="L446">
        <f t="shared" si="169"/>
        <v>0.000351739835695864</v>
      </c>
      <c r="M446">
        <f t="shared" si="170"/>
        <v>8.55293514542961e-5</v>
      </c>
      <c r="N446" s="47">
        <f t="shared" si="147"/>
        <v>0</v>
      </c>
      <c r="O446">
        <f t="shared" si="148"/>
        <v>0</v>
      </c>
      <c r="P446">
        <f t="shared" si="149"/>
        <v>0.000351739835695864</v>
      </c>
      <c r="Q446">
        <f t="shared" si="150"/>
        <v>0</v>
      </c>
      <c r="R446">
        <f t="shared" si="151"/>
        <v>0</v>
      </c>
      <c r="S446">
        <f t="shared" si="152"/>
        <v>0</v>
      </c>
      <c r="T446">
        <f t="shared" si="153"/>
        <v>8.55293514542961e-5</v>
      </c>
      <c r="U446" s="52">
        <f t="shared" si="154"/>
        <v>0</v>
      </c>
      <c r="V446">
        <f t="shared" si="155"/>
        <v>0</v>
      </c>
      <c r="W446">
        <f t="shared" si="156"/>
        <v>0</v>
      </c>
      <c r="X446">
        <f t="shared" si="157"/>
        <v>89.401787</v>
      </c>
      <c r="Y446">
        <f t="shared" si="158"/>
        <v>0</v>
      </c>
      <c r="Z446">
        <f t="shared" si="159"/>
        <v>0</v>
      </c>
      <c r="AA446">
        <f t="shared" si="160"/>
        <v>0</v>
      </c>
      <c r="AB446">
        <f t="shared" si="161"/>
        <v>144.125061</v>
      </c>
      <c r="AC446">
        <f t="shared" si="162"/>
        <v>0</v>
      </c>
    </row>
    <row r="447" spans="2:29">
      <c r="B447" s="5">
        <v>156</v>
      </c>
      <c r="C447" s="6">
        <v>91.310051</v>
      </c>
      <c r="D447" s="6">
        <v>144.045517</v>
      </c>
      <c r="E447">
        <v>0.85</v>
      </c>
      <c r="F447" s="5">
        <f t="shared" si="163"/>
        <v>88.4304200922346</v>
      </c>
      <c r="G447">
        <f t="shared" si="164"/>
        <v>144.88945713904</v>
      </c>
      <c r="H447">
        <f t="shared" si="165"/>
        <v>1.08142532231221</v>
      </c>
      <c r="I447">
        <f t="shared" si="166"/>
        <v>-0.848986586966454</v>
      </c>
      <c r="J447">
        <f t="shared" si="167"/>
        <v>89.5118454145468</v>
      </c>
      <c r="K447">
        <f t="shared" si="168"/>
        <v>144.040470552074</v>
      </c>
      <c r="L447">
        <f t="shared" si="169"/>
        <v>0.000387830101515726</v>
      </c>
      <c r="M447">
        <f t="shared" si="170"/>
        <v>1.22736037768419e-9</v>
      </c>
      <c r="N447" s="47">
        <f t="shared" si="147"/>
        <v>0</v>
      </c>
      <c r="O447">
        <f t="shared" si="148"/>
        <v>0</v>
      </c>
      <c r="P447">
        <f t="shared" si="149"/>
        <v>0</v>
      </c>
      <c r="Q447">
        <f t="shared" si="150"/>
        <v>0.000387830101515726</v>
      </c>
      <c r="R447">
        <f t="shared" si="151"/>
        <v>0</v>
      </c>
      <c r="S447">
        <f t="shared" si="152"/>
        <v>0</v>
      </c>
      <c r="T447">
        <f t="shared" si="153"/>
        <v>0</v>
      </c>
      <c r="U447" s="52">
        <f t="shared" si="154"/>
        <v>1.22736037768419e-9</v>
      </c>
      <c r="V447">
        <f t="shared" si="155"/>
        <v>0</v>
      </c>
      <c r="W447">
        <f t="shared" si="156"/>
        <v>0</v>
      </c>
      <c r="X447">
        <f t="shared" si="157"/>
        <v>0</v>
      </c>
      <c r="Y447">
        <f t="shared" si="158"/>
        <v>91.310051</v>
      </c>
      <c r="Z447">
        <f t="shared" si="159"/>
        <v>0</v>
      </c>
      <c r="AA447">
        <f t="shared" si="160"/>
        <v>0</v>
      </c>
      <c r="AB447">
        <f t="shared" si="161"/>
        <v>0</v>
      </c>
      <c r="AC447">
        <f t="shared" si="162"/>
        <v>144.045517</v>
      </c>
    </row>
    <row r="448" spans="2:29">
      <c r="B448" s="5">
        <v>157</v>
      </c>
      <c r="C448" s="6">
        <v>89.698242</v>
      </c>
      <c r="D448" s="6">
        <v>137.572128</v>
      </c>
      <c r="E448">
        <v>0.15</v>
      </c>
      <c r="F448" s="5">
        <f t="shared" si="163"/>
        <v>90.0142170915055</v>
      </c>
      <c r="G448">
        <f t="shared" si="164"/>
        <v>144.425290062568</v>
      </c>
      <c r="H448">
        <f t="shared" si="165"/>
        <v>1.15678107385603</v>
      </c>
      <c r="I448">
        <f t="shared" si="166"/>
        <v>-0.791263660392285</v>
      </c>
      <c r="J448">
        <f t="shared" si="167"/>
        <v>91.1709981653616</v>
      </c>
      <c r="K448">
        <f t="shared" si="168"/>
        <v>143.634026402176</v>
      </c>
      <c r="L448">
        <f t="shared" si="169"/>
        <v>0.000269583828235447</v>
      </c>
      <c r="M448">
        <f t="shared" si="170"/>
        <v>0.00194158494738814</v>
      </c>
      <c r="N448" s="47">
        <f t="shared" si="147"/>
        <v>0.000269583828235447</v>
      </c>
      <c r="O448">
        <f t="shared" si="148"/>
        <v>0</v>
      </c>
      <c r="P448">
        <f t="shared" si="149"/>
        <v>0</v>
      </c>
      <c r="Q448">
        <f t="shared" si="150"/>
        <v>0</v>
      </c>
      <c r="R448">
        <f t="shared" si="151"/>
        <v>0.00194158494738814</v>
      </c>
      <c r="S448">
        <f t="shared" si="152"/>
        <v>0</v>
      </c>
      <c r="T448">
        <f t="shared" si="153"/>
        <v>0</v>
      </c>
      <c r="U448" s="52">
        <f t="shared" si="154"/>
        <v>0</v>
      </c>
      <c r="V448">
        <f t="shared" si="155"/>
        <v>89.698242</v>
      </c>
      <c r="W448">
        <f t="shared" si="156"/>
        <v>0</v>
      </c>
      <c r="X448">
        <f t="shared" si="157"/>
        <v>0</v>
      </c>
      <c r="Y448">
        <f t="shared" si="158"/>
        <v>0</v>
      </c>
      <c r="Z448">
        <f t="shared" si="159"/>
        <v>137.572128</v>
      </c>
      <c r="AA448">
        <f t="shared" si="160"/>
        <v>0</v>
      </c>
      <c r="AB448">
        <f t="shared" si="161"/>
        <v>0</v>
      </c>
      <c r="AC448">
        <f t="shared" si="162"/>
        <v>0</v>
      </c>
    </row>
    <row r="449" spans="2:29">
      <c r="B449" s="5">
        <v>158</v>
      </c>
      <c r="C449" s="6">
        <v>90.889038</v>
      </c>
      <c r="D449" s="6">
        <v>141.659012</v>
      </c>
      <c r="E449">
        <v>0.25</v>
      </c>
      <c r="F449" s="5">
        <f t="shared" si="163"/>
        <v>89.8404307911775</v>
      </c>
      <c r="G449">
        <f t="shared" si="164"/>
        <v>140.656050928156</v>
      </c>
      <c r="H449">
        <f t="shared" si="165"/>
        <v>0.824139230310006</v>
      </c>
      <c r="I449">
        <f t="shared" si="166"/>
        <v>-1.53575752889732</v>
      </c>
      <c r="J449">
        <f t="shared" si="167"/>
        <v>90.6645700214875</v>
      </c>
      <c r="K449">
        <f t="shared" si="168"/>
        <v>139.120293399258</v>
      </c>
      <c r="L449">
        <f t="shared" si="169"/>
        <v>6.09938120931424e-6</v>
      </c>
      <c r="M449">
        <f t="shared" si="170"/>
        <v>0.000321174245884977</v>
      </c>
      <c r="N449" s="47">
        <f t="shared" si="147"/>
        <v>0</v>
      </c>
      <c r="O449">
        <f t="shared" si="148"/>
        <v>6.09938120931424e-6</v>
      </c>
      <c r="P449">
        <f t="shared" si="149"/>
        <v>0</v>
      </c>
      <c r="Q449">
        <f t="shared" si="150"/>
        <v>0</v>
      </c>
      <c r="R449">
        <f t="shared" si="151"/>
        <v>0</v>
      </c>
      <c r="S449">
        <f t="shared" si="152"/>
        <v>0.000321174245884977</v>
      </c>
      <c r="T449">
        <f t="shared" si="153"/>
        <v>0</v>
      </c>
      <c r="U449" s="52">
        <f t="shared" si="154"/>
        <v>0</v>
      </c>
      <c r="V449">
        <f t="shared" si="155"/>
        <v>0</v>
      </c>
      <c r="W449">
        <f t="shared" si="156"/>
        <v>90.889038</v>
      </c>
      <c r="X449">
        <f t="shared" si="157"/>
        <v>0</v>
      </c>
      <c r="Y449">
        <f t="shared" si="158"/>
        <v>0</v>
      </c>
      <c r="Z449">
        <f t="shared" si="159"/>
        <v>0</v>
      </c>
      <c r="AA449">
        <f t="shared" si="160"/>
        <v>141.659012</v>
      </c>
      <c r="AB449">
        <f t="shared" si="161"/>
        <v>0</v>
      </c>
      <c r="AC449">
        <f t="shared" si="162"/>
        <v>0</v>
      </c>
    </row>
    <row r="450" spans="2:29">
      <c r="B450" s="5">
        <v>159</v>
      </c>
      <c r="C450" s="6">
        <v>88.096405</v>
      </c>
      <c r="D450" s="6">
        <v>137.432907</v>
      </c>
      <c r="E450">
        <v>0.45</v>
      </c>
      <c r="F450" s="5">
        <f t="shared" si="163"/>
        <v>90.4171647560299</v>
      </c>
      <c r="G450">
        <f t="shared" si="164"/>
        <v>141.20767951767</v>
      </c>
      <c r="H450">
        <f t="shared" si="165"/>
        <v>0.712806860854081</v>
      </c>
      <c r="I450">
        <f t="shared" si="166"/>
        <v>-0.596433775612037</v>
      </c>
      <c r="J450">
        <f t="shared" si="167"/>
        <v>91.129971616884</v>
      </c>
      <c r="K450">
        <f t="shared" si="168"/>
        <v>140.611245742058</v>
      </c>
      <c r="L450">
        <f t="shared" si="169"/>
        <v>0.00118574335734915</v>
      </c>
      <c r="M450">
        <f t="shared" si="170"/>
        <v>0.000534833864148138</v>
      </c>
      <c r="N450" s="47">
        <f t="shared" si="147"/>
        <v>0</v>
      </c>
      <c r="O450">
        <f t="shared" si="148"/>
        <v>0</v>
      </c>
      <c r="P450">
        <f t="shared" si="149"/>
        <v>0.00118574335734915</v>
      </c>
      <c r="Q450">
        <f t="shared" si="150"/>
        <v>0</v>
      </c>
      <c r="R450">
        <f t="shared" si="151"/>
        <v>0</v>
      </c>
      <c r="S450">
        <f t="shared" si="152"/>
        <v>0</v>
      </c>
      <c r="T450">
        <f t="shared" si="153"/>
        <v>0.000534833864148138</v>
      </c>
      <c r="U450" s="52">
        <f t="shared" si="154"/>
        <v>0</v>
      </c>
      <c r="V450">
        <f t="shared" si="155"/>
        <v>0</v>
      </c>
      <c r="W450">
        <f t="shared" si="156"/>
        <v>0</v>
      </c>
      <c r="X450">
        <f t="shared" si="157"/>
        <v>88.096405</v>
      </c>
      <c r="Y450">
        <f t="shared" si="158"/>
        <v>0</v>
      </c>
      <c r="Z450">
        <f t="shared" si="159"/>
        <v>0</v>
      </c>
      <c r="AA450">
        <f t="shared" si="160"/>
        <v>0</v>
      </c>
      <c r="AB450">
        <f t="shared" si="161"/>
        <v>137.432907</v>
      </c>
      <c r="AC450">
        <f t="shared" si="162"/>
        <v>0</v>
      </c>
    </row>
    <row r="451" spans="2:29">
      <c r="B451" s="5">
        <v>160</v>
      </c>
      <c r="C451" s="6">
        <v>90.126732</v>
      </c>
      <c r="D451" s="6">
        <v>142.434631</v>
      </c>
      <c r="E451">
        <v>0.85</v>
      </c>
      <c r="F451" s="5">
        <f t="shared" si="163"/>
        <v>89.1407468902134</v>
      </c>
      <c r="G451">
        <f t="shared" si="164"/>
        <v>139.131554632952</v>
      </c>
      <c r="H451">
        <f t="shared" si="165"/>
        <v>-0.978034156815851</v>
      </c>
      <c r="I451">
        <f t="shared" si="166"/>
        <v>-1.85417121835253</v>
      </c>
      <c r="J451">
        <f t="shared" si="167"/>
        <v>88.1627127333976</v>
      </c>
      <c r="K451">
        <f t="shared" si="168"/>
        <v>137.277383414599</v>
      </c>
      <c r="L451">
        <f t="shared" si="169"/>
        <v>0.000474880394437643</v>
      </c>
      <c r="M451">
        <f t="shared" si="170"/>
        <v>0.00131100628222391</v>
      </c>
      <c r="N451" s="47">
        <f t="shared" si="147"/>
        <v>0</v>
      </c>
      <c r="O451">
        <f t="shared" si="148"/>
        <v>0</v>
      </c>
      <c r="P451">
        <f t="shared" si="149"/>
        <v>0</v>
      </c>
      <c r="Q451">
        <f t="shared" si="150"/>
        <v>0.000474880394437643</v>
      </c>
      <c r="R451">
        <f t="shared" si="151"/>
        <v>0</v>
      </c>
      <c r="S451">
        <f t="shared" si="152"/>
        <v>0</v>
      </c>
      <c r="T451">
        <f t="shared" si="153"/>
        <v>0</v>
      </c>
      <c r="U451" s="52">
        <f t="shared" si="154"/>
        <v>0.00131100628222391</v>
      </c>
      <c r="V451">
        <f t="shared" si="155"/>
        <v>0</v>
      </c>
      <c r="W451">
        <f t="shared" si="156"/>
        <v>0</v>
      </c>
      <c r="X451">
        <f t="shared" si="157"/>
        <v>0</v>
      </c>
      <c r="Y451">
        <f t="shared" si="158"/>
        <v>90.126732</v>
      </c>
      <c r="Z451">
        <f t="shared" si="159"/>
        <v>0</v>
      </c>
      <c r="AA451">
        <f t="shared" si="160"/>
        <v>0</v>
      </c>
      <c r="AB451">
        <f t="shared" si="161"/>
        <v>0</v>
      </c>
      <c r="AC451">
        <f t="shared" si="162"/>
        <v>142.434631</v>
      </c>
    </row>
    <row r="452" spans="2:29">
      <c r="B452" s="5">
        <v>161</v>
      </c>
      <c r="C452" s="6">
        <v>90.879066</v>
      </c>
      <c r="D452" s="6">
        <v>143.777023</v>
      </c>
      <c r="E452">
        <v>0.15</v>
      </c>
      <c r="F452" s="5">
        <f t="shared" si="163"/>
        <v>89.6830387005961</v>
      </c>
      <c r="G452">
        <f t="shared" si="164"/>
        <v>140.948246634828</v>
      </c>
      <c r="H452">
        <f t="shared" si="165"/>
        <v>-0.749985261736082</v>
      </c>
      <c r="I452">
        <f t="shared" si="166"/>
        <v>-1.30354173531815</v>
      </c>
      <c r="J452">
        <f t="shared" si="167"/>
        <v>88.93305343886</v>
      </c>
      <c r="K452">
        <f t="shared" si="168"/>
        <v>139.64470489951</v>
      </c>
      <c r="L452">
        <f t="shared" si="169"/>
        <v>0.000458525579600049</v>
      </c>
      <c r="M452">
        <f t="shared" si="170"/>
        <v>0.000826054149458694</v>
      </c>
      <c r="N452" s="47">
        <f t="shared" si="147"/>
        <v>0.000458525579600049</v>
      </c>
      <c r="O452">
        <f t="shared" si="148"/>
        <v>0</v>
      </c>
      <c r="P452">
        <f t="shared" si="149"/>
        <v>0</v>
      </c>
      <c r="Q452">
        <f t="shared" si="150"/>
        <v>0</v>
      </c>
      <c r="R452">
        <f t="shared" si="151"/>
        <v>0.000826054149458694</v>
      </c>
      <c r="S452">
        <f t="shared" si="152"/>
        <v>0</v>
      </c>
      <c r="T452">
        <f t="shared" si="153"/>
        <v>0</v>
      </c>
      <c r="U452" s="52">
        <f t="shared" si="154"/>
        <v>0</v>
      </c>
      <c r="V452">
        <f t="shared" si="155"/>
        <v>90.879066</v>
      </c>
      <c r="W452">
        <f t="shared" si="156"/>
        <v>0</v>
      </c>
      <c r="X452">
        <f t="shared" si="157"/>
        <v>0</v>
      </c>
      <c r="Y452">
        <f t="shared" si="158"/>
        <v>0</v>
      </c>
      <c r="Z452">
        <f t="shared" si="159"/>
        <v>143.777023</v>
      </c>
      <c r="AA452">
        <f t="shared" si="160"/>
        <v>0</v>
      </c>
      <c r="AB452">
        <f t="shared" si="161"/>
        <v>0</v>
      </c>
      <c r="AC452">
        <f t="shared" si="162"/>
        <v>0</v>
      </c>
    </row>
    <row r="453" spans="2:29">
      <c r="B453" s="5">
        <v>162</v>
      </c>
      <c r="C453" s="6">
        <v>90.707176</v>
      </c>
      <c r="D453" s="6">
        <v>143.299728</v>
      </c>
      <c r="E453">
        <v>0.25</v>
      </c>
      <c r="F453" s="5">
        <f t="shared" si="163"/>
        <v>90.3408537152682</v>
      </c>
      <c r="G453">
        <f t="shared" si="164"/>
        <v>142.504073635673</v>
      </c>
      <c r="H453">
        <f t="shared" si="165"/>
        <v>-0.39803519263402</v>
      </c>
      <c r="I453">
        <f t="shared" si="166"/>
        <v>-0.588699551277488</v>
      </c>
      <c r="J453">
        <f t="shared" si="167"/>
        <v>89.9428185226342</v>
      </c>
      <c r="K453">
        <f t="shared" si="168"/>
        <v>141.915374084395</v>
      </c>
      <c r="L453">
        <f t="shared" si="169"/>
        <v>7.10084028590346e-5</v>
      </c>
      <c r="M453">
        <f t="shared" si="170"/>
        <v>9.33261896657461e-5</v>
      </c>
      <c r="N453" s="47">
        <f t="shared" si="147"/>
        <v>0</v>
      </c>
      <c r="O453">
        <f t="shared" si="148"/>
        <v>7.10084028590346e-5</v>
      </c>
      <c r="P453">
        <f t="shared" si="149"/>
        <v>0</v>
      </c>
      <c r="Q453">
        <f t="shared" si="150"/>
        <v>0</v>
      </c>
      <c r="R453">
        <f t="shared" si="151"/>
        <v>0</v>
      </c>
      <c r="S453">
        <f t="shared" si="152"/>
        <v>9.33261896657461e-5</v>
      </c>
      <c r="T453">
        <f t="shared" si="153"/>
        <v>0</v>
      </c>
      <c r="U453" s="52">
        <f t="shared" si="154"/>
        <v>0</v>
      </c>
      <c r="V453">
        <f t="shared" si="155"/>
        <v>0</v>
      </c>
      <c r="W453">
        <f t="shared" si="156"/>
        <v>90.707176</v>
      </c>
      <c r="X453">
        <f t="shared" si="157"/>
        <v>0</v>
      </c>
      <c r="Y453">
        <f t="shared" si="158"/>
        <v>0</v>
      </c>
      <c r="Z453">
        <f t="shared" si="159"/>
        <v>0</v>
      </c>
      <c r="AA453">
        <f t="shared" si="160"/>
        <v>143.299728</v>
      </c>
      <c r="AB453">
        <f t="shared" si="161"/>
        <v>0</v>
      </c>
      <c r="AC453">
        <f t="shared" si="162"/>
        <v>0</v>
      </c>
    </row>
    <row r="454" spans="2:29">
      <c r="B454" s="5">
        <v>163</v>
      </c>
      <c r="C454" s="6">
        <v>90.707176</v>
      </c>
      <c r="D454" s="6">
        <v>144.20462</v>
      </c>
      <c r="E454">
        <v>0.45</v>
      </c>
      <c r="F454" s="5">
        <f t="shared" si="163"/>
        <v>90.5423309718707</v>
      </c>
      <c r="G454">
        <f t="shared" si="164"/>
        <v>142.941683536053</v>
      </c>
      <c r="H454">
        <f t="shared" si="165"/>
        <v>-0.128254590477591</v>
      </c>
      <c r="I454">
        <f t="shared" si="166"/>
        <v>-0.126860298031614</v>
      </c>
      <c r="J454">
        <f t="shared" si="167"/>
        <v>90.4140763813931</v>
      </c>
      <c r="K454">
        <f t="shared" si="168"/>
        <v>142.814823238021</v>
      </c>
      <c r="L454">
        <f t="shared" si="169"/>
        <v>1.04411230554357e-5</v>
      </c>
      <c r="M454">
        <f t="shared" si="170"/>
        <v>9.28847126953354e-5</v>
      </c>
      <c r="N454" s="47">
        <f t="shared" ref="N454:N517" si="171">IF(E454=0.15,L454,0)</f>
        <v>0</v>
      </c>
      <c r="O454">
        <f t="shared" ref="O454:O517" si="172">IF(E454=0.25,L454,0)</f>
        <v>0</v>
      </c>
      <c r="P454">
        <f t="shared" ref="P454:P517" si="173">IF(E454=0.45,L454,0)</f>
        <v>1.04411230554357e-5</v>
      </c>
      <c r="Q454">
        <f t="shared" ref="Q454:Q517" si="174">IF(E454=0.85,L454,0)</f>
        <v>0</v>
      </c>
      <c r="R454">
        <f t="shared" ref="R454:R517" si="175">IF(E454=0.15,M454,0)</f>
        <v>0</v>
      </c>
      <c r="S454">
        <f t="shared" ref="S454:S517" si="176">IF(E454=0.25,M454,0)</f>
        <v>0</v>
      </c>
      <c r="T454">
        <f t="shared" ref="T454:T517" si="177">IF(E454=0.45,M454,0)</f>
        <v>9.28847126953354e-5</v>
      </c>
      <c r="U454" s="52">
        <f t="shared" ref="U454:U517" si="178">IF(E454=0.85,M454,0)</f>
        <v>0</v>
      </c>
      <c r="V454">
        <f t="shared" ref="V454:V517" si="179">IF(E454=0.15,C454,0)</f>
        <v>0</v>
      </c>
      <c r="W454">
        <f t="shared" ref="W454:W517" si="180">IF(E454=0.25,C454,0)</f>
        <v>0</v>
      </c>
      <c r="X454">
        <f t="shared" ref="X454:X517" si="181">IF(E454=0.45,C454,0)</f>
        <v>90.707176</v>
      </c>
      <c r="Y454">
        <f t="shared" ref="Y454:Y517" si="182">IF(E454=0.85,C454,0)</f>
        <v>0</v>
      </c>
      <c r="Z454">
        <f t="shared" ref="Z454:Z517" si="183">IF(E454=0.15,D454,0)</f>
        <v>0</v>
      </c>
      <c r="AA454">
        <f t="shared" ref="AA454:AA517" si="184">IF(E454=0.25,D454,0)</f>
        <v>0</v>
      </c>
      <c r="AB454">
        <f t="shared" ref="AB454:AB517" si="185">IF(E454=0.45,D454,0)</f>
        <v>144.20462</v>
      </c>
      <c r="AC454">
        <f t="shared" ref="AC454:AC517" si="186">IF(E454=0.85,D454,0)</f>
        <v>0</v>
      </c>
    </row>
    <row r="455" spans="2:29">
      <c r="B455" s="5">
        <v>164</v>
      </c>
      <c r="C455" s="6">
        <v>93.133614</v>
      </c>
      <c r="D455" s="6">
        <v>146.392242</v>
      </c>
      <c r="E455">
        <v>0.85</v>
      </c>
      <c r="F455" s="5">
        <f t="shared" si="163"/>
        <v>90.6329957373418</v>
      </c>
      <c r="G455">
        <f t="shared" si="164"/>
        <v>143.636298591224</v>
      </c>
      <c r="H455">
        <f t="shared" si="165"/>
        <v>0.0578268620787994</v>
      </c>
      <c r="I455">
        <f t="shared" si="166"/>
        <v>0.571393752190631</v>
      </c>
      <c r="J455">
        <f t="shared" si="167"/>
        <v>90.6908225994206</v>
      </c>
      <c r="K455">
        <f t="shared" si="168"/>
        <v>144.207692343414</v>
      </c>
      <c r="L455">
        <f t="shared" si="169"/>
        <v>0.000687954717759991</v>
      </c>
      <c r="M455">
        <f t="shared" si="170"/>
        <v>0.000222683335541355</v>
      </c>
      <c r="N455" s="47">
        <f t="shared" si="171"/>
        <v>0</v>
      </c>
      <c r="O455">
        <f t="shared" si="172"/>
        <v>0</v>
      </c>
      <c r="P455">
        <f t="shared" si="173"/>
        <v>0</v>
      </c>
      <c r="Q455">
        <f t="shared" si="174"/>
        <v>0.000687954717759991</v>
      </c>
      <c r="R455">
        <f t="shared" si="175"/>
        <v>0</v>
      </c>
      <c r="S455">
        <f t="shared" si="176"/>
        <v>0</v>
      </c>
      <c r="T455">
        <f t="shared" si="177"/>
        <v>0</v>
      </c>
      <c r="U455" s="52">
        <f t="shared" si="178"/>
        <v>0.000222683335541355</v>
      </c>
      <c r="V455">
        <f t="shared" si="179"/>
        <v>0</v>
      </c>
      <c r="W455">
        <f t="shared" si="180"/>
        <v>0</v>
      </c>
      <c r="X455">
        <f t="shared" si="181"/>
        <v>0</v>
      </c>
      <c r="Y455">
        <f t="shared" si="182"/>
        <v>93.133614</v>
      </c>
      <c r="Z455">
        <f t="shared" si="183"/>
        <v>0</v>
      </c>
      <c r="AA455">
        <f t="shared" si="184"/>
        <v>0</v>
      </c>
      <c r="AB455">
        <f t="shared" si="185"/>
        <v>0</v>
      </c>
      <c r="AC455">
        <f t="shared" si="186"/>
        <v>146.392242</v>
      </c>
    </row>
    <row r="456" spans="2:29">
      <c r="B456" s="5">
        <v>165</v>
      </c>
      <c r="C456" s="6">
        <v>92.844635</v>
      </c>
      <c r="D456" s="6">
        <v>144.154892</v>
      </c>
      <c r="E456">
        <v>0.15</v>
      </c>
      <c r="F456" s="5">
        <f t="shared" si="163"/>
        <v>92.0083357818038</v>
      </c>
      <c r="G456">
        <f t="shared" si="164"/>
        <v>145.152067466051</v>
      </c>
      <c r="H456">
        <f t="shared" si="165"/>
        <v>0.255453839436281</v>
      </c>
      <c r="I456">
        <f t="shared" si="166"/>
        <v>0.713050020586076</v>
      </c>
      <c r="J456">
        <f t="shared" si="167"/>
        <v>92.2637896212401</v>
      </c>
      <c r="K456">
        <f t="shared" si="168"/>
        <v>145.865117486637</v>
      </c>
      <c r="L456">
        <f t="shared" si="169"/>
        <v>3.91387949908404e-5</v>
      </c>
      <c r="M456">
        <f t="shared" si="170"/>
        <v>0.00014074986219004</v>
      </c>
      <c r="N456" s="47">
        <f t="shared" si="171"/>
        <v>3.91387949908404e-5</v>
      </c>
      <c r="O456">
        <f t="shared" si="172"/>
        <v>0</v>
      </c>
      <c r="P456">
        <f t="shared" si="173"/>
        <v>0</v>
      </c>
      <c r="Q456">
        <f t="shared" si="174"/>
        <v>0</v>
      </c>
      <c r="R456">
        <f t="shared" si="175"/>
        <v>0.00014074986219004</v>
      </c>
      <c r="S456">
        <f t="shared" si="176"/>
        <v>0</v>
      </c>
      <c r="T456">
        <f t="shared" si="177"/>
        <v>0</v>
      </c>
      <c r="U456" s="52">
        <f t="shared" si="178"/>
        <v>0</v>
      </c>
      <c r="V456">
        <f t="shared" si="179"/>
        <v>92.844635</v>
      </c>
      <c r="W456">
        <f t="shared" si="180"/>
        <v>0</v>
      </c>
      <c r="X456">
        <f t="shared" si="181"/>
        <v>0</v>
      </c>
      <c r="Y456">
        <f t="shared" si="182"/>
        <v>0</v>
      </c>
      <c r="Z456">
        <f t="shared" si="183"/>
        <v>144.154892</v>
      </c>
      <c r="AA456">
        <f t="shared" si="184"/>
        <v>0</v>
      </c>
      <c r="AB456">
        <f t="shared" si="185"/>
        <v>0</v>
      </c>
      <c r="AC456">
        <f t="shared" si="186"/>
        <v>0</v>
      </c>
    </row>
    <row r="457" spans="2:29">
      <c r="B457" s="5">
        <v>166</v>
      </c>
      <c r="C457" s="6">
        <v>95.006996</v>
      </c>
      <c r="D457" s="6">
        <v>144.771408</v>
      </c>
      <c r="E457">
        <v>0.25</v>
      </c>
      <c r="F457" s="5">
        <f t="shared" si="163"/>
        <v>92.4683003518117</v>
      </c>
      <c r="G457">
        <f t="shared" si="164"/>
        <v>144.603620959723</v>
      </c>
      <c r="H457">
        <f t="shared" si="165"/>
        <v>0.306581522079181</v>
      </c>
      <c r="I457">
        <f t="shared" si="166"/>
        <v>0.397675888857588</v>
      </c>
      <c r="J457">
        <f t="shared" si="167"/>
        <v>92.7748818738909</v>
      </c>
      <c r="K457">
        <f t="shared" si="168"/>
        <v>145.00129684858</v>
      </c>
      <c r="L457">
        <f t="shared" si="169"/>
        <v>0.00055197780985882</v>
      </c>
      <c r="M457">
        <f t="shared" si="170"/>
        <v>2.52156526690775e-6</v>
      </c>
      <c r="N457" s="47">
        <f t="shared" si="171"/>
        <v>0</v>
      </c>
      <c r="O457">
        <f t="shared" si="172"/>
        <v>0.00055197780985882</v>
      </c>
      <c r="P457">
        <f t="shared" si="173"/>
        <v>0</v>
      </c>
      <c r="Q457">
        <f t="shared" si="174"/>
        <v>0</v>
      </c>
      <c r="R457">
        <f t="shared" si="175"/>
        <v>0</v>
      </c>
      <c r="S457">
        <f t="shared" si="176"/>
        <v>2.52156526690775e-6</v>
      </c>
      <c r="T457">
        <f t="shared" si="177"/>
        <v>0</v>
      </c>
      <c r="U457" s="52">
        <f t="shared" si="178"/>
        <v>0</v>
      </c>
      <c r="V457">
        <f t="shared" si="179"/>
        <v>0</v>
      </c>
      <c r="W457">
        <f t="shared" si="180"/>
        <v>95.006996</v>
      </c>
      <c r="X457">
        <f t="shared" si="181"/>
        <v>0</v>
      </c>
      <c r="Y457">
        <f t="shared" si="182"/>
        <v>0</v>
      </c>
      <c r="Z457">
        <f t="shared" si="183"/>
        <v>0</v>
      </c>
      <c r="AA457">
        <f t="shared" si="184"/>
        <v>144.771408</v>
      </c>
      <c r="AB457">
        <f t="shared" si="185"/>
        <v>0</v>
      </c>
      <c r="AC457">
        <f t="shared" si="186"/>
        <v>0</v>
      </c>
    </row>
    <row r="458" spans="2:29">
      <c r="B458" s="5">
        <v>167</v>
      </c>
      <c r="C458" s="6">
        <v>95.415558</v>
      </c>
      <c r="D458" s="6">
        <v>140.575134</v>
      </c>
      <c r="E458">
        <v>0.45</v>
      </c>
      <c r="F458" s="5">
        <f t="shared" si="163"/>
        <v>93.8645829583153</v>
      </c>
      <c r="G458">
        <f t="shared" si="164"/>
        <v>144.695903831875</v>
      </c>
      <c r="H458">
        <f t="shared" si="165"/>
        <v>0.796947010070152</v>
      </c>
      <c r="I458">
        <f t="shared" si="166"/>
        <v>0.260249031340277</v>
      </c>
      <c r="J458">
        <f t="shared" si="167"/>
        <v>94.6615299683854</v>
      </c>
      <c r="K458">
        <f t="shared" si="168"/>
        <v>144.956152863215</v>
      </c>
      <c r="L458">
        <f t="shared" si="169"/>
        <v>6.245059693991e-5</v>
      </c>
      <c r="M458">
        <f t="shared" si="170"/>
        <v>0.000971254924726378</v>
      </c>
      <c r="N458" s="47">
        <f t="shared" si="171"/>
        <v>0</v>
      </c>
      <c r="O458">
        <f t="shared" si="172"/>
        <v>0</v>
      </c>
      <c r="P458">
        <f t="shared" si="173"/>
        <v>6.245059693991e-5</v>
      </c>
      <c r="Q458">
        <f t="shared" si="174"/>
        <v>0</v>
      </c>
      <c r="R458">
        <f t="shared" si="175"/>
        <v>0</v>
      </c>
      <c r="S458">
        <f t="shared" si="176"/>
        <v>0</v>
      </c>
      <c r="T458">
        <f t="shared" si="177"/>
        <v>0.000971254924726378</v>
      </c>
      <c r="U458" s="52">
        <f t="shared" si="178"/>
        <v>0</v>
      </c>
      <c r="V458">
        <f t="shared" si="179"/>
        <v>0</v>
      </c>
      <c r="W458">
        <f t="shared" si="180"/>
        <v>0</v>
      </c>
      <c r="X458">
        <f t="shared" si="181"/>
        <v>95.415558</v>
      </c>
      <c r="Y458">
        <f t="shared" si="182"/>
        <v>0</v>
      </c>
      <c r="Z458">
        <f t="shared" si="183"/>
        <v>0</v>
      </c>
      <c r="AA458">
        <f t="shared" si="184"/>
        <v>0</v>
      </c>
      <c r="AB458">
        <f t="shared" si="185"/>
        <v>140.575134</v>
      </c>
      <c r="AC458">
        <f t="shared" si="186"/>
        <v>0</v>
      </c>
    </row>
    <row r="459" spans="2:29">
      <c r="B459" s="5">
        <v>168</v>
      </c>
      <c r="C459" s="6">
        <v>95.582466</v>
      </c>
      <c r="D459" s="6">
        <v>141.649063</v>
      </c>
      <c r="E459">
        <v>0.85</v>
      </c>
      <c r="F459" s="5">
        <f t="shared" si="163"/>
        <v>94.7176192312419</v>
      </c>
      <c r="G459">
        <f t="shared" si="164"/>
        <v>142.429480424344</v>
      </c>
      <c r="H459">
        <f t="shared" si="165"/>
        <v>0.844622883498146</v>
      </c>
      <c r="I459">
        <f t="shared" si="166"/>
        <v>-1.88742254170062</v>
      </c>
      <c r="J459">
        <f t="shared" si="167"/>
        <v>95.56224211474</v>
      </c>
      <c r="K459">
        <f t="shared" si="168"/>
        <v>140.542057882643</v>
      </c>
      <c r="L459">
        <f t="shared" si="169"/>
        <v>4.47685185547859e-8</v>
      </c>
      <c r="M459">
        <f t="shared" si="170"/>
        <v>6.10761769867443e-5</v>
      </c>
      <c r="N459" s="47">
        <f t="shared" si="171"/>
        <v>0</v>
      </c>
      <c r="O459">
        <f t="shared" si="172"/>
        <v>0</v>
      </c>
      <c r="P459">
        <f t="shared" si="173"/>
        <v>0</v>
      </c>
      <c r="Q459">
        <f t="shared" si="174"/>
        <v>4.47685185547859e-8</v>
      </c>
      <c r="R459">
        <f t="shared" si="175"/>
        <v>0</v>
      </c>
      <c r="S459">
        <f t="shared" si="176"/>
        <v>0</v>
      </c>
      <c r="T459">
        <f t="shared" si="177"/>
        <v>0</v>
      </c>
      <c r="U459" s="52">
        <f t="shared" si="178"/>
        <v>6.10761769867443e-5</v>
      </c>
      <c r="V459">
        <f t="shared" si="179"/>
        <v>0</v>
      </c>
      <c r="W459">
        <f t="shared" si="180"/>
        <v>0</v>
      </c>
      <c r="X459">
        <f t="shared" si="181"/>
        <v>0</v>
      </c>
      <c r="Y459">
        <f t="shared" si="182"/>
        <v>95.582466</v>
      </c>
      <c r="Z459">
        <f t="shared" si="183"/>
        <v>0</v>
      </c>
      <c r="AA459">
        <f t="shared" si="184"/>
        <v>0</v>
      </c>
      <c r="AB459">
        <f t="shared" si="185"/>
        <v>0</v>
      </c>
      <c r="AC459">
        <f t="shared" si="186"/>
        <v>141.649063</v>
      </c>
    </row>
    <row r="460" spans="2:29">
      <c r="B460" s="5">
        <v>169</v>
      </c>
      <c r="C460" s="6">
        <v>95.141525</v>
      </c>
      <c r="D460" s="6">
        <v>142.683228</v>
      </c>
      <c r="E460">
        <v>0.15</v>
      </c>
      <c r="F460" s="5">
        <f t="shared" si="163"/>
        <v>95.1932849540588</v>
      </c>
      <c r="G460">
        <f t="shared" si="164"/>
        <v>142.000250840955</v>
      </c>
      <c r="H460">
        <f t="shared" si="165"/>
        <v>0.789279309395968</v>
      </c>
      <c r="I460">
        <f t="shared" si="166"/>
        <v>-1.66869359795389</v>
      </c>
      <c r="J460">
        <f t="shared" si="167"/>
        <v>95.9825642634548</v>
      </c>
      <c r="K460">
        <f t="shared" si="168"/>
        <v>140.331557243001</v>
      </c>
      <c r="L460">
        <f t="shared" si="169"/>
        <v>7.81434039795849e-5</v>
      </c>
      <c r="M460">
        <f t="shared" si="170"/>
        <v>0.000271648421263553</v>
      </c>
      <c r="N460" s="47">
        <f t="shared" si="171"/>
        <v>7.81434039795849e-5</v>
      </c>
      <c r="O460">
        <f t="shared" si="172"/>
        <v>0</v>
      </c>
      <c r="P460">
        <f t="shared" si="173"/>
        <v>0</v>
      </c>
      <c r="Q460">
        <f t="shared" si="174"/>
        <v>0</v>
      </c>
      <c r="R460">
        <f t="shared" si="175"/>
        <v>0.000271648421263553</v>
      </c>
      <c r="S460">
        <f t="shared" si="176"/>
        <v>0</v>
      </c>
      <c r="T460">
        <f t="shared" si="177"/>
        <v>0</v>
      </c>
      <c r="U460" s="52">
        <f t="shared" si="178"/>
        <v>0</v>
      </c>
      <c r="V460">
        <f t="shared" si="179"/>
        <v>95.141525</v>
      </c>
      <c r="W460">
        <f t="shared" si="180"/>
        <v>0</v>
      </c>
      <c r="X460">
        <f t="shared" si="181"/>
        <v>0</v>
      </c>
      <c r="Y460">
        <f t="shared" si="182"/>
        <v>0</v>
      </c>
      <c r="Z460">
        <f t="shared" si="183"/>
        <v>142.683228</v>
      </c>
      <c r="AA460">
        <f t="shared" si="184"/>
        <v>0</v>
      </c>
      <c r="AB460">
        <f t="shared" si="185"/>
        <v>0</v>
      </c>
      <c r="AC460">
        <f t="shared" si="186"/>
        <v>0</v>
      </c>
    </row>
    <row r="461" spans="2:29">
      <c r="B461" s="5">
        <v>170</v>
      </c>
      <c r="C461" s="6">
        <v>96.715965</v>
      </c>
      <c r="D461" s="6">
        <v>147.267303</v>
      </c>
      <c r="E461">
        <v>0.25</v>
      </c>
      <c r="F461" s="5">
        <f t="shared" si="163"/>
        <v>95.1648169793265</v>
      </c>
      <c r="G461">
        <f t="shared" si="164"/>
        <v>142.37588827843</v>
      </c>
      <c r="H461">
        <f t="shared" si="165"/>
        <v>0.584842488363885</v>
      </c>
      <c r="I461">
        <f t="shared" si="166"/>
        <v>-1.1576108390967</v>
      </c>
      <c r="J461">
        <f t="shared" si="167"/>
        <v>95.7496594676904</v>
      </c>
      <c r="K461">
        <f t="shared" si="168"/>
        <v>141.218277439333</v>
      </c>
      <c r="L461">
        <f t="shared" si="169"/>
        <v>9.98234540602868e-5</v>
      </c>
      <c r="M461">
        <f t="shared" si="170"/>
        <v>0.00168716738960575</v>
      </c>
      <c r="N461" s="47">
        <f t="shared" si="171"/>
        <v>0</v>
      </c>
      <c r="O461">
        <f t="shared" si="172"/>
        <v>9.98234540602868e-5</v>
      </c>
      <c r="P461">
        <f t="shared" si="173"/>
        <v>0</v>
      </c>
      <c r="Q461">
        <f t="shared" si="174"/>
        <v>0</v>
      </c>
      <c r="R461">
        <f t="shared" si="175"/>
        <v>0</v>
      </c>
      <c r="S461">
        <f t="shared" si="176"/>
        <v>0.00168716738960575</v>
      </c>
      <c r="T461">
        <f t="shared" si="177"/>
        <v>0</v>
      </c>
      <c r="U461" s="52">
        <f t="shared" si="178"/>
        <v>0</v>
      </c>
      <c r="V461">
        <f t="shared" si="179"/>
        <v>0</v>
      </c>
      <c r="W461">
        <f t="shared" si="180"/>
        <v>96.715965</v>
      </c>
      <c r="X461">
        <f t="shared" si="181"/>
        <v>0</v>
      </c>
      <c r="Y461">
        <f t="shared" si="182"/>
        <v>0</v>
      </c>
      <c r="Z461">
        <f t="shared" si="183"/>
        <v>0</v>
      </c>
      <c r="AA461">
        <f t="shared" si="184"/>
        <v>147.267303</v>
      </c>
      <c r="AB461">
        <f t="shared" si="185"/>
        <v>0</v>
      </c>
      <c r="AC461">
        <f t="shared" si="186"/>
        <v>0</v>
      </c>
    </row>
    <row r="462" spans="2:29">
      <c r="B462" s="5">
        <v>171</v>
      </c>
      <c r="C462" s="6">
        <v>97.381111</v>
      </c>
      <c r="D462" s="6">
        <v>151.07576</v>
      </c>
      <c r="E462">
        <v>0.45</v>
      </c>
      <c r="F462" s="5">
        <f t="shared" si="163"/>
        <v>96.0179483906969</v>
      </c>
      <c r="G462">
        <f t="shared" si="164"/>
        <v>145.066166375293</v>
      </c>
      <c r="H462">
        <f t="shared" si="165"/>
        <v>0.705572503716835</v>
      </c>
      <c r="I462">
        <f t="shared" si="166"/>
        <v>0.573939182085479</v>
      </c>
      <c r="J462">
        <f t="shared" si="167"/>
        <v>96.7235208944138</v>
      </c>
      <c r="K462">
        <f t="shared" si="168"/>
        <v>145.640105557379</v>
      </c>
      <c r="L462">
        <f t="shared" si="169"/>
        <v>4.55996059735596e-5</v>
      </c>
      <c r="M462">
        <f t="shared" si="170"/>
        <v>0.0012945359163681</v>
      </c>
      <c r="N462" s="47">
        <f t="shared" si="171"/>
        <v>0</v>
      </c>
      <c r="O462">
        <f t="shared" si="172"/>
        <v>0</v>
      </c>
      <c r="P462">
        <f t="shared" si="173"/>
        <v>4.55996059735596e-5</v>
      </c>
      <c r="Q462">
        <f t="shared" si="174"/>
        <v>0</v>
      </c>
      <c r="R462">
        <f t="shared" si="175"/>
        <v>0</v>
      </c>
      <c r="S462">
        <f t="shared" si="176"/>
        <v>0</v>
      </c>
      <c r="T462">
        <f t="shared" si="177"/>
        <v>0.0012945359163681</v>
      </c>
      <c r="U462" s="52">
        <f t="shared" si="178"/>
        <v>0</v>
      </c>
      <c r="V462">
        <f t="shared" si="179"/>
        <v>0</v>
      </c>
      <c r="W462">
        <f t="shared" si="180"/>
        <v>0</v>
      </c>
      <c r="X462">
        <f t="shared" si="181"/>
        <v>97.381111</v>
      </c>
      <c r="Y462">
        <f t="shared" si="182"/>
        <v>0</v>
      </c>
      <c r="Z462">
        <f t="shared" si="183"/>
        <v>0</v>
      </c>
      <c r="AA462">
        <f t="shared" si="184"/>
        <v>0</v>
      </c>
      <c r="AB462">
        <f t="shared" si="185"/>
        <v>151.07576</v>
      </c>
      <c r="AC462">
        <f t="shared" si="186"/>
        <v>0</v>
      </c>
    </row>
    <row r="463" spans="2:29">
      <c r="B463" s="5">
        <v>172</v>
      </c>
      <c r="C463" s="6">
        <v>96.182846</v>
      </c>
      <c r="D463" s="6">
        <v>152.219299</v>
      </c>
      <c r="E463">
        <v>0.85</v>
      </c>
      <c r="F463" s="5">
        <f t="shared" si="163"/>
        <v>96.7676878258136</v>
      </c>
      <c r="G463">
        <f t="shared" si="164"/>
        <v>148.371442868882</v>
      </c>
      <c r="H463">
        <f t="shared" si="165"/>
        <v>0.743114395406728</v>
      </c>
      <c r="I463">
        <f t="shared" si="166"/>
        <v>2.8955758968632</v>
      </c>
      <c r="J463">
        <f t="shared" si="167"/>
        <v>97.5108022212203</v>
      </c>
      <c r="K463">
        <f t="shared" si="168"/>
        <v>151.267018765745</v>
      </c>
      <c r="L463">
        <f t="shared" si="169"/>
        <v>0.000190621669467397</v>
      </c>
      <c r="M463">
        <f t="shared" si="170"/>
        <v>3.91372318471835e-5</v>
      </c>
      <c r="N463" s="47">
        <f t="shared" si="171"/>
        <v>0</v>
      </c>
      <c r="O463">
        <f t="shared" si="172"/>
        <v>0</v>
      </c>
      <c r="P463">
        <f t="shared" si="173"/>
        <v>0</v>
      </c>
      <c r="Q463">
        <f t="shared" si="174"/>
        <v>0.000190621669467397</v>
      </c>
      <c r="R463">
        <f t="shared" si="175"/>
        <v>0</v>
      </c>
      <c r="S463">
        <f t="shared" si="176"/>
        <v>0</v>
      </c>
      <c r="T463">
        <f t="shared" si="177"/>
        <v>0</v>
      </c>
      <c r="U463" s="52">
        <f t="shared" si="178"/>
        <v>3.91372318471835e-5</v>
      </c>
      <c r="V463">
        <f t="shared" si="179"/>
        <v>0</v>
      </c>
      <c r="W463">
        <f t="shared" si="180"/>
        <v>0</v>
      </c>
      <c r="X463">
        <f t="shared" si="181"/>
        <v>0</v>
      </c>
      <c r="Y463">
        <f t="shared" si="182"/>
        <v>96.182846</v>
      </c>
      <c r="Z463">
        <f t="shared" si="183"/>
        <v>0</v>
      </c>
      <c r="AA463">
        <f t="shared" si="184"/>
        <v>0</v>
      </c>
      <c r="AB463">
        <f t="shared" si="185"/>
        <v>0</v>
      </c>
      <c r="AC463">
        <f t="shared" si="186"/>
        <v>152.219299</v>
      </c>
    </row>
    <row r="464" spans="2:29">
      <c r="B464" s="5">
        <v>173</v>
      </c>
      <c r="C464" s="6">
        <v>95.988533</v>
      </c>
      <c r="D464" s="6">
        <v>154.12851</v>
      </c>
      <c r="E464">
        <v>0.15</v>
      </c>
      <c r="F464" s="5">
        <f t="shared" si="163"/>
        <v>96.4460248216161</v>
      </c>
      <c r="G464">
        <f t="shared" si="164"/>
        <v>150.487763740997</v>
      </c>
      <c r="H464">
        <f t="shared" si="165"/>
        <v>0.583397785466095</v>
      </c>
      <c r="I464">
        <f t="shared" si="166"/>
        <v>2.77868764315095</v>
      </c>
      <c r="J464">
        <f t="shared" si="167"/>
        <v>97.0294226070822</v>
      </c>
      <c r="K464">
        <f t="shared" si="168"/>
        <v>153.266451384148</v>
      </c>
      <c r="L464">
        <f t="shared" si="169"/>
        <v>0.000117590066458951</v>
      </c>
      <c r="M464">
        <f t="shared" si="170"/>
        <v>3.12829451752854e-5</v>
      </c>
      <c r="N464" s="47">
        <f t="shared" si="171"/>
        <v>0.000117590066458951</v>
      </c>
      <c r="O464">
        <f t="shared" si="172"/>
        <v>0</v>
      </c>
      <c r="P464">
        <f t="shared" si="173"/>
        <v>0</v>
      </c>
      <c r="Q464">
        <f t="shared" si="174"/>
        <v>0</v>
      </c>
      <c r="R464">
        <f t="shared" si="175"/>
        <v>3.12829451752854e-5</v>
      </c>
      <c r="S464">
        <f t="shared" si="176"/>
        <v>0</v>
      </c>
      <c r="T464">
        <f t="shared" si="177"/>
        <v>0</v>
      </c>
      <c r="U464" s="52">
        <f t="shared" si="178"/>
        <v>0</v>
      </c>
      <c r="V464">
        <f t="shared" si="179"/>
        <v>95.988533</v>
      </c>
      <c r="W464">
        <f t="shared" si="180"/>
        <v>0</v>
      </c>
      <c r="X464">
        <f t="shared" si="181"/>
        <v>0</v>
      </c>
      <c r="Y464">
        <f t="shared" si="182"/>
        <v>0</v>
      </c>
      <c r="Z464">
        <f t="shared" si="183"/>
        <v>154.12851</v>
      </c>
      <c r="AA464">
        <f t="shared" si="184"/>
        <v>0</v>
      </c>
      <c r="AB464">
        <f t="shared" si="185"/>
        <v>0</v>
      </c>
      <c r="AC464">
        <f t="shared" si="186"/>
        <v>0</v>
      </c>
    </row>
    <row r="465" spans="2:29">
      <c r="B465" s="5">
        <v>174</v>
      </c>
      <c r="C465" s="6">
        <v>98.011391</v>
      </c>
      <c r="D465" s="6">
        <v>152.527557</v>
      </c>
      <c r="E465">
        <v>0.25</v>
      </c>
      <c r="F465" s="5">
        <f t="shared" si="163"/>
        <v>96.1944043197273</v>
      </c>
      <c r="G465">
        <f t="shared" si="164"/>
        <v>152.490174183449</v>
      </c>
      <c r="H465">
        <f t="shared" si="165"/>
        <v>0.374643213627355</v>
      </c>
      <c r="I465">
        <f t="shared" si="166"/>
        <v>2.58461834297614</v>
      </c>
      <c r="J465">
        <f t="shared" si="167"/>
        <v>96.5690475333546</v>
      </c>
      <c r="K465">
        <f t="shared" si="168"/>
        <v>155.074792526425</v>
      </c>
      <c r="L465">
        <f t="shared" si="169"/>
        <v>0.000216563009298593</v>
      </c>
      <c r="M465">
        <f t="shared" si="170"/>
        <v>0.00027889554551157</v>
      </c>
      <c r="N465" s="47">
        <f t="shared" si="171"/>
        <v>0</v>
      </c>
      <c r="O465">
        <f t="shared" si="172"/>
        <v>0.000216563009298593</v>
      </c>
      <c r="P465">
        <f t="shared" si="173"/>
        <v>0</v>
      </c>
      <c r="Q465">
        <f t="shared" si="174"/>
        <v>0</v>
      </c>
      <c r="R465">
        <f t="shared" si="175"/>
        <v>0</v>
      </c>
      <c r="S465">
        <f t="shared" si="176"/>
        <v>0.00027889554551157</v>
      </c>
      <c r="T465">
        <f t="shared" si="177"/>
        <v>0</v>
      </c>
      <c r="U465" s="52">
        <f t="shared" si="178"/>
        <v>0</v>
      </c>
      <c r="V465">
        <f t="shared" si="179"/>
        <v>0</v>
      </c>
      <c r="W465">
        <f t="shared" si="180"/>
        <v>98.011391</v>
      </c>
      <c r="X465">
        <f t="shared" si="181"/>
        <v>0</v>
      </c>
      <c r="Y465">
        <f t="shared" si="182"/>
        <v>0</v>
      </c>
      <c r="Z465">
        <f t="shared" si="183"/>
        <v>0</v>
      </c>
      <c r="AA465">
        <f t="shared" si="184"/>
        <v>152.527557</v>
      </c>
      <c r="AB465">
        <f t="shared" si="185"/>
        <v>0</v>
      </c>
      <c r="AC465">
        <f t="shared" si="186"/>
        <v>0</v>
      </c>
    </row>
    <row r="466" spans="2:29">
      <c r="B466" s="5">
        <v>175</v>
      </c>
      <c r="C466" s="6">
        <v>96.658661</v>
      </c>
      <c r="D466" s="6">
        <v>153.889847</v>
      </c>
      <c r="E466">
        <v>0.45</v>
      </c>
      <c r="F466" s="5">
        <f t="shared" si="163"/>
        <v>97.1937469938773</v>
      </c>
      <c r="G466">
        <f t="shared" si="164"/>
        <v>152.510734732552</v>
      </c>
      <c r="H466">
        <f t="shared" si="165"/>
        <v>0.655757970862552</v>
      </c>
      <c r="I466">
        <f t="shared" si="166"/>
        <v>1.43079233573335</v>
      </c>
      <c r="J466">
        <f t="shared" si="167"/>
        <v>97.8495049647398</v>
      </c>
      <c r="K466">
        <f t="shared" si="168"/>
        <v>153.941527068285</v>
      </c>
      <c r="L466">
        <f t="shared" si="169"/>
        <v>0.000151784760857701</v>
      </c>
      <c r="M466">
        <f t="shared" si="170"/>
        <v>1.12778476087499e-7</v>
      </c>
      <c r="N466" s="47">
        <f t="shared" si="171"/>
        <v>0</v>
      </c>
      <c r="O466">
        <f t="shared" si="172"/>
        <v>0</v>
      </c>
      <c r="P466">
        <f t="shared" si="173"/>
        <v>0.000151784760857701</v>
      </c>
      <c r="Q466">
        <f t="shared" si="174"/>
        <v>0</v>
      </c>
      <c r="R466">
        <f t="shared" si="175"/>
        <v>0</v>
      </c>
      <c r="S466">
        <f t="shared" si="176"/>
        <v>0</v>
      </c>
      <c r="T466">
        <f t="shared" si="177"/>
        <v>1.12778476087499e-7</v>
      </c>
      <c r="U466" s="52">
        <f t="shared" si="178"/>
        <v>0</v>
      </c>
      <c r="V466">
        <f t="shared" si="179"/>
        <v>0</v>
      </c>
      <c r="W466">
        <f t="shared" si="180"/>
        <v>0</v>
      </c>
      <c r="X466">
        <f t="shared" si="181"/>
        <v>96.658661</v>
      </c>
      <c r="Y466">
        <f t="shared" si="182"/>
        <v>0</v>
      </c>
      <c r="Z466">
        <f t="shared" si="183"/>
        <v>0</v>
      </c>
      <c r="AA466">
        <f t="shared" si="184"/>
        <v>0</v>
      </c>
      <c r="AB466">
        <f t="shared" si="185"/>
        <v>153.889847</v>
      </c>
      <c r="AC466">
        <f t="shared" si="186"/>
        <v>0</v>
      </c>
    </row>
    <row r="467" spans="2:29">
      <c r="B467" s="5">
        <v>176</v>
      </c>
      <c r="C467" s="6">
        <v>96.930199</v>
      </c>
      <c r="D467" s="6">
        <v>153.740692</v>
      </c>
      <c r="E467">
        <v>0.85</v>
      </c>
      <c r="F467" s="5">
        <f t="shared" si="163"/>
        <v>96.8994496972448</v>
      </c>
      <c r="G467">
        <f t="shared" si="164"/>
        <v>153.269246479648</v>
      </c>
      <c r="H467">
        <f t="shared" si="165"/>
        <v>-0.15178900650826</v>
      </c>
      <c r="I467">
        <f t="shared" si="166"/>
        <v>0.859353835391996</v>
      </c>
      <c r="J467">
        <f t="shared" si="167"/>
        <v>96.7476606907365</v>
      </c>
      <c r="K467">
        <f t="shared" si="168"/>
        <v>154.12860031504</v>
      </c>
      <c r="L467">
        <f t="shared" si="169"/>
        <v>3.5464173136497e-6</v>
      </c>
      <c r="M467">
        <f t="shared" si="170"/>
        <v>6.36620347093416e-6</v>
      </c>
      <c r="N467" s="47">
        <f t="shared" si="171"/>
        <v>0</v>
      </c>
      <c r="O467">
        <f t="shared" si="172"/>
        <v>0</v>
      </c>
      <c r="P467">
        <f t="shared" si="173"/>
        <v>0</v>
      </c>
      <c r="Q467">
        <f t="shared" si="174"/>
        <v>3.5464173136497e-6</v>
      </c>
      <c r="R467">
        <f t="shared" si="175"/>
        <v>0</v>
      </c>
      <c r="S467">
        <f t="shared" si="176"/>
        <v>0</v>
      </c>
      <c r="T467">
        <f t="shared" si="177"/>
        <v>0</v>
      </c>
      <c r="U467" s="52">
        <f t="shared" si="178"/>
        <v>6.36620347093416e-6</v>
      </c>
      <c r="V467">
        <f t="shared" si="179"/>
        <v>0</v>
      </c>
      <c r="W467">
        <f t="shared" si="180"/>
        <v>0</v>
      </c>
      <c r="X467">
        <f t="shared" si="181"/>
        <v>0</v>
      </c>
      <c r="Y467">
        <f t="shared" si="182"/>
        <v>96.930199</v>
      </c>
      <c r="Z467">
        <f t="shared" si="183"/>
        <v>0</v>
      </c>
      <c r="AA467">
        <f t="shared" si="184"/>
        <v>0</v>
      </c>
      <c r="AB467">
        <f t="shared" si="185"/>
        <v>0</v>
      </c>
      <c r="AC467">
        <f t="shared" si="186"/>
        <v>153.740692</v>
      </c>
    </row>
    <row r="468" spans="2:29">
      <c r="B468" s="5">
        <v>177</v>
      </c>
      <c r="C468" s="6">
        <v>92.518288</v>
      </c>
      <c r="D468" s="6">
        <v>152.865631</v>
      </c>
      <c r="E468">
        <v>0.15</v>
      </c>
      <c r="F468" s="5">
        <f t="shared" si="163"/>
        <v>96.9163618137601</v>
      </c>
      <c r="G468">
        <f t="shared" si="164"/>
        <v>153.528541515842</v>
      </c>
      <c r="H468">
        <f t="shared" si="165"/>
        <v>-0.126483838054714</v>
      </c>
      <c r="I468">
        <f t="shared" si="166"/>
        <v>0.769345015512208</v>
      </c>
      <c r="J468">
        <f t="shared" si="167"/>
        <v>96.7898779757054</v>
      </c>
      <c r="K468">
        <f t="shared" si="168"/>
        <v>154.297886531354</v>
      </c>
      <c r="L468">
        <f t="shared" si="169"/>
        <v>0.00213168947906161</v>
      </c>
      <c r="M468">
        <f t="shared" si="170"/>
        <v>8.77852013629238e-5</v>
      </c>
      <c r="N468" s="47">
        <f t="shared" si="171"/>
        <v>0.00213168947906161</v>
      </c>
      <c r="O468">
        <f t="shared" si="172"/>
        <v>0</v>
      </c>
      <c r="P468">
        <f t="shared" si="173"/>
        <v>0</v>
      </c>
      <c r="Q468">
        <f t="shared" si="174"/>
        <v>0</v>
      </c>
      <c r="R468">
        <f t="shared" si="175"/>
        <v>8.77852013629238e-5</v>
      </c>
      <c r="S468">
        <f t="shared" si="176"/>
        <v>0</v>
      </c>
      <c r="T468">
        <f t="shared" si="177"/>
        <v>0</v>
      </c>
      <c r="U468" s="52">
        <f t="shared" si="178"/>
        <v>0</v>
      </c>
      <c r="V468">
        <f t="shared" si="179"/>
        <v>92.518288</v>
      </c>
      <c r="W468">
        <f t="shared" si="180"/>
        <v>0</v>
      </c>
      <c r="X468">
        <f t="shared" si="181"/>
        <v>0</v>
      </c>
      <c r="Y468">
        <f t="shared" si="182"/>
        <v>0</v>
      </c>
      <c r="Z468">
        <f t="shared" si="183"/>
        <v>152.865631</v>
      </c>
      <c r="AA468">
        <f t="shared" si="184"/>
        <v>0</v>
      </c>
      <c r="AB468">
        <f t="shared" si="185"/>
        <v>0</v>
      </c>
      <c r="AC468">
        <f t="shared" si="186"/>
        <v>0</v>
      </c>
    </row>
    <row r="469" spans="2:29">
      <c r="B469" s="5">
        <v>178</v>
      </c>
      <c r="C469" s="6">
        <v>92.289093</v>
      </c>
      <c r="D469" s="6">
        <v>148.589813</v>
      </c>
      <c r="E469">
        <v>0.25</v>
      </c>
      <c r="F469" s="5">
        <f t="shared" si="163"/>
        <v>94.4974212161921</v>
      </c>
      <c r="G469">
        <f t="shared" si="164"/>
        <v>153.163940732129</v>
      </c>
      <c r="H469">
        <f t="shared" si="165"/>
        <v>-0.699598027933055</v>
      </c>
      <c r="I469">
        <f t="shared" si="166"/>
        <v>0.48585856570592</v>
      </c>
      <c r="J469">
        <f t="shared" si="167"/>
        <v>93.797823188259</v>
      </c>
      <c r="K469">
        <f t="shared" si="168"/>
        <v>153.649799297835</v>
      </c>
      <c r="L469">
        <f t="shared" si="169"/>
        <v>0.000267252886653527</v>
      </c>
      <c r="M469">
        <f t="shared" si="170"/>
        <v>0.00115963311643488</v>
      </c>
      <c r="N469" s="47">
        <f t="shared" si="171"/>
        <v>0</v>
      </c>
      <c r="O469">
        <f t="shared" si="172"/>
        <v>0.000267252886653527</v>
      </c>
      <c r="P469">
        <f t="shared" si="173"/>
        <v>0</v>
      </c>
      <c r="Q469">
        <f t="shared" si="174"/>
        <v>0</v>
      </c>
      <c r="R469">
        <f t="shared" si="175"/>
        <v>0</v>
      </c>
      <c r="S469">
        <f t="shared" si="176"/>
        <v>0.00115963311643488</v>
      </c>
      <c r="T469">
        <f t="shared" si="177"/>
        <v>0</v>
      </c>
      <c r="U469" s="52">
        <f t="shared" si="178"/>
        <v>0</v>
      </c>
      <c r="V469">
        <f t="shared" si="179"/>
        <v>0</v>
      </c>
      <c r="W469">
        <f t="shared" si="180"/>
        <v>92.289093</v>
      </c>
      <c r="X469">
        <f t="shared" si="181"/>
        <v>0</v>
      </c>
      <c r="Y469">
        <f t="shared" si="182"/>
        <v>0</v>
      </c>
      <c r="Z469">
        <f t="shared" si="183"/>
        <v>0</v>
      </c>
      <c r="AA469">
        <f t="shared" si="184"/>
        <v>148.589813</v>
      </c>
      <c r="AB469">
        <f t="shared" si="185"/>
        <v>0</v>
      </c>
      <c r="AC469">
        <f t="shared" si="186"/>
        <v>0</v>
      </c>
    </row>
    <row r="470" spans="2:29">
      <c r="B470" s="5">
        <v>179</v>
      </c>
      <c r="C470" s="6">
        <v>94.476364</v>
      </c>
      <c r="D470" s="6">
        <v>149.912338</v>
      </c>
      <c r="E470">
        <v>0.45</v>
      </c>
      <c r="F470" s="5">
        <f t="shared" si="163"/>
        <v>93.2828406972864</v>
      </c>
      <c r="G470">
        <f t="shared" si="164"/>
        <v>150.648170479458</v>
      </c>
      <c r="H470">
        <f t="shared" si="165"/>
        <v>-0.931340148870716</v>
      </c>
      <c r="I470">
        <f t="shared" si="166"/>
        <v>-0.864874402563626</v>
      </c>
      <c r="J470">
        <f t="shared" si="167"/>
        <v>92.3515005484157</v>
      </c>
      <c r="K470">
        <f t="shared" si="168"/>
        <v>149.783296076894</v>
      </c>
      <c r="L470">
        <f t="shared" si="169"/>
        <v>0.000505842961729653</v>
      </c>
      <c r="M470">
        <f t="shared" si="170"/>
        <v>7.40946581452293e-7</v>
      </c>
      <c r="N470" s="47">
        <f t="shared" si="171"/>
        <v>0</v>
      </c>
      <c r="O470">
        <f t="shared" si="172"/>
        <v>0</v>
      </c>
      <c r="P470">
        <f t="shared" si="173"/>
        <v>0.000505842961729653</v>
      </c>
      <c r="Q470">
        <f t="shared" si="174"/>
        <v>0</v>
      </c>
      <c r="R470">
        <f t="shared" si="175"/>
        <v>0</v>
      </c>
      <c r="S470">
        <f t="shared" si="176"/>
        <v>0</v>
      </c>
      <c r="T470">
        <f t="shared" si="177"/>
        <v>7.40946581452293e-7</v>
      </c>
      <c r="U470" s="52">
        <f t="shared" si="178"/>
        <v>0</v>
      </c>
      <c r="V470">
        <f t="shared" si="179"/>
        <v>0</v>
      </c>
      <c r="W470">
        <f t="shared" si="180"/>
        <v>0</v>
      </c>
      <c r="X470">
        <f t="shared" si="181"/>
        <v>94.476364</v>
      </c>
      <c r="Y470">
        <f t="shared" si="182"/>
        <v>0</v>
      </c>
      <c r="Z470">
        <f t="shared" si="183"/>
        <v>0</v>
      </c>
      <c r="AA470">
        <f t="shared" si="184"/>
        <v>0</v>
      </c>
      <c r="AB470">
        <f t="shared" si="185"/>
        <v>149.912338</v>
      </c>
      <c r="AC470">
        <f t="shared" si="186"/>
        <v>0</v>
      </c>
    </row>
    <row r="471" spans="2:29">
      <c r="B471" s="5">
        <v>180</v>
      </c>
      <c r="C471" s="6">
        <v>92.924355</v>
      </c>
      <c r="D471" s="6">
        <v>151.155304</v>
      </c>
      <c r="E471">
        <v>0.85</v>
      </c>
      <c r="F471" s="5">
        <f t="shared" si="163"/>
        <v>93.9392785137789</v>
      </c>
      <c r="G471">
        <f t="shared" si="164"/>
        <v>150.243462615756</v>
      </c>
      <c r="H471">
        <f t="shared" si="165"/>
        <v>0.418271121687992</v>
      </c>
      <c r="I471">
        <f t="shared" si="166"/>
        <v>-0.47373284453116</v>
      </c>
      <c r="J471">
        <f t="shared" si="167"/>
        <v>94.3575496354669</v>
      </c>
      <c r="K471">
        <f t="shared" si="168"/>
        <v>149.769729771225</v>
      </c>
      <c r="L471">
        <f t="shared" si="169"/>
        <v>0.000237876334240915</v>
      </c>
      <c r="M471">
        <f t="shared" si="170"/>
        <v>8.40258301585721e-5</v>
      </c>
      <c r="N471" s="47">
        <f t="shared" si="171"/>
        <v>0</v>
      </c>
      <c r="O471">
        <f t="shared" si="172"/>
        <v>0</v>
      </c>
      <c r="P471">
        <f t="shared" si="173"/>
        <v>0</v>
      </c>
      <c r="Q471">
        <f t="shared" si="174"/>
        <v>0.000237876334240915</v>
      </c>
      <c r="R471">
        <f t="shared" si="175"/>
        <v>0</v>
      </c>
      <c r="S471">
        <f t="shared" si="176"/>
        <v>0</v>
      </c>
      <c r="T471">
        <f t="shared" si="177"/>
        <v>0</v>
      </c>
      <c r="U471" s="52">
        <f t="shared" si="178"/>
        <v>8.40258301585721e-5</v>
      </c>
      <c r="V471">
        <f t="shared" si="179"/>
        <v>0</v>
      </c>
      <c r="W471">
        <f t="shared" si="180"/>
        <v>0</v>
      </c>
      <c r="X471">
        <f t="shared" si="181"/>
        <v>0</v>
      </c>
      <c r="Y471">
        <f t="shared" si="182"/>
        <v>92.924355</v>
      </c>
      <c r="Z471">
        <f t="shared" si="183"/>
        <v>0</v>
      </c>
      <c r="AA471">
        <f t="shared" si="184"/>
        <v>0</v>
      </c>
      <c r="AB471">
        <f t="shared" si="185"/>
        <v>0</v>
      </c>
      <c r="AC471">
        <f t="shared" si="186"/>
        <v>151.155304</v>
      </c>
    </row>
    <row r="472" spans="2:29">
      <c r="B472" s="5">
        <v>181</v>
      </c>
      <c r="C472" s="6">
        <v>94.705559</v>
      </c>
      <c r="D472" s="6">
        <v>153.710861</v>
      </c>
      <c r="E472">
        <v>0.15</v>
      </c>
      <c r="F472" s="5">
        <f t="shared" si="163"/>
        <v>93.3810705812005</v>
      </c>
      <c r="G472">
        <f t="shared" si="164"/>
        <v>150.74497537709</v>
      </c>
      <c r="H472">
        <f t="shared" si="165"/>
        <v>0.271799263548034</v>
      </c>
      <c r="I472">
        <f t="shared" si="166"/>
        <v>-0.327446003651365</v>
      </c>
      <c r="J472">
        <f t="shared" si="167"/>
        <v>93.6528698447485</v>
      </c>
      <c r="K472">
        <f t="shared" si="168"/>
        <v>150.417529373439</v>
      </c>
      <c r="L472">
        <f t="shared" si="169"/>
        <v>0.000123551878842758</v>
      </c>
      <c r="M472">
        <f t="shared" si="170"/>
        <v>0.000459051931548484</v>
      </c>
      <c r="N472" s="47">
        <f t="shared" si="171"/>
        <v>0.000123551878842758</v>
      </c>
      <c r="O472">
        <f t="shared" si="172"/>
        <v>0</v>
      </c>
      <c r="P472">
        <f t="shared" si="173"/>
        <v>0</v>
      </c>
      <c r="Q472">
        <f t="shared" si="174"/>
        <v>0</v>
      </c>
      <c r="R472">
        <f t="shared" si="175"/>
        <v>0.000459051931548484</v>
      </c>
      <c r="S472">
        <f t="shared" si="176"/>
        <v>0</v>
      </c>
      <c r="T472">
        <f t="shared" si="177"/>
        <v>0</v>
      </c>
      <c r="U472" s="52">
        <f t="shared" si="178"/>
        <v>0</v>
      </c>
      <c r="V472">
        <f t="shared" si="179"/>
        <v>94.705559</v>
      </c>
      <c r="W472">
        <f t="shared" si="180"/>
        <v>0</v>
      </c>
      <c r="X472">
        <f t="shared" si="181"/>
        <v>0</v>
      </c>
      <c r="Y472">
        <f t="shared" si="182"/>
        <v>0</v>
      </c>
      <c r="Z472">
        <f t="shared" si="183"/>
        <v>153.710861</v>
      </c>
      <c r="AA472">
        <f t="shared" si="184"/>
        <v>0</v>
      </c>
      <c r="AB472">
        <f t="shared" si="185"/>
        <v>0</v>
      </c>
      <c r="AC472">
        <f t="shared" si="186"/>
        <v>0</v>
      </c>
    </row>
    <row r="473" spans="2:29">
      <c r="B473" s="5">
        <v>182</v>
      </c>
      <c r="C473" s="6">
        <v>95.851517</v>
      </c>
      <c r="D473" s="6">
        <v>148.321335</v>
      </c>
      <c r="E473">
        <v>0.25</v>
      </c>
      <c r="F473" s="5">
        <f t="shared" si="163"/>
        <v>94.1095392115402</v>
      </c>
      <c r="G473">
        <f t="shared" si="164"/>
        <v>152.376212469691</v>
      </c>
      <c r="H473">
        <f t="shared" si="165"/>
        <v>0.385966605245955</v>
      </c>
      <c r="I473">
        <f t="shared" si="166"/>
        <v>0.162224770411569</v>
      </c>
      <c r="J473">
        <f t="shared" si="167"/>
        <v>94.4955058167862</v>
      </c>
      <c r="K473">
        <f t="shared" si="168"/>
        <v>152.538437240102</v>
      </c>
      <c r="L473">
        <f t="shared" si="169"/>
        <v>0.000200137541761072</v>
      </c>
      <c r="M473">
        <f t="shared" si="170"/>
        <v>0.000808390142187643</v>
      </c>
      <c r="N473" s="47">
        <f t="shared" si="171"/>
        <v>0</v>
      </c>
      <c r="O473">
        <f t="shared" si="172"/>
        <v>0.000200137541761072</v>
      </c>
      <c r="P473">
        <f t="shared" si="173"/>
        <v>0</v>
      </c>
      <c r="Q473">
        <f t="shared" si="174"/>
        <v>0</v>
      </c>
      <c r="R473">
        <f t="shared" si="175"/>
        <v>0</v>
      </c>
      <c r="S473">
        <f t="shared" si="176"/>
        <v>0.000808390142187643</v>
      </c>
      <c r="T473">
        <f t="shared" si="177"/>
        <v>0</v>
      </c>
      <c r="U473" s="52">
        <f t="shared" si="178"/>
        <v>0</v>
      </c>
      <c r="V473">
        <f t="shared" si="179"/>
        <v>0</v>
      </c>
      <c r="W473">
        <f t="shared" si="180"/>
        <v>95.851517</v>
      </c>
      <c r="X473">
        <f t="shared" si="181"/>
        <v>0</v>
      </c>
      <c r="Y473">
        <f t="shared" si="182"/>
        <v>0</v>
      </c>
      <c r="Z473">
        <f t="shared" si="183"/>
        <v>0</v>
      </c>
      <c r="AA473">
        <f t="shared" si="184"/>
        <v>148.321335</v>
      </c>
      <c r="AB473">
        <f t="shared" si="185"/>
        <v>0</v>
      </c>
      <c r="AC473">
        <f t="shared" si="186"/>
        <v>0</v>
      </c>
    </row>
    <row r="474" spans="2:29">
      <c r="B474" s="5">
        <v>183</v>
      </c>
      <c r="C474" s="6">
        <v>105.886086</v>
      </c>
      <c r="D474" s="6">
        <v>148.530151</v>
      </c>
      <c r="E474">
        <v>0.45</v>
      </c>
      <c r="F474" s="5">
        <f t="shared" si="163"/>
        <v>95.0676269951931</v>
      </c>
      <c r="G474">
        <f t="shared" si="164"/>
        <v>150.146029861361</v>
      </c>
      <c r="H474">
        <f t="shared" si="165"/>
        <v>0.643421135529074</v>
      </c>
      <c r="I474">
        <f t="shared" si="166"/>
        <v>-0.914358550022052</v>
      </c>
      <c r="J474">
        <f t="shared" si="167"/>
        <v>95.7110481307222</v>
      </c>
      <c r="K474">
        <f t="shared" si="168"/>
        <v>149.231671311339</v>
      </c>
      <c r="L474">
        <f t="shared" si="169"/>
        <v>0.00923409371991598</v>
      </c>
      <c r="M474">
        <f t="shared" si="170"/>
        <v>2.23075181230786e-5</v>
      </c>
      <c r="N474" s="47">
        <f t="shared" si="171"/>
        <v>0</v>
      </c>
      <c r="O474">
        <f t="shared" si="172"/>
        <v>0</v>
      </c>
      <c r="P474">
        <f t="shared" si="173"/>
        <v>0.00923409371991598</v>
      </c>
      <c r="Q474">
        <f t="shared" si="174"/>
        <v>0</v>
      </c>
      <c r="R474">
        <f t="shared" si="175"/>
        <v>0</v>
      </c>
      <c r="S474">
        <f t="shared" si="176"/>
        <v>0</v>
      </c>
      <c r="T474">
        <f t="shared" si="177"/>
        <v>2.23075181230786e-5</v>
      </c>
      <c r="U474" s="52">
        <f t="shared" si="178"/>
        <v>0</v>
      </c>
      <c r="V474">
        <f t="shared" si="179"/>
        <v>0</v>
      </c>
      <c r="W474">
        <f t="shared" si="180"/>
        <v>0</v>
      </c>
      <c r="X474">
        <f t="shared" si="181"/>
        <v>105.886086</v>
      </c>
      <c r="Y474">
        <f t="shared" si="182"/>
        <v>0</v>
      </c>
      <c r="Z474">
        <f t="shared" si="183"/>
        <v>0</v>
      </c>
      <c r="AA474">
        <f t="shared" si="184"/>
        <v>0</v>
      </c>
      <c r="AB474">
        <f t="shared" si="185"/>
        <v>148.530151</v>
      </c>
      <c r="AC474">
        <f t="shared" si="186"/>
        <v>0</v>
      </c>
    </row>
    <row r="475" spans="2:29">
      <c r="B475" s="5">
        <v>184</v>
      </c>
      <c r="C475" s="6">
        <v>108.554153</v>
      </c>
      <c r="D475" s="6">
        <v>147.694885</v>
      </c>
      <c r="E475">
        <v>0.85</v>
      </c>
      <c r="F475" s="5">
        <f t="shared" si="163"/>
        <v>101.017779447837</v>
      </c>
      <c r="G475">
        <f t="shared" si="164"/>
        <v>149.257296487612</v>
      </c>
      <c r="H475">
        <f t="shared" si="165"/>
        <v>5.1541427550766</v>
      </c>
      <c r="I475">
        <f t="shared" si="166"/>
        <v>-0.892577150189479</v>
      </c>
      <c r="J475">
        <f t="shared" si="167"/>
        <v>106.171922202914</v>
      </c>
      <c r="K475">
        <f t="shared" si="168"/>
        <v>148.364719337423</v>
      </c>
      <c r="L475">
        <f t="shared" si="169"/>
        <v>0.000481587031561823</v>
      </c>
      <c r="M475">
        <f t="shared" si="170"/>
        <v>2.05685607457602e-5</v>
      </c>
      <c r="N475" s="47">
        <f t="shared" si="171"/>
        <v>0</v>
      </c>
      <c r="O475">
        <f t="shared" si="172"/>
        <v>0</v>
      </c>
      <c r="P475">
        <f t="shared" si="173"/>
        <v>0</v>
      </c>
      <c r="Q475">
        <f t="shared" si="174"/>
        <v>0.000481587031561823</v>
      </c>
      <c r="R475">
        <f t="shared" si="175"/>
        <v>0</v>
      </c>
      <c r="S475">
        <f t="shared" si="176"/>
        <v>0</v>
      </c>
      <c r="T475">
        <f t="shared" si="177"/>
        <v>0</v>
      </c>
      <c r="U475" s="52">
        <f t="shared" si="178"/>
        <v>2.05685607457602e-5</v>
      </c>
      <c r="V475">
        <f t="shared" si="179"/>
        <v>0</v>
      </c>
      <c r="W475">
        <f t="shared" si="180"/>
        <v>0</v>
      </c>
      <c r="X475">
        <f t="shared" si="181"/>
        <v>0</v>
      </c>
      <c r="Y475">
        <f t="shared" si="182"/>
        <v>108.554153</v>
      </c>
      <c r="Z475">
        <f t="shared" si="183"/>
        <v>0</v>
      </c>
      <c r="AA475">
        <f t="shared" si="184"/>
        <v>0</v>
      </c>
      <c r="AB475">
        <f t="shared" si="185"/>
        <v>0</v>
      </c>
      <c r="AC475">
        <f t="shared" si="186"/>
        <v>147.694885</v>
      </c>
    </row>
    <row r="476" spans="2:29">
      <c r="B476" s="5">
        <v>185</v>
      </c>
      <c r="C476" s="6">
        <v>109.279099</v>
      </c>
      <c r="D476" s="6">
        <v>146.501633</v>
      </c>
      <c r="E476">
        <v>0.15</v>
      </c>
      <c r="F476" s="5">
        <f t="shared" si="163"/>
        <v>105.162784901527</v>
      </c>
      <c r="G476">
        <f t="shared" si="164"/>
        <v>148.397970169426</v>
      </c>
      <c r="H476">
        <f t="shared" si="165"/>
        <v>5.00277215986856</v>
      </c>
      <c r="I476">
        <f t="shared" si="166"/>
        <v>-0.887589525389076</v>
      </c>
      <c r="J476">
        <f t="shared" si="167"/>
        <v>110.165557061395</v>
      </c>
      <c r="K476">
        <f t="shared" si="168"/>
        <v>147.510380644036</v>
      </c>
      <c r="L476">
        <f t="shared" si="169"/>
        <v>6.58024670521868e-5</v>
      </c>
      <c r="M476">
        <f t="shared" si="170"/>
        <v>4.74111113455334e-5</v>
      </c>
      <c r="N476" s="47">
        <f t="shared" si="171"/>
        <v>6.58024670521868e-5</v>
      </c>
      <c r="O476">
        <f t="shared" si="172"/>
        <v>0</v>
      </c>
      <c r="P476">
        <f t="shared" si="173"/>
        <v>0</v>
      </c>
      <c r="Q476">
        <f t="shared" si="174"/>
        <v>0</v>
      </c>
      <c r="R476">
        <f t="shared" si="175"/>
        <v>4.74111113455334e-5</v>
      </c>
      <c r="S476">
        <f t="shared" si="176"/>
        <v>0</v>
      </c>
      <c r="T476">
        <f t="shared" si="177"/>
        <v>0</v>
      </c>
      <c r="U476" s="52">
        <f t="shared" si="178"/>
        <v>0</v>
      </c>
      <c r="V476">
        <f t="shared" si="179"/>
        <v>109.279099</v>
      </c>
      <c r="W476">
        <f t="shared" si="180"/>
        <v>0</v>
      </c>
      <c r="X476">
        <f t="shared" si="181"/>
        <v>0</v>
      </c>
      <c r="Y476">
        <f t="shared" si="182"/>
        <v>0</v>
      </c>
      <c r="Z476">
        <f t="shared" si="183"/>
        <v>146.501633</v>
      </c>
      <c r="AA476">
        <f t="shared" si="184"/>
        <v>0</v>
      </c>
      <c r="AB476">
        <f t="shared" si="185"/>
        <v>0</v>
      </c>
      <c r="AC476">
        <f t="shared" si="186"/>
        <v>0</v>
      </c>
    </row>
    <row r="477" spans="2:29">
      <c r="B477" s="5">
        <v>186</v>
      </c>
      <c r="C477" s="6">
        <v>109.675194</v>
      </c>
      <c r="D477" s="6">
        <v>149.972015</v>
      </c>
      <c r="E477">
        <v>0.25</v>
      </c>
      <c r="F477" s="5">
        <f t="shared" si="163"/>
        <v>107.426757655687</v>
      </c>
      <c r="G477">
        <f t="shared" si="164"/>
        <v>147.354984726241</v>
      </c>
      <c r="H477">
        <f t="shared" si="165"/>
        <v>4.31807230844151</v>
      </c>
      <c r="I477">
        <f t="shared" si="166"/>
        <v>-0.926438504837819</v>
      </c>
      <c r="J477">
        <f t="shared" si="167"/>
        <v>111.744829964128</v>
      </c>
      <c r="K477">
        <f t="shared" si="168"/>
        <v>146.428546221404</v>
      </c>
      <c r="L477">
        <f t="shared" si="169"/>
        <v>0.000356099285663232</v>
      </c>
      <c r="M477">
        <f t="shared" si="170"/>
        <v>0.000558260329879072</v>
      </c>
      <c r="N477" s="47">
        <f t="shared" si="171"/>
        <v>0</v>
      </c>
      <c r="O477">
        <f t="shared" si="172"/>
        <v>0.000356099285663232</v>
      </c>
      <c r="P477">
        <f t="shared" si="173"/>
        <v>0</v>
      </c>
      <c r="Q477">
        <f t="shared" si="174"/>
        <v>0</v>
      </c>
      <c r="R477">
        <f t="shared" si="175"/>
        <v>0</v>
      </c>
      <c r="S477">
        <f t="shared" si="176"/>
        <v>0.000558260329879072</v>
      </c>
      <c r="T477">
        <f t="shared" si="177"/>
        <v>0</v>
      </c>
      <c r="U477" s="52">
        <f t="shared" si="178"/>
        <v>0</v>
      </c>
      <c r="V477">
        <f t="shared" si="179"/>
        <v>0</v>
      </c>
      <c r="W477">
        <f t="shared" si="180"/>
        <v>109.675194</v>
      </c>
      <c r="X477">
        <f t="shared" si="181"/>
        <v>0</v>
      </c>
      <c r="Y477">
        <f t="shared" si="182"/>
        <v>0</v>
      </c>
      <c r="Z477">
        <f t="shared" si="183"/>
        <v>0</v>
      </c>
      <c r="AA477">
        <f t="shared" si="184"/>
        <v>149.972015</v>
      </c>
      <c r="AB477">
        <f t="shared" si="185"/>
        <v>0</v>
      </c>
      <c r="AC477">
        <f t="shared" si="186"/>
        <v>0</v>
      </c>
    </row>
    <row r="478" spans="2:29">
      <c r="B478" s="5">
        <v>187</v>
      </c>
      <c r="C478" s="6">
        <v>113.501678</v>
      </c>
      <c r="D478" s="6">
        <v>151.722107</v>
      </c>
      <c r="E478">
        <v>0.45</v>
      </c>
      <c r="F478" s="5">
        <f t="shared" si="163"/>
        <v>108.663397645059</v>
      </c>
      <c r="G478">
        <f t="shared" si="164"/>
        <v>148.794351376809</v>
      </c>
      <c r="H478">
        <f t="shared" si="165"/>
        <v>2.93142776486031</v>
      </c>
      <c r="I478">
        <f t="shared" si="166"/>
        <v>0.138173815094424</v>
      </c>
      <c r="J478">
        <f t="shared" si="167"/>
        <v>111.594825409919</v>
      </c>
      <c r="K478">
        <f t="shared" si="168"/>
        <v>148.932525191903</v>
      </c>
      <c r="L478">
        <f t="shared" si="169"/>
        <v>0.000282247223104765</v>
      </c>
      <c r="M478">
        <f t="shared" si="170"/>
        <v>0.000338049636997391</v>
      </c>
      <c r="N478" s="47">
        <f t="shared" si="171"/>
        <v>0</v>
      </c>
      <c r="O478">
        <f t="shared" si="172"/>
        <v>0</v>
      </c>
      <c r="P478">
        <f t="shared" si="173"/>
        <v>0.000282247223104765</v>
      </c>
      <c r="Q478">
        <f t="shared" si="174"/>
        <v>0</v>
      </c>
      <c r="R478">
        <f t="shared" si="175"/>
        <v>0</v>
      </c>
      <c r="S478">
        <f t="shared" si="176"/>
        <v>0</v>
      </c>
      <c r="T478">
        <f t="shared" si="177"/>
        <v>0.000338049636997391</v>
      </c>
      <c r="U478" s="52">
        <f t="shared" si="178"/>
        <v>0</v>
      </c>
      <c r="V478">
        <f t="shared" si="179"/>
        <v>0</v>
      </c>
      <c r="W478">
        <f t="shared" si="180"/>
        <v>0</v>
      </c>
      <c r="X478">
        <f t="shared" si="181"/>
        <v>113.501678</v>
      </c>
      <c r="Y478">
        <f t="shared" si="182"/>
        <v>0</v>
      </c>
      <c r="Z478">
        <f t="shared" si="183"/>
        <v>0</v>
      </c>
      <c r="AA478">
        <f t="shared" si="184"/>
        <v>0</v>
      </c>
      <c r="AB478">
        <f t="shared" si="185"/>
        <v>151.722107</v>
      </c>
      <c r="AC478">
        <f t="shared" si="186"/>
        <v>0</v>
      </c>
    </row>
    <row r="479" spans="2:29">
      <c r="B479" s="5">
        <v>188</v>
      </c>
      <c r="C479" s="6">
        <v>110.921135</v>
      </c>
      <c r="D479" s="6">
        <v>154.237885</v>
      </c>
      <c r="E479">
        <v>0.85</v>
      </c>
      <c r="F479" s="5">
        <f t="shared" si="163"/>
        <v>111.324451840277</v>
      </c>
      <c r="G479">
        <f t="shared" si="164"/>
        <v>150.404616969564</v>
      </c>
      <c r="H479">
        <f t="shared" si="165"/>
        <v>2.7016102306639</v>
      </c>
      <c r="I479">
        <f t="shared" si="166"/>
        <v>1.38945182610612</v>
      </c>
      <c r="J479">
        <f t="shared" si="167"/>
        <v>114.026062070941</v>
      </c>
      <c r="K479">
        <f t="shared" si="168"/>
        <v>151.79406879567</v>
      </c>
      <c r="L479">
        <f t="shared" si="169"/>
        <v>0.000783563500983745</v>
      </c>
      <c r="M479">
        <f t="shared" si="170"/>
        <v>0.000251046954802217</v>
      </c>
      <c r="N479" s="47">
        <f t="shared" si="171"/>
        <v>0</v>
      </c>
      <c r="O479">
        <f t="shared" si="172"/>
        <v>0</v>
      </c>
      <c r="P479">
        <f t="shared" si="173"/>
        <v>0</v>
      </c>
      <c r="Q479">
        <f t="shared" si="174"/>
        <v>0.000783563500983745</v>
      </c>
      <c r="R479">
        <f t="shared" si="175"/>
        <v>0</v>
      </c>
      <c r="S479">
        <f t="shared" si="176"/>
        <v>0</v>
      </c>
      <c r="T479">
        <f t="shared" si="177"/>
        <v>0</v>
      </c>
      <c r="U479" s="52">
        <f t="shared" si="178"/>
        <v>0.000251046954802217</v>
      </c>
      <c r="V479">
        <f t="shared" si="179"/>
        <v>0</v>
      </c>
      <c r="W479">
        <f t="shared" si="180"/>
        <v>0</v>
      </c>
      <c r="X479">
        <f t="shared" si="181"/>
        <v>0</v>
      </c>
      <c r="Y479">
        <f t="shared" si="182"/>
        <v>110.921135</v>
      </c>
      <c r="Z479">
        <f t="shared" si="183"/>
        <v>0</v>
      </c>
      <c r="AA479">
        <f t="shared" si="184"/>
        <v>0</v>
      </c>
      <c r="AB479">
        <f t="shared" si="185"/>
        <v>0</v>
      </c>
      <c r="AC479">
        <f t="shared" si="186"/>
        <v>154.237885</v>
      </c>
    </row>
    <row r="480" spans="2:29">
      <c r="B480" s="5">
        <v>189</v>
      </c>
      <c r="C480" s="6">
        <v>112.533356</v>
      </c>
      <c r="D480" s="6">
        <v>158.533585</v>
      </c>
      <c r="E480">
        <v>0.15</v>
      </c>
      <c r="F480" s="5">
        <f t="shared" si="163"/>
        <v>111.102627578124</v>
      </c>
      <c r="G480">
        <f t="shared" si="164"/>
        <v>152.512914386304</v>
      </c>
      <c r="H480">
        <f t="shared" si="165"/>
        <v>2.26309505674149</v>
      </c>
      <c r="I480">
        <f t="shared" si="166"/>
        <v>1.49727866470118</v>
      </c>
      <c r="J480">
        <f t="shared" si="167"/>
        <v>113.365722634866</v>
      </c>
      <c r="K480">
        <f t="shared" si="168"/>
        <v>154.010193051005</v>
      </c>
      <c r="L480">
        <f t="shared" si="169"/>
        <v>5.47100088793182e-5</v>
      </c>
      <c r="M480">
        <f t="shared" si="170"/>
        <v>0.000814115231434886</v>
      </c>
      <c r="N480" s="47">
        <f t="shared" si="171"/>
        <v>5.47100088793182e-5</v>
      </c>
      <c r="O480">
        <f t="shared" si="172"/>
        <v>0</v>
      </c>
      <c r="P480">
        <f t="shared" si="173"/>
        <v>0</v>
      </c>
      <c r="Q480">
        <f t="shared" si="174"/>
        <v>0</v>
      </c>
      <c r="R480">
        <f t="shared" si="175"/>
        <v>0.000814115231434886</v>
      </c>
      <c r="S480">
        <f t="shared" si="176"/>
        <v>0</v>
      </c>
      <c r="T480">
        <f t="shared" si="177"/>
        <v>0</v>
      </c>
      <c r="U480" s="52">
        <f t="shared" si="178"/>
        <v>0</v>
      </c>
      <c r="V480">
        <f t="shared" si="179"/>
        <v>112.533356</v>
      </c>
      <c r="W480">
        <f t="shared" si="180"/>
        <v>0</v>
      </c>
      <c r="X480">
        <f t="shared" si="181"/>
        <v>0</v>
      </c>
      <c r="Y480">
        <f t="shared" si="182"/>
        <v>0</v>
      </c>
      <c r="Z480">
        <f t="shared" si="183"/>
        <v>158.533585</v>
      </c>
      <c r="AA480">
        <f t="shared" si="184"/>
        <v>0</v>
      </c>
      <c r="AB480">
        <f t="shared" si="185"/>
        <v>0</v>
      </c>
      <c r="AC480">
        <f t="shared" si="186"/>
        <v>0</v>
      </c>
    </row>
    <row r="481" spans="2:29">
      <c r="B481" s="5">
        <v>190</v>
      </c>
      <c r="C481" s="6">
        <v>109.186623</v>
      </c>
      <c r="D481" s="6">
        <v>159.378815</v>
      </c>
      <c r="E481">
        <v>0.25</v>
      </c>
      <c r="F481" s="5">
        <f t="shared" si="163"/>
        <v>111.889528210156</v>
      </c>
      <c r="G481">
        <f t="shared" si="164"/>
        <v>155.824283223837</v>
      </c>
      <c r="H481">
        <f t="shared" si="165"/>
        <v>1.894046450564</v>
      </c>
      <c r="I481">
        <f t="shared" si="166"/>
        <v>1.95080120790912</v>
      </c>
      <c r="J481">
        <f t="shared" si="167"/>
        <v>113.78357466072</v>
      </c>
      <c r="K481">
        <f t="shared" si="168"/>
        <v>157.775084431746</v>
      </c>
      <c r="L481">
        <f t="shared" si="169"/>
        <v>0.00177256024951751</v>
      </c>
      <c r="M481">
        <f t="shared" si="170"/>
        <v>0.000101251537703285</v>
      </c>
      <c r="N481" s="47">
        <f t="shared" si="171"/>
        <v>0</v>
      </c>
      <c r="O481">
        <f t="shared" si="172"/>
        <v>0.00177256024951751</v>
      </c>
      <c r="P481">
        <f t="shared" si="173"/>
        <v>0</v>
      </c>
      <c r="Q481">
        <f t="shared" si="174"/>
        <v>0</v>
      </c>
      <c r="R481">
        <f t="shared" si="175"/>
        <v>0</v>
      </c>
      <c r="S481">
        <f t="shared" si="176"/>
        <v>0.000101251537703285</v>
      </c>
      <c r="T481">
        <f t="shared" si="177"/>
        <v>0</v>
      </c>
      <c r="U481" s="52">
        <f t="shared" si="178"/>
        <v>0</v>
      </c>
      <c r="V481">
        <f t="shared" si="179"/>
        <v>0</v>
      </c>
      <c r="W481">
        <f t="shared" si="180"/>
        <v>109.186623</v>
      </c>
      <c r="X481">
        <f t="shared" si="181"/>
        <v>0</v>
      </c>
      <c r="Y481">
        <f t="shared" si="182"/>
        <v>0</v>
      </c>
      <c r="Z481">
        <f t="shared" si="183"/>
        <v>0</v>
      </c>
      <c r="AA481">
        <f t="shared" si="184"/>
        <v>159.378815</v>
      </c>
      <c r="AB481">
        <f t="shared" si="185"/>
        <v>0</v>
      </c>
      <c r="AC481">
        <f t="shared" si="186"/>
        <v>0</v>
      </c>
    </row>
    <row r="482" spans="2:29">
      <c r="B482" s="5">
        <v>191</v>
      </c>
      <c r="C482" s="6">
        <v>112.815369</v>
      </c>
      <c r="D482" s="6">
        <v>159.169998</v>
      </c>
      <c r="E482">
        <v>0.45</v>
      </c>
      <c r="F482" s="5">
        <f t="shared" si="163"/>
        <v>110.40293034457</v>
      </c>
      <c r="G482">
        <f t="shared" si="164"/>
        <v>157.779275700726</v>
      </c>
      <c r="H482">
        <f t="shared" si="165"/>
        <v>0.372756508296589</v>
      </c>
      <c r="I482">
        <f t="shared" si="166"/>
        <v>1.95268727895042</v>
      </c>
      <c r="J482">
        <f t="shared" si="167"/>
        <v>110.775686852867</v>
      </c>
      <c r="K482">
        <f t="shared" si="168"/>
        <v>159.731962979677</v>
      </c>
      <c r="L482">
        <f t="shared" si="169"/>
        <v>0.000326880077897043</v>
      </c>
      <c r="M482">
        <f t="shared" si="170"/>
        <v>1.24651090653792e-5</v>
      </c>
      <c r="N482" s="47">
        <f t="shared" si="171"/>
        <v>0</v>
      </c>
      <c r="O482">
        <f t="shared" si="172"/>
        <v>0</v>
      </c>
      <c r="P482">
        <f t="shared" si="173"/>
        <v>0.000326880077897043</v>
      </c>
      <c r="Q482">
        <f t="shared" si="174"/>
        <v>0</v>
      </c>
      <c r="R482">
        <f t="shared" si="175"/>
        <v>0</v>
      </c>
      <c r="S482">
        <f t="shared" si="176"/>
        <v>0</v>
      </c>
      <c r="T482">
        <f t="shared" si="177"/>
        <v>1.24651090653792e-5</v>
      </c>
      <c r="U482" s="52">
        <f t="shared" si="178"/>
        <v>0</v>
      </c>
      <c r="V482">
        <f t="shared" si="179"/>
        <v>0</v>
      </c>
      <c r="W482">
        <f t="shared" si="180"/>
        <v>0</v>
      </c>
      <c r="X482">
        <f t="shared" si="181"/>
        <v>112.815369</v>
      </c>
      <c r="Y482">
        <f t="shared" si="182"/>
        <v>0</v>
      </c>
      <c r="Z482">
        <f t="shared" si="183"/>
        <v>0</v>
      </c>
      <c r="AA482">
        <f t="shared" si="184"/>
        <v>0</v>
      </c>
      <c r="AB482">
        <f t="shared" si="185"/>
        <v>159.169998</v>
      </c>
      <c r="AC482">
        <f t="shared" si="186"/>
        <v>0</v>
      </c>
    </row>
    <row r="483" spans="2:29">
      <c r="B483" s="5">
        <v>192</v>
      </c>
      <c r="C483" s="6">
        <v>114.81192</v>
      </c>
      <c r="D483" s="6">
        <v>158.979996</v>
      </c>
      <c r="E483">
        <v>0.85</v>
      </c>
      <c r="F483" s="5">
        <f t="shared" si="163"/>
        <v>111.729771605057</v>
      </c>
      <c r="G483">
        <f t="shared" si="164"/>
        <v>158.544172965327</v>
      </c>
      <c r="H483">
        <f t="shared" si="165"/>
        <v>1.18372854765791</v>
      </c>
      <c r="I483">
        <f t="shared" si="166"/>
        <v>0.943065766752946</v>
      </c>
      <c r="J483">
        <f t="shared" si="167"/>
        <v>112.913500152714</v>
      </c>
      <c r="K483">
        <f t="shared" si="168"/>
        <v>159.48723873208</v>
      </c>
      <c r="L483">
        <f t="shared" si="169"/>
        <v>0.00027340759319874</v>
      </c>
      <c r="M483">
        <f t="shared" si="170"/>
        <v>1.01799747938314e-5</v>
      </c>
      <c r="N483" s="47">
        <f t="shared" si="171"/>
        <v>0</v>
      </c>
      <c r="O483">
        <f t="shared" si="172"/>
        <v>0</v>
      </c>
      <c r="P483">
        <f t="shared" si="173"/>
        <v>0</v>
      </c>
      <c r="Q483">
        <f t="shared" si="174"/>
        <v>0.00027340759319874</v>
      </c>
      <c r="R483">
        <f t="shared" si="175"/>
        <v>0</v>
      </c>
      <c r="S483">
        <f t="shared" si="176"/>
        <v>0</v>
      </c>
      <c r="T483">
        <f t="shared" si="177"/>
        <v>0</v>
      </c>
      <c r="U483" s="52">
        <f t="shared" si="178"/>
        <v>1.01799747938314e-5</v>
      </c>
      <c r="V483">
        <f t="shared" si="179"/>
        <v>0</v>
      </c>
      <c r="W483">
        <f t="shared" si="180"/>
        <v>0</v>
      </c>
      <c r="X483">
        <f t="shared" si="181"/>
        <v>0</v>
      </c>
      <c r="Y483">
        <f t="shared" si="182"/>
        <v>114.81192</v>
      </c>
      <c r="Z483">
        <f t="shared" si="183"/>
        <v>0</v>
      </c>
      <c r="AA483">
        <f t="shared" si="184"/>
        <v>0</v>
      </c>
      <c r="AB483">
        <f t="shared" si="185"/>
        <v>0</v>
      </c>
      <c r="AC483">
        <f t="shared" si="186"/>
        <v>158.979996</v>
      </c>
    </row>
    <row r="484" spans="2:29">
      <c r="B484" s="5">
        <v>193</v>
      </c>
      <c r="C484" s="6">
        <v>114.709602</v>
      </c>
      <c r="D484" s="6">
        <v>160.279999</v>
      </c>
      <c r="E484">
        <v>0.15</v>
      </c>
      <c r="F484" s="5">
        <f t="shared" si="163"/>
        <v>113.424953222275</v>
      </c>
      <c r="G484">
        <f t="shared" si="164"/>
        <v>158.783875634397</v>
      </c>
      <c r="H484">
        <f t="shared" si="165"/>
        <v>1.26044650809205</v>
      </c>
      <c r="I484">
        <f t="shared" si="166"/>
        <v>0.837561302100534</v>
      </c>
      <c r="J484">
        <f t="shared" si="167"/>
        <v>114.685399730368</v>
      </c>
      <c r="K484">
        <f t="shared" si="168"/>
        <v>159.621436936498</v>
      </c>
      <c r="L484">
        <f t="shared" si="169"/>
        <v>4.45156423152471e-8</v>
      </c>
      <c r="M484">
        <f t="shared" si="170"/>
        <v>1.68824221986476e-5</v>
      </c>
      <c r="N484" s="47">
        <f t="shared" si="171"/>
        <v>4.45156423152471e-8</v>
      </c>
      <c r="O484">
        <f t="shared" si="172"/>
        <v>0</v>
      </c>
      <c r="P484">
        <f t="shared" si="173"/>
        <v>0</v>
      </c>
      <c r="Q484">
        <f t="shared" si="174"/>
        <v>0</v>
      </c>
      <c r="R484">
        <f t="shared" si="175"/>
        <v>1.68824221986476e-5</v>
      </c>
      <c r="S484">
        <f t="shared" si="176"/>
        <v>0</v>
      </c>
      <c r="T484">
        <f t="shared" si="177"/>
        <v>0</v>
      </c>
      <c r="U484" s="52">
        <f t="shared" si="178"/>
        <v>0</v>
      </c>
      <c r="V484">
        <f t="shared" si="179"/>
        <v>114.709602</v>
      </c>
      <c r="W484">
        <f t="shared" si="180"/>
        <v>0</v>
      </c>
      <c r="X484">
        <f t="shared" si="181"/>
        <v>0</v>
      </c>
      <c r="Y484">
        <f t="shared" si="182"/>
        <v>0</v>
      </c>
      <c r="Z484">
        <f t="shared" si="183"/>
        <v>160.279999</v>
      </c>
      <c r="AA484">
        <f t="shared" si="184"/>
        <v>0</v>
      </c>
      <c r="AB484">
        <f t="shared" si="185"/>
        <v>0</v>
      </c>
      <c r="AC484">
        <f t="shared" si="186"/>
        <v>0</v>
      </c>
    </row>
    <row r="485" spans="2:29">
      <c r="B485" s="5">
        <v>194</v>
      </c>
      <c r="C485" s="6">
        <v>114.41011</v>
      </c>
      <c r="D485" s="6">
        <v>158.759995</v>
      </c>
      <c r="E485">
        <v>0.25</v>
      </c>
      <c r="F485" s="5">
        <f t="shared" si="163"/>
        <v>114.131510050024</v>
      </c>
      <c r="G485">
        <f t="shared" si="164"/>
        <v>159.606743485479</v>
      </c>
      <c r="H485">
        <f t="shared" si="165"/>
        <v>1.12197408800616</v>
      </c>
      <c r="I485">
        <f t="shared" si="166"/>
        <v>0.833887939345796</v>
      </c>
      <c r="J485">
        <f t="shared" si="167"/>
        <v>115.25348413803</v>
      </c>
      <c r="K485">
        <f t="shared" si="168"/>
        <v>160.440631424825</v>
      </c>
      <c r="L485">
        <f t="shared" si="169"/>
        <v>5.43390138176105e-5</v>
      </c>
      <c r="M485">
        <f t="shared" si="170"/>
        <v>0.000112063811779553</v>
      </c>
      <c r="N485" s="47">
        <f t="shared" si="171"/>
        <v>0</v>
      </c>
      <c r="O485">
        <f t="shared" si="172"/>
        <v>5.43390138176105e-5</v>
      </c>
      <c r="P485">
        <f t="shared" si="173"/>
        <v>0</v>
      </c>
      <c r="Q485">
        <f t="shared" si="174"/>
        <v>0</v>
      </c>
      <c r="R485">
        <f t="shared" si="175"/>
        <v>0</v>
      </c>
      <c r="S485">
        <f t="shared" si="176"/>
        <v>0.000112063811779553</v>
      </c>
      <c r="T485">
        <f t="shared" si="177"/>
        <v>0</v>
      </c>
      <c r="U485" s="52">
        <f t="shared" si="178"/>
        <v>0</v>
      </c>
      <c r="V485">
        <f t="shared" si="179"/>
        <v>0</v>
      </c>
      <c r="W485">
        <f t="shared" si="180"/>
        <v>114.41011</v>
      </c>
      <c r="X485">
        <f t="shared" si="181"/>
        <v>0</v>
      </c>
      <c r="Y485">
        <f t="shared" si="182"/>
        <v>0</v>
      </c>
      <c r="Z485">
        <f t="shared" si="183"/>
        <v>0</v>
      </c>
      <c r="AA485">
        <f t="shared" si="184"/>
        <v>158.759995</v>
      </c>
      <c r="AB485">
        <f t="shared" si="185"/>
        <v>0</v>
      </c>
      <c r="AC485">
        <f t="shared" si="186"/>
        <v>0</v>
      </c>
    </row>
    <row r="486" spans="2:29">
      <c r="B486" s="5">
        <v>195</v>
      </c>
      <c r="C486" s="6">
        <v>115.363472</v>
      </c>
      <c r="D486" s="6">
        <v>157.380005</v>
      </c>
      <c r="E486">
        <v>0.45</v>
      </c>
      <c r="F486" s="5">
        <f t="shared" ref="F486:F543" si="187">((0.55*C485)+((1-0.55)*F485))</f>
        <v>114.284740022511</v>
      </c>
      <c r="G486">
        <f t="shared" ref="G486:G543" si="188">(0.55*D485)+((1-0.55)*G485)</f>
        <v>159.141031818465</v>
      </c>
      <c r="H486">
        <f t="shared" ref="H486:H543" si="189">((E486*(F486-F485))+((1-E486)*H485))</f>
        <v>0.686039236022463</v>
      </c>
      <c r="I486">
        <f t="shared" ref="I486:I543" si="190">((E486*(G486-G485))+((1-E486)*I485))</f>
        <v>0.249068116484205</v>
      </c>
      <c r="J486">
        <f t="shared" ref="J486:J543" si="191">F486+H486</f>
        <v>114.970779258533</v>
      </c>
      <c r="K486">
        <f t="shared" ref="K486:K543" si="192">G486+I486</f>
        <v>159.39009993495</v>
      </c>
      <c r="L486">
        <f t="shared" ref="L486:L543" si="193">POWER(ABS((C486-J486)/C486),2)</f>
        <v>1.1586949424585e-5</v>
      </c>
      <c r="M486">
        <f t="shared" ref="M486:M543" si="194">POWER(ABS((D486-K486)/D486),2)</f>
        <v>0.000163130072398675</v>
      </c>
      <c r="N486" s="47">
        <f t="shared" si="171"/>
        <v>0</v>
      </c>
      <c r="O486">
        <f t="shared" si="172"/>
        <v>0</v>
      </c>
      <c r="P486">
        <f t="shared" si="173"/>
        <v>1.1586949424585e-5</v>
      </c>
      <c r="Q486">
        <f t="shared" si="174"/>
        <v>0</v>
      </c>
      <c r="R486">
        <f t="shared" si="175"/>
        <v>0</v>
      </c>
      <c r="S486">
        <f t="shared" si="176"/>
        <v>0</v>
      </c>
      <c r="T486">
        <f t="shared" si="177"/>
        <v>0.000163130072398675</v>
      </c>
      <c r="U486" s="52">
        <f t="shared" si="178"/>
        <v>0</v>
      </c>
      <c r="V486">
        <f t="shared" si="179"/>
        <v>0</v>
      </c>
      <c r="W486">
        <f t="shared" si="180"/>
        <v>0</v>
      </c>
      <c r="X486">
        <f t="shared" si="181"/>
        <v>115.363472</v>
      </c>
      <c r="Y486">
        <f t="shared" si="182"/>
        <v>0</v>
      </c>
      <c r="Z486">
        <f t="shared" si="183"/>
        <v>0</v>
      </c>
      <c r="AA486">
        <f t="shared" si="184"/>
        <v>0</v>
      </c>
      <c r="AB486">
        <f t="shared" si="185"/>
        <v>157.380005</v>
      </c>
      <c r="AC486">
        <f t="shared" si="186"/>
        <v>0</v>
      </c>
    </row>
    <row r="487" spans="2:29">
      <c r="B487" s="5">
        <v>196</v>
      </c>
      <c r="C487" s="6">
        <v>115.508217</v>
      </c>
      <c r="D487" s="6">
        <v>156.850006</v>
      </c>
      <c r="E487">
        <v>0.85</v>
      </c>
      <c r="F487" s="5">
        <f t="shared" si="187"/>
        <v>114.87804261013</v>
      </c>
      <c r="G487">
        <f t="shared" si="188"/>
        <v>158.172467068309</v>
      </c>
      <c r="H487">
        <f t="shared" si="189"/>
        <v>0.607213084879574</v>
      </c>
      <c r="I487">
        <f t="shared" si="190"/>
        <v>-0.785919820159938</v>
      </c>
      <c r="J487">
        <f t="shared" si="191"/>
        <v>115.485255695009</v>
      </c>
      <c r="K487">
        <f t="shared" si="192"/>
        <v>157.38654724815</v>
      </c>
      <c r="L487">
        <f t="shared" si="193"/>
        <v>3.9515490248169e-8</v>
      </c>
      <c r="M487">
        <f t="shared" si="194"/>
        <v>1.17013818306883e-5</v>
      </c>
      <c r="N487" s="47">
        <f t="shared" si="171"/>
        <v>0</v>
      </c>
      <c r="O487">
        <f t="shared" si="172"/>
        <v>0</v>
      </c>
      <c r="P487">
        <f t="shared" si="173"/>
        <v>0</v>
      </c>
      <c r="Q487">
        <f t="shared" si="174"/>
        <v>3.9515490248169e-8</v>
      </c>
      <c r="R487">
        <f t="shared" si="175"/>
        <v>0</v>
      </c>
      <c r="S487">
        <f t="shared" si="176"/>
        <v>0</v>
      </c>
      <c r="T487">
        <f t="shared" si="177"/>
        <v>0</v>
      </c>
      <c r="U487" s="52">
        <f t="shared" si="178"/>
        <v>1.17013818306883e-5</v>
      </c>
      <c r="V487">
        <f t="shared" si="179"/>
        <v>0</v>
      </c>
      <c r="W487">
        <f t="shared" si="180"/>
        <v>0</v>
      </c>
      <c r="X487">
        <f t="shared" si="181"/>
        <v>0</v>
      </c>
      <c r="Y487">
        <f t="shared" si="182"/>
        <v>115.508217</v>
      </c>
      <c r="Z487">
        <f t="shared" si="183"/>
        <v>0</v>
      </c>
      <c r="AA487">
        <f t="shared" si="184"/>
        <v>0</v>
      </c>
      <c r="AB487">
        <f t="shared" si="185"/>
        <v>0</v>
      </c>
      <c r="AC487">
        <f t="shared" si="186"/>
        <v>156.850006</v>
      </c>
    </row>
    <row r="488" spans="2:29">
      <c r="B488" s="5">
        <v>197</v>
      </c>
      <c r="C488" s="6">
        <v>118.071297</v>
      </c>
      <c r="D488" s="6">
        <v>156.169998</v>
      </c>
      <c r="E488">
        <v>0.15</v>
      </c>
      <c r="F488" s="5">
        <f t="shared" si="187"/>
        <v>115.224638524558</v>
      </c>
      <c r="G488">
        <f t="shared" si="188"/>
        <v>157.445113480739</v>
      </c>
      <c r="H488">
        <f t="shared" si="189"/>
        <v>0.568120509311924</v>
      </c>
      <c r="I488">
        <f t="shared" si="190"/>
        <v>-0.777134885271474</v>
      </c>
      <c r="J488">
        <f t="shared" si="191"/>
        <v>115.79275903387</v>
      </c>
      <c r="K488">
        <f t="shared" si="192"/>
        <v>156.667978595468</v>
      </c>
      <c r="L488">
        <f t="shared" si="193"/>
        <v>0.000372412175273084</v>
      </c>
      <c r="M488">
        <f t="shared" si="194"/>
        <v>1.01678617101347e-5</v>
      </c>
      <c r="N488" s="47">
        <f t="shared" si="171"/>
        <v>0.000372412175273084</v>
      </c>
      <c r="O488">
        <f t="shared" si="172"/>
        <v>0</v>
      </c>
      <c r="P488">
        <f t="shared" si="173"/>
        <v>0</v>
      </c>
      <c r="Q488">
        <f t="shared" si="174"/>
        <v>0</v>
      </c>
      <c r="R488">
        <f t="shared" si="175"/>
        <v>1.01678617101347e-5</v>
      </c>
      <c r="S488">
        <f t="shared" si="176"/>
        <v>0</v>
      </c>
      <c r="T488">
        <f t="shared" si="177"/>
        <v>0</v>
      </c>
      <c r="U488" s="52">
        <f t="shared" si="178"/>
        <v>0</v>
      </c>
      <c r="V488">
        <f t="shared" si="179"/>
        <v>118.071297</v>
      </c>
      <c r="W488">
        <f t="shared" si="180"/>
        <v>0</v>
      </c>
      <c r="X488">
        <f t="shared" si="181"/>
        <v>0</v>
      </c>
      <c r="Y488">
        <f t="shared" si="182"/>
        <v>0</v>
      </c>
      <c r="Z488">
        <f t="shared" si="183"/>
        <v>156.169998</v>
      </c>
      <c r="AA488">
        <f t="shared" si="184"/>
        <v>0</v>
      </c>
      <c r="AB488">
        <f t="shared" si="185"/>
        <v>0</v>
      </c>
      <c r="AC488">
        <f t="shared" si="186"/>
        <v>0</v>
      </c>
    </row>
    <row r="489" spans="2:29">
      <c r="B489" s="5">
        <v>198</v>
      </c>
      <c r="C489" s="6">
        <v>124.1558</v>
      </c>
      <c r="D489" s="6">
        <v>157.5</v>
      </c>
      <c r="E489">
        <v>0.25</v>
      </c>
      <c r="F489" s="5">
        <f t="shared" si="187"/>
        <v>116.790300686051</v>
      </c>
      <c r="G489">
        <f t="shared" si="188"/>
        <v>156.743799966333</v>
      </c>
      <c r="H489">
        <f t="shared" si="189"/>
        <v>0.81750592235716</v>
      </c>
      <c r="I489">
        <f t="shared" si="190"/>
        <v>-0.758179542555253</v>
      </c>
      <c r="J489">
        <f t="shared" si="191"/>
        <v>117.607806608408</v>
      </c>
      <c r="K489">
        <f t="shared" si="192"/>
        <v>155.985620423777</v>
      </c>
      <c r="L489">
        <f t="shared" si="193"/>
        <v>0.00278152161770283</v>
      </c>
      <c r="M489">
        <f t="shared" si="194"/>
        <v>9.24503099372133e-5</v>
      </c>
      <c r="N489" s="47">
        <f t="shared" si="171"/>
        <v>0</v>
      </c>
      <c r="O489">
        <f t="shared" si="172"/>
        <v>0.00278152161770283</v>
      </c>
      <c r="P489">
        <f t="shared" si="173"/>
        <v>0</v>
      </c>
      <c r="Q489">
        <f t="shared" si="174"/>
        <v>0</v>
      </c>
      <c r="R489">
        <f t="shared" si="175"/>
        <v>0</v>
      </c>
      <c r="S489">
        <f t="shared" si="176"/>
        <v>9.24503099372133e-5</v>
      </c>
      <c r="T489">
        <f t="shared" si="177"/>
        <v>0</v>
      </c>
      <c r="U489" s="52">
        <f t="shared" si="178"/>
        <v>0</v>
      </c>
      <c r="V489">
        <f t="shared" si="179"/>
        <v>0</v>
      </c>
      <c r="W489">
        <f t="shared" si="180"/>
        <v>124.1558</v>
      </c>
      <c r="X489">
        <f t="shared" si="181"/>
        <v>0</v>
      </c>
      <c r="Y489">
        <f t="shared" si="182"/>
        <v>0</v>
      </c>
      <c r="Z489">
        <f t="shared" si="183"/>
        <v>0</v>
      </c>
      <c r="AA489">
        <f t="shared" si="184"/>
        <v>157.5</v>
      </c>
      <c r="AB489">
        <f t="shared" si="185"/>
        <v>0</v>
      </c>
      <c r="AC489">
        <f t="shared" si="186"/>
        <v>0</v>
      </c>
    </row>
    <row r="490" spans="2:29">
      <c r="B490" s="5">
        <v>199</v>
      </c>
      <c r="C490" s="6">
        <v>125.640739</v>
      </c>
      <c r="D490" s="6">
        <v>159.369995</v>
      </c>
      <c r="E490">
        <v>0.45</v>
      </c>
      <c r="F490" s="5">
        <f t="shared" si="187"/>
        <v>120.841325308723</v>
      </c>
      <c r="G490">
        <f t="shared" si="188"/>
        <v>157.15970998485</v>
      </c>
      <c r="H490">
        <f t="shared" si="189"/>
        <v>2.27258933749874</v>
      </c>
      <c r="I490">
        <f t="shared" si="190"/>
        <v>-0.229839240072728</v>
      </c>
      <c r="J490">
        <f t="shared" si="191"/>
        <v>123.113914646222</v>
      </c>
      <c r="K490">
        <f t="shared" si="192"/>
        <v>156.929870744777</v>
      </c>
      <c r="L490">
        <f t="shared" si="193"/>
        <v>0.000404472634381795</v>
      </c>
      <c r="M490">
        <f t="shared" si="194"/>
        <v>0.00023442869274397</v>
      </c>
      <c r="N490" s="47">
        <f t="shared" si="171"/>
        <v>0</v>
      </c>
      <c r="O490">
        <f t="shared" si="172"/>
        <v>0</v>
      </c>
      <c r="P490">
        <f t="shared" si="173"/>
        <v>0.000404472634381795</v>
      </c>
      <c r="Q490">
        <f t="shared" si="174"/>
        <v>0</v>
      </c>
      <c r="R490">
        <f t="shared" si="175"/>
        <v>0</v>
      </c>
      <c r="S490">
        <f t="shared" si="176"/>
        <v>0</v>
      </c>
      <c r="T490">
        <f t="shared" si="177"/>
        <v>0.00023442869274397</v>
      </c>
      <c r="U490" s="52">
        <f t="shared" si="178"/>
        <v>0</v>
      </c>
      <c r="V490">
        <f t="shared" si="179"/>
        <v>0</v>
      </c>
      <c r="W490">
        <f t="shared" si="180"/>
        <v>0</v>
      </c>
      <c r="X490">
        <f t="shared" si="181"/>
        <v>125.640739</v>
      </c>
      <c r="Y490">
        <f t="shared" si="182"/>
        <v>0</v>
      </c>
      <c r="Z490">
        <f t="shared" si="183"/>
        <v>0</v>
      </c>
      <c r="AA490">
        <f t="shared" si="184"/>
        <v>0</v>
      </c>
      <c r="AB490">
        <f t="shared" si="185"/>
        <v>159.369995</v>
      </c>
      <c r="AC490">
        <f t="shared" si="186"/>
        <v>0</v>
      </c>
    </row>
    <row r="491" spans="2:29">
      <c r="B491" s="5">
        <v>200</v>
      </c>
      <c r="C491" s="6">
        <v>124.610016</v>
      </c>
      <c r="D491" s="6">
        <v>164.529999</v>
      </c>
      <c r="E491">
        <v>0.85</v>
      </c>
      <c r="F491" s="5">
        <f t="shared" si="187"/>
        <v>123.481002838925</v>
      </c>
      <c r="G491">
        <f t="shared" si="188"/>
        <v>158.375366743182</v>
      </c>
      <c r="H491">
        <f t="shared" si="189"/>
        <v>2.58461430129677</v>
      </c>
      <c r="I491">
        <f t="shared" si="190"/>
        <v>0.998832358571861</v>
      </c>
      <c r="J491">
        <f t="shared" si="191"/>
        <v>126.065617140222</v>
      </c>
      <c r="K491">
        <f t="shared" si="192"/>
        <v>159.374199101754</v>
      </c>
      <c r="L491">
        <f t="shared" si="193"/>
        <v>0.000136451674835772</v>
      </c>
      <c r="M491">
        <f t="shared" si="194"/>
        <v>0.000981978359538128</v>
      </c>
      <c r="N491" s="47">
        <f t="shared" si="171"/>
        <v>0</v>
      </c>
      <c r="O491">
        <f t="shared" si="172"/>
        <v>0</v>
      </c>
      <c r="P491">
        <f t="shared" si="173"/>
        <v>0</v>
      </c>
      <c r="Q491">
        <f t="shared" si="174"/>
        <v>0.000136451674835772</v>
      </c>
      <c r="R491">
        <f t="shared" si="175"/>
        <v>0</v>
      </c>
      <c r="S491">
        <f t="shared" si="176"/>
        <v>0</v>
      </c>
      <c r="T491">
        <f t="shared" si="177"/>
        <v>0</v>
      </c>
      <c r="U491" s="52">
        <f t="shared" si="178"/>
        <v>0.000981978359538128</v>
      </c>
      <c r="V491">
        <f t="shared" si="179"/>
        <v>0</v>
      </c>
      <c r="W491">
        <f t="shared" si="180"/>
        <v>0</v>
      </c>
      <c r="X491">
        <f t="shared" si="181"/>
        <v>0</v>
      </c>
      <c r="Y491">
        <f t="shared" si="182"/>
        <v>124.610016</v>
      </c>
      <c r="Z491">
        <f t="shared" si="183"/>
        <v>0</v>
      </c>
      <c r="AA491">
        <f t="shared" si="184"/>
        <v>0</v>
      </c>
      <c r="AB491">
        <f t="shared" si="185"/>
        <v>0</v>
      </c>
      <c r="AC491">
        <f t="shared" si="186"/>
        <v>164.529999</v>
      </c>
    </row>
    <row r="492" spans="2:29">
      <c r="B492" s="5">
        <v>201</v>
      </c>
      <c r="C492" s="6">
        <v>126.304596</v>
      </c>
      <c r="D492" s="6">
        <v>165.309998</v>
      </c>
      <c r="E492">
        <v>0.15</v>
      </c>
      <c r="F492" s="5">
        <f t="shared" si="187"/>
        <v>124.101960077516</v>
      </c>
      <c r="G492">
        <f t="shared" si="188"/>
        <v>161.760414484432</v>
      </c>
      <c r="H492">
        <f t="shared" si="189"/>
        <v>2.29006574189091</v>
      </c>
      <c r="I492">
        <f t="shared" si="190"/>
        <v>1.35676466597354</v>
      </c>
      <c r="J492">
        <f t="shared" si="191"/>
        <v>126.392025819407</v>
      </c>
      <c r="K492">
        <f t="shared" si="192"/>
        <v>163.117179150406</v>
      </c>
      <c r="L492">
        <f t="shared" si="193"/>
        <v>4.79160329124066e-7</v>
      </c>
      <c r="M492">
        <f t="shared" si="194"/>
        <v>0.000175957292304421</v>
      </c>
      <c r="N492" s="47">
        <f t="shared" si="171"/>
        <v>4.79160329124066e-7</v>
      </c>
      <c r="O492">
        <f t="shared" si="172"/>
        <v>0</v>
      </c>
      <c r="P492">
        <f t="shared" si="173"/>
        <v>0</v>
      </c>
      <c r="Q492">
        <f t="shared" si="174"/>
        <v>0</v>
      </c>
      <c r="R492">
        <f t="shared" si="175"/>
        <v>0.000175957292304421</v>
      </c>
      <c r="S492">
        <f t="shared" si="176"/>
        <v>0</v>
      </c>
      <c r="T492">
        <f t="shared" si="177"/>
        <v>0</v>
      </c>
      <c r="U492" s="52">
        <f t="shared" si="178"/>
        <v>0</v>
      </c>
      <c r="V492">
        <f t="shared" si="179"/>
        <v>126.304596</v>
      </c>
      <c r="W492">
        <f t="shared" si="180"/>
        <v>0</v>
      </c>
      <c r="X492">
        <f t="shared" si="181"/>
        <v>0</v>
      </c>
      <c r="Y492">
        <f t="shared" si="182"/>
        <v>0</v>
      </c>
      <c r="Z492">
        <f t="shared" si="183"/>
        <v>165.309998</v>
      </c>
      <c r="AA492">
        <f t="shared" si="184"/>
        <v>0</v>
      </c>
      <c r="AB492">
        <f t="shared" si="185"/>
        <v>0</v>
      </c>
      <c r="AC492">
        <f t="shared" si="186"/>
        <v>0</v>
      </c>
    </row>
    <row r="493" spans="2:29">
      <c r="B493" s="5">
        <v>202</v>
      </c>
      <c r="C493" s="6">
        <v>124.794701</v>
      </c>
      <c r="D493" s="6">
        <v>165.990005</v>
      </c>
      <c r="E493">
        <v>0.25</v>
      </c>
      <c r="F493" s="5">
        <f t="shared" si="187"/>
        <v>125.313409834882</v>
      </c>
      <c r="G493">
        <f t="shared" si="188"/>
        <v>163.712685417994</v>
      </c>
      <c r="H493">
        <f t="shared" si="189"/>
        <v>2.02041174575968</v>
      </c>
      <c r="I493">
        <f t="shared" si="190"/>
        <v>1.50564123287075</v>
      </c>
      <c r="J493">
        <f t="shared" si="191"/>
        <v>127.333821580642</v>
      </c>
      <c r="K493">
        <f t="shared" si="192"/>
        <v>165.218326650865</v>
      </c>
      <c r="L493">
        <f t="shared" si="193"/>
        <v>0.000413975235225524</v>
      </c>
      <c r="M493">
        <f t="shared" si="194"/>
        <v>2.1612686551262e-5</v>
      </c>
      <c r="N493" s="47">
        <f t="shared" si="171"/>
        <v>0</v>
      </c>
      <c r="O493">
        <f t="shared" si="172"/>
        <v>0.000413975235225524</v>
      </c>
      <c r="P493">
        <f t="shared" si="173"/>
        <v>0</v>
      </c>
      <c r="Q493">
        <f t="shared" si="174"/>
        <v>0</v>
      </c>
      <c r="R493">
        <f t="shared" si="175"/>
        <v>0</v>
      </c>
      <c r="S493">
        <f t="shared" si="176"/>
        <v>2.1612686551262e-5</v>
      </c>
      <c r="T493">
        <f t="shared" si="177"/>
        <v>0</v>
      </c>
      <c r="U493" s="52">
        <f t="shared" si="178"/>
        <v>0</v>
      </c>
      <c r="V493">
        <f t="shared" si="179"/>
        <v>0</v>
      </c>
      <c r="W493">
        <f t="shared" si="180"/>
        <v>124.794701</v>
      </c>
      <c r="X493">
        <f t="shared" si="181"/>
        <v>0</v>
      </c>
      <c r="Y493">
        <f t="shared" si="182"/>
        <v>0</v>
      </c>
      <c r="Z493">
        <f t="shared" si="183"/>
        <v>0</v>
      </c>
      <c r="AA493">
        <f t="shared" si="184"/>
        <v>165.990005</v>
      </c>
      <c r="AB493">
        <f t="shared" si="185"/>
        <v>0</v>
      </c>
      <c r="AC493">
        <f t="shared" si="186"/>
        <v>0</v>
      </c>
    </row>
    <row r="494" spans="2:29">
      <c r="B494" s="5">
        <v>203</v>
      </c>
      <c r="C494" s="6">
        <v>124.592552</v>
      </c>
      <c r="D494" s="6">
        <v>168.380005</v>
      </c>
      <c r="E494">
        <v>0.45</v>
      </c>
      <c r="F494" s="5">
        <f t="shared" si="187"/>
        <v>125.028119975697</v>
      </c>
      <c r="G494">
        <f t="shared" si="188"/>
        <v>164.965211188097</v>
      </c>
      <c r="H494">
        <f t="shared" si="189"/>
        <v>0.982846023534427</v>
      </c>
      <c r="I494">
        <f t="shared" si="190"/>
        <v>1.39173927462528</v>
      </c>
      <c r="J494">
        <f t="shared" si="191"/>
        <v>126.010965999232</v>
      </c>
      <c r="K494">
        <f t="shared" si="192"/>
        <v>166.356950462723</v>
      </c>
      <c r="L494">
        <f t="shared" si="193"/>
        <v>0.000129605029407266</v>
      </c>
      <c r="M494">
        <f t="shared" si="194"/>
        <v>0.000144355769138149</v>
      </c>
      <c r="N494" s="47">
        <f t="shared" si="171"/>
        <v>0</v>
      </c>
      <c r="O494">
        <f t="shared" si="172"/>
        <v>0</v>
      </c>
      <c r="P494">
        <f t="shared" si="173"/>
        <v>0.000129605029407266</v>
      </c>
      <c r="Q494">
        <f t="shared" si="174"/>
        <v>0</v>
      </c>
      <c r="R494">
        <f t="shared" si="175"/>
        <v>0</v>
      </c>
      <c r="S494">
        <f t="shared" si="176"/>
        <v>0</v>
      </c>
      <c r="T494">
        <f t="shared" si="177"/>
        <v>0.000144355769138149</v>
      </c>
      <c r="U494" s="52">
        <f t="shared" si="178"/>
        <v>0</v>
      </c>
      <c r="V494">
        <f t="shared" si="179"/>
        <v>0</v>
      </c>
      <c r="W494">
        <f t="shared" si="180"/>
        <v>0</v>
      </c>
      <c r="X494">
        <f t="shared" si="181"/>
        <v>124.592552</v>
      </c>
      <c r="Y494">
        <f t="shared" si="182"/>
        <v>0</v>
      </c>
      <c r="Z494">
        <f t="shared" si="183"/>
        <v>0</v>
      </c>
      <c r="AA494">
        <f t="shared" si="184"/>
        <v>0</v>
      </c>
      <c r="AB494">
        <f t="shared" si="185"/>
        <v>168.380005</v>
      </c>
      <c r="AC494">
        <f t="shared" si="186"/>
        <v>0</v>
      </c>
    </row>
    <row r="495" spans="2:29">
      <c r="B495" s="5">
        <v>204</v>
      </c>
      <c r="C495" s="6">
        <v>128.817749</v>
      </c>
      <c r="D495" s="6">
        <v>165.550003</v>
      </c>
      <c r="E495">
        <v>0.85</v>
      </c>
      <c r="F495" s="5">
        <f t="shared" si="187"/>
        <v>124.788557589064</v>
      </c>
      <c r="G495">
        <f t="shared" si="188"/>
        <v>166.843347784644</v>
      </c>
      <c r="H495">
        <f t="shared" si="189"/>
        <v>-0.0562011251082215</v>
      </c>
      <c r="I495">
        <f t="shared" si="190"/>
        <v>1.80517699825821</v>
      </c>
      <c r="J495">
        <f t="shared" si="191"/>
        <v>124.732356463955</v>
      </c>
      <c r="K495">
        <f t="shared" si="192"/>
        <v>168.648524782902</v>
      </c>
      <c r="L495">
        <f t="shared" si="193"/>
        <v>0.00100581051245976</v>
      </c>
      <c r="M495">
        <f t="shared" si="194"/>
        <v>0.000350308537128957</v>
      </c>
      <c r="N495" s="47">
        <f t="shared" si="171"/>
        <v>0</v>
      </c>
      <c r="O495">
        <f t="shared" si="172"/>
        <v>0</v>
      </c>
      <c r="P495">
        <f t="shared" si="173"/>
        <v>0</v>
      </c>
      <c r="Q495">
        <f t="shared" si="174"/>
        <v>0.00100581051245976</v>
      </c>
      <c r="R495">
        <f t="shared" si="175"/>
        <v>0</v>
      </c>
      <c r="S495">
        <f t="shared" si="176"/>
        <v>0</v>
      </c>
      <c r="T495">
        <f t="shared" si="177"/>
        <v>0</v>
      </c>
      <c r="U495" s="52">
        <f t="shared" si="178"/>
        <v>0.000350308537128957</v>
      </c>
      <c r="V495">
        <f t="shared" si="179"/>
        <v>0</v>
      </c>
      <c r="W495">
        <f t="shared" si="180"/>
        <v>0</v>
      </c>
      <c r="X495">
        <f t="shared" si="181"/>
        <v>0</v>
      </c>
      <c r="Y495">
        <f t="shared" si="182"/>
        <v>128.817749</v>
      </c>
      <c r="Z495">
        <f t="shared" si="183"/>
        <v>0</v>
      </c>
      <c r="AA495">
        <f t="shared" si="184"/>
        <v>0</v>
      </c>
      <c r="AB495">
        <f t="shared" si="185"/>
        <v>0</v>
      </c>
      <c r="AC495">
        <f t="shared" si="186"/>
        <v>165.550003</v>
      </c>
    </row>
    <row r="496" spans="2:29">
      <c r="B496" s="5">
        <v>205</v>
      </c>
      <c r="C496" s="6">
        <v>133.948898</v>
      </c>
      <c r="D496" s="6">
        <v>167.970001</v>
      </c>
      <c r="E496">
        <v>0.15</v>
      </c>
      <c r="F496" s="5">
        <f t="shared" si="187"/>
        <v>127.004612865079</v>
      </c>
      <c r="G496">
        <f t="shared" si="188"/>
        <v>166.13200815309</v>
      </c>
      <c r="H496">
        <f t="shared" si="189"/>
        <v>0.284637335060257</v>
      </c>
      <c r="I496">
        <f t="shared" si="190"/>
        <v>1.42769950378636</v>
      </c>
      <c r="J496">
        <f t="shared" si="191"/>
        <v>127.289250200139</v>
      </c>
      <c r="K496">
        <f t="shared" si="192"/>
        <v>167.559707656876</v>
      </c>
      <c r="L496">
        <f t="shared" si="193"/>
        <v>0.00247186207088132</v>
      </c>
      <c r="M496">
        <f t="shared" si="194"/>
        <v>5.96658032763431e-6</v>
      </c>
      <c r="N496" s="47">
        <f t="shared" si="171"/>
        <v>0.00247186207088132</v>
      </c>
      <c r="O496">
        <f t="shared" si="172"/>
        <v>0</v>
      </c>
      <c r="P496">
        <f t="shared" si="173"/>
        <v>0</v>
      </c>
      <c r="Q496">
        <f t="shared" si="174"/>
        <v>0</v>
      </c>
      <c r="R496">
        <f t="shared" si="175"/>
        <v>5.96658032763431e-6</v>
      </c>
      <c r="S496">
        <f t="shared" si="176"/>
        <v>0</v>
      </c>
      <c r="T496">
        <f t="shared" si="177"/>
        <v>0</v>
      </c>
      <c r="U496" s="52">
        <f t="shared" si="178"/>
        <v>0</v>
      </c>
      <c r="V496">
        <f t="shared" si="179"/>
        <v>133.948898</v>
      </c>
      <c r="W496">
        <f t="shared" si="180"/>
        <v>0</v>
      </c>
      <c r="X496">
        <f t="shared" si="181"/>
        <v>0</v>
      </c>
      <c r="Y496">
        <f t="shared" si="182"/>
        <v>0</v>
      </c>
      <c r="Z496">
        <f t="shared" si="183"/>
        <v>167.970001</v>
      </c>
      <c r="AA496">
        <f t="shared" si="184"/>
        <v>0</v>
      </c>
      <c r="AB496">
        <f t="shared" si="185"/>
        <v>0</v>
      </c>
      <c r="AC496">
        <f t="shared" si="186"/>
        <v>0</v>
      </c>
    </row>
    <row r="497" spans="2:29">
      <c r="B497" s="5">
        <v>206</v>
      </c>
      <c r="C497" s="6">
        <v>131.173691</v>
      </c>
      <c r="D497" s="6">
        <v>172.470001</v>
      </c>
      <c r="E497">
        <v>0.25</v>
      </c>
      <c r="F497" s="5">
        <f t="shared" si="187"/>
        <v>130.823969689285</v>
      </c>
      <c r="G497">
        <f t="shared" si="188"/>
        <v>167.14290421889</v>
      </c>
      <c r="H497">
        <f t="shared" si="189"/>
        <v>1.16831720734688</v>
      </c>
      <c r="I497">
        <f t="shared" si="190"/>
        <v>1.32349864428993</v>
      </c>
      <c r="J497">
        <f t="shared" si="191"/>
        <v>131.992286896632</v>
      </c>
      <c r="K497">
        <f t="shared" si="192"/>
        <v>168.46640286318</v>
      </c>
      <c r="L497">
        <f t="shared" si="193"/>
        <v>3.8944456620351e-5</v>
      </c>
      <c r="M497">
        <f t="shared" si="194"/>
        <v>0.000538857367580107</v>
      </c>
      <c r="N497" s="47">
        <f t="shared" si="171"/>
        <v>0</v>
      </c>
      <c r="O497">
        <f t="shared" si="172"/>
        <v>3.8944456620351e-5</v>
      </c>
      <c r="P497">
        <f t="shared" si="173"/>
        <v>0</v>
      </c>
      <c r="Q497">
        <f t="shared" si="174"/>
        <v>0</v>
      </c>
      <c r="R497">
        <f t="shared" si="175"/>
        <v>0</v>
      </c>
      <c r="S497">
        <f t="shared" si="176"/>
        <v>0.000538857367580107</v>
      </c>
      <c r="T497">
        <f t="shared" si="177"/>
        <v>0</v>
      </c>
      <c r="U497" s="52">
        <f t="shared" si="178"/>
        <v>0</v>
      </c>
      <c r="V497">
        <f t="shared" si="179"/>
        <v>0</v>
      </c>
      <c r="W497">
        <f t="shared" si="180"/>
        <v>131.173691</v>
      </c>
      <c r="X497">
        <f t="shared" si="181"/>
        <v>0</v>
      </c>
      <c r="Y497">
        <f t="shared" si="182"/>
        <v>0</v>
      </c>
      <c r="Z497">
        <f t="shared" si="183"/>
        <v>0</v>
      </c>
      <c r="AA497">
        <f t="shared" si="184"/>
        <v>172.470001</v>
      </c>
      <c r="AB497">
        <f t="shared" si="185"/>
        <v>0</v>
      </c>
      <c r="AC497">
        <f t="shared" si="186"/>
        <v>0</v>
      </c>
    </row>
    <row r="498" spans="2:29">
      <c r="B498" s="5">
        <v>207</v>
      </c>
      <c r="C498" s="6">
        <v>120.671806</v>
      </c>
      <c r="D498" s="6">
        <v>166.300003</v>
      </c>
      <c r="E498">
        <v>0.45</v>
      </c>
      <c r="F498" s="5">
        <f t="shared" si="187"/>
        <v>131.016316410178</v>
      </c>
      <c r="G498">
        <f t="shared" si="188"/>
        <v>170.072807448501</v>
      </c>
      <c r="H498">
        <f t="shared" si="189"/>
        <v>0.729130488442647</v>
      </c>
      <c r="I498">
        <f t="shared" si="190"/>
        <v>2.04638070768409</v>
      </c>
      <c r="J498">
        <f t="shared" si="191"/>
        <v>131.745446898621</v>
      </c>
      <c r="K498">
        <f t="shared" si="192"/>
        <v>172.119188156185</v>
      </c>
      <c r="L498">
        <f t="shared" si="193"/>
        <v>0.00842110818527361</v>
      </c>
      <c r="M498">
        <f t="shared" si="194"/>
        <v>0.001224446566338</v>
      </c>
      <c r="N498" s="47">
        <f t="shared" si="171"/>
        <v>0</v>
      </c>
      <c r="O498">
        <f t="shared" si="172"/>
        <v>0</v>
      </c>
      <c r="P498">
        <f t="shared" si="173"/>
        <v>0.00842110818527361</v>
      </c>
      <c r="Q498">
        <f t="shared" si="174"/>
        <v>0</v>
      </c>
      <c r="R498">
        <f t="shared" si="175"/>
        <v>0</v>
      </c>
      <c r="S498">
        <f t="shared" si="176"/>
        <v>0</v>
      </c>
      <c r="T498">
        <f t="shared" si="177"/>
        <v>0.001224446566338</v>
      </c>
      <c r="U498" s="52">
        <f t="shared" si="178"/>
        <v>0</v>
      </c>
      <c r="V498">
        <f t="shared" si="179"/>
        <v>0</v>
      </c>
      <c r="W498">
        <f t="shared" si="180"/>
        <v>0</v>
      </c>
      <c r="X498">
        <f t="shared" si="181"/>
        <v>120.671806</v>
      </c>
      <c r="Y498">
        <f t="shared" si="182"/>
        <v>0</v>
      </c>
      <c r="Z498">
        <f t="shared" si="183"/>
        <v>0</v>
      </c>
      <c r="AA498">
        <f t="shared" si="184"/>
        <v>0</v>
      </c>
      <c r="AB498">
        <f t="shared" si="185"/>
        <v>166.300003</v>
      </c>
      <c r="AC498">
        <f t="shared" si="186"/>
        <v>0</v>
      </c>
    </row>
    <row r="499" spans="2:29">
      <c r="B499" s="5">
        <v>208</v>
      </c>
      <c r="C499" s="6">
        <v>120.751671</v>
      </c>
      <c r="D499" s="6">
        <v>166.690002</v>
      </c>
      <c r="E499">
        <v>0.85</v>
      </c>
      <c r="F499" s="5">
        <f t="shared" si="187"/>
        <v>125.32683568458</v>
      </c>
      <c r="G499">
        <f t="shared" si="188"/>
        <v>167.997765001825</v>
      </c>
      <c r="H499">
        <f t="shared" si="189"/>
        <v>-4.72668904349203</v>
      </c>
      <c r="I499">
        <f t="shared" si="190"/>
        <v>-1.45682897352144</v>
      </c>
      <c r="J499">
        <f t="shared" si="191"/>
        <v>120.600146641088</v>
      </c>
      <c r="K499">
        <f t="shared" si="192"/>
        <v>166.540936028304</v>
      </c>
      <c r="L499">
        <f t="shared" si="193"/>
        <v>1.57463032737321e-6</v>
      </c>
      <c r="M499">
        <f t="shared" si="194"/>
        <v>7.99719944582366e-7</v>
      </c>
      <c r="N499" s="47">
        <f t="shared" si="171"/>
        <v>0</v>
      </c>
      <c r="O499">
        <f t="shared" si="172"/>
        <v>0</v>
      </c>
      <c r="P499">
        <f t="shared" si="173"/>
        <v>0</v>
      </c>
      <c r="Q499">
        <f t="shared" si="174"/>
        <v>1.57463032737321e-6</v>
      </c>
      <c r="R499">
        <f t="shared" si="175"/>
        <v>0</v>
      </c>
      <c r="S499">
        <f t="shared" si="176"/>
        <v>0</v>
      </c>
      <c r="T499">
        <f t="shared" si="177"/>
        <v>0</v>
      </c>
      <c r="U499" s="52">
        <f t="shared" si="178"/>
        <v>7.99719944582366e-7</v>
      </c>
      <c r="V499">
        <f t="shared" si="179"/>
        <v>0</v>
      </c>
      <c r="W499">
        <f t="shared" si="180"/>
        <v>0</v>
      </c>
      <c r="X499">
        <f t="shared" si="181"/>
        <v>0</v>
      </c>
      <c r="Y499">
        <f t="shared" si="182"/>
        <v>120.751671</v>
      </c>
      <c r="Z499">
        <f t="shared" si="183"/>
        <v>0</v>
      </c>
      <c r="AA499">
        <f t="shared" si="184"/>
        <v>0</v>
      </c>
      <c r="AB499">
        <f t="shared" si="185"/>
        <v>0</v>
      </c>
      <c r="AC499">
        <f t="shared" si="186"/>
        <v>166.690002</v>
      </c>
    </row>
    <row r="500" spans="2:29">
      <c r="B500" s="5">
        <v>209</v>
      </c>
      <c r="C500" s="6">
        <v>112.625694</v>
      </c>
      <c r="D500" s="6">
        <v>164.270004</v>
      </c>
      <c r="E500">
        <v>0.15</v>
      </c>
      <c r="F500" s="5">
        <f t="shared" si="187"/>
        <v>122.810495108061</v>
      </c>
      <c r="G500">
        <f t="shared" si="188"/>
        <v>167.278495350821</v>
      </c>
      <c r="H500">
        <f t="shared" si="189"/>
        <v>-4.39513677344609</v>
      </c>
      <c r="I500">
        <f t="shared" si="190"/>
        <v>-1.34619507514381</v>
      </c>
      <c r="J500">
        <f t="shared" si="191"/>
        <v>118.415358334615</v>
      </c>
      <c r="K500">
        <f t="shared" si="192"/>
        <v>165.932300275678</v>
      </c>
      <c r="L500">
        <f t="shared" si="193"/>
        <v>0.00264260231306129</v>
      </c>
      <c r="M500">
        <f t="shared" si="194"/>
        <v>0.000102400087627706</v>
      </c>
      <c r="N500" s="47">
        <f t="shared" si="171"/>
        <v>0.00264260231306129</v>
      </c>
      <c r="O500">
        <f t="shared" si="172"/>
        <v>0</v>
      </c>
      <c r="P500">
        <f t="shared" si="173"/>
        <v>0</v>
      </c>
      <c r="Q500">
        <f t="shared" si="174"/>
        <v>0</v>
      </c>
      <c r="R500">
        <f t="shared" si="175"/>
        <v>0.000102400087627706</v>
      </c>
      <c r="S500">
        <f t="shared" si="176"/>
        <v>0</v>
      </c>
      <c r="T500">
        <f t="shared" si="177"/>
        <v>0</v>
      </c>
      <c r="U500" s="52">
        <f t="shared" si="178"/>
        <v>0</v>
      </c>
      <c r="V500">
        <f t="shared" si="179"/>
        <v>112.625694</v>
      </c>
      <c r="W500">
        <f t="shared" si="180"/>
        <v>0</v>
      </c>
      <c r="X500">
        <f t="shared" si="181"/>
        <v>0</v>
      </c>
      <c r="Y500">
        <f t="shared" si="182"/>
        <v>0</v>
      </c>
      <c r="Z500">
        <f t="shared" si="183"/>
        <v>164.270004</v>
      </c>
      <c r="AA500">
        <f t="shared" si="184"/>
        <v>0</v>
      </c>
      <c r="AB500">
        <f t="shared" si="185"/>
        <v>0</v>
      </c>
      <c r="AC500">
        <f t="shared" si="186"/>
        <v>0</v>
      </c>
    </row>
    <row r="501" spans="2:29">
      <c r="B501" s="5">
        <v>210</v>
      </c>
      <c r="C501" s="6">
        <v>117.117943</v>
      </c>
      <c r="D501" s="6">
        <v>165.75</v>
      </c>
      <c r="E501">
        <v>0.25</v>
      </c>
      <c r="F501" s="5">
        <f t="shared" si="187"/>
        <v>117.208854498628</v>
      </c>
      <c r="G501">
        <f t="shared" si="188"/>
        <v>165.62382510787</v>
      </c>
      <c r="H501">
        <f t="shared" si="189"/>
        <v>-4.69676273244298</v>
      </c>
      <c r="I501">
        <f t="shared" si="190"/>
        <v>-1.4233138670958</v>
      </c>
      <c r="J501">
        <f t="shared" si="191"/>
        <v>112.512091766185</v>
      </c>
      <c r="K501">
        <f t="shared" si="192"/>
        <v>164.200511240774</v>
      </c>
      <c r="L501">
        <f t="shared" si="193"/>
        <v>0.00154658196226168</v>
      </c>
      <c r="M501">
        <f t="shared" si="194"/>
        <v>8.73916191530609e-5</v>
      </c>
      <c r="N501" s="47">
        <f t="shared" si="171"/>
        <v>0</v>
      </c>
      <c r="O501">
        <f t="shared" si="172"/>
        <v>0.00154658196226168</v>
      </c>
      <c r="P501">
        <f t="shared" si="173"/>
        <v>0</v>
      </c>
      <c r="Q501">
        <f t="shared" si="174"/>
        <v>0</v>
      </c>
      <c r="R501">
        <f t="shared" si="175"/>
        <v>0</v>
      </c>
      <c r="S501">
        <f t="shared" si="176"/>
        <v>8.73916191530609e-5</v>
      </c>
      <c r="T501">
        <f t="shared" si="177"/>
        <v>0</v>
      </c>
      <c r="U501" s="52">
        <f t="shared" si="178"/>
        <v>0</v>
      </c>
      <c r="V501">
        <f t="shared" si="179"/>
        <v>0</v>
      </c>
      <c r="W501">
        <f t="shared" si="180"/>
        <v>117.117943</v>
      </c>
      <c r="X501">
        <f t="shared" si="181"/>
        <v>0</v>
      </c>
      <c r="Y501">
        <f t="shared" si="182"/>
        <v>0</v>
      </c>
      <c r="Z501">
        <f t="shared" si="183"/>
        <v>0</v>
      </c>
      <c r="AA501">
        <f t="shared" si="184"/>
        <v>165.75</v>
      </c>
      <c r="AB501">
        <f t="shared" si="185"/>
        <v>0</v>
      </c>
      <c r="AC501">
        <f t="shared" si="186"/>
        <v>0</v>
      </c>
    </row>
    <row r="502" spans="2:29">
      <c r="B502" s="5">
        <v>211</v>
      </c>
      <c r="C502" s="6">
        <v>113.29454</v>
      </c>
      <c r="D502" s="6">
        <v>164.270004</v>
      </c>
      <c r="E502">
        <v>0.45</v>
      </c>
      <c r="F502" s="5">
        <f t="shared" si="187"/>
        <v>117.158853174382</v>
      </c>
      <c r="G502">
        <f t="shared" si="188"/>
        <v>165.693221298541</v>
      </c>
      <c r="H502">
        <f t="shared" si="189"/>
        <v>-2.60572009875395</v>
      </c>
      <c r="I502">
        <f t="shared" si="190"/>
        <v>-0.751594341100419</v>
      </c>
      <c r="J502">
        <f t="shared" si="191"/>
        <v>114.553133075628</v>
      </c>
      <c r="K502">
        <f t="shared" si="192"/>
        <v>164.941626957441</v>
      </c>
      <c r="L502">
        <f t="shared" si="193"/>
        <v>0.000123410671468422</v>
      </c>
      <c r="M502">
        <f t="shared" si="194"/>
        <v>1.67160834340672e-5</v>
      </c>
      <c r="N502" s="47">
        <f t="shared" si="171"/>
        <v>0</v>
      </c>
      <c r="O502">
        <f t="shared" si="172"/>
        <v>0</v>
      </c>
      <c r="P502">
        <f t="shared" si="173"/>
        <v>0.000123410671468422</v>
      </c>
      <c r="Q502">
        <f t="shared" si="174"/>
        <v>0</v>
      </c>
      <c r="R502">
        <f t="shared" si="175"/>
        <v>0</v>
      </c>
      <c r="S502">
        <f t="shared" si="176"/>
        <v>0</v>
      </c>
      <c r="T502">
        <f t="shared" si="177"/>
        <v>1.67160834340672e-5</v>
      </c>
      <c r="U502" s="52">
        <f t="shared" si="178"/>
        <v>0</v>
      </c>
      <c r="V502">
        <f t="shared" si="179"/>
        <v>0</v>
      </c>
      <c r="W502">
        <f t="shared" si="180"/>
        <v>0</v>
      </c>
      <c r="X502">
        <f t="shared" si="181"/>
        <v>113.29454</v>
      </c>
      <c r="Y502">
        <f t="shared" si="182"/>
        <v>0</v>
      </c>
      <c r="Z502">
        <f t="shared" si="183"/>
        <v>0</v>
      </c>
      <c r="AA502">
        <f t="shared" si="184"/>
        <v>0</v>
      </c>
      <c r="AB502">
        <f t="shared" si="185"/>
        <v>164.270004</v>
      </c>
      <c r="AC502">
        <f t="shared" si="186"/>
        <v>0</v>
      </c>
    </row>
    <row r="503" spans="2:29">
      <c r="B503" s="5">
        <v>212</v>
      </c>
      <c r="C503" s="6">
        <v>111.807106</v>
      </c>
      <c r="D503" s="6">
        <v>166.449997</v>
      </c>
      <c r="E503">
        <v>0.85</v>
      </c>
      <c r="F503" s="5">
        <f t="shared" si="187"/>
        <v>115.033480928472</v>
      </c>
      <c r="G503">
        <f t="shared" si="188"/>
        <v>164.910451784344</v>
      </c>
      <c r="H503">
        <f t="shared" si="189"/>
        <v>-2.19742442383685</v>
      </c>
      <c r="I503">
        <f t="shared" si="190"/>
        <v>-0.778093238233153</v>
      </c>
      <c r="J503">
        <f t="shared" si="191"/>
        <v>112.836056504635</v>
      </c>
      <c r="K503">
        <f t="shared" si="192"/>
        <v>164.13235854611</v>
      </c>
      <c r="L503">
        <f t="shared" si="193"/>
        <v>8.46935147298067e-5</v>
      </c>
      <c r="M503">
        <f t="shared" si="194"/>
        <v>0.000193875884726613</v>
      </c>
      <c r="N503" s="47">
        <f t="shared" si="171"/>
        <v>0</v>
      </c>
      <c r="O503">
        <f t="shared" si="172"/>
        <v>0</v>
      </c>
      <c r="P503">
        <f t="shared" si="173"/>
        <v>0</v>
      </c>
      <c r="Q503">
        <f t="shared" si="174"/>
        <v>8.46935147298067e-5</v>
      </c>
      <c r="R503">
        <f t="shared" si="175"/>
        <v>0</v>
      </c>
      <c r="S503">
        <f t="shared" si="176"/>
        <v>0</v>
      </c>
      <c r="T503">
        <f t="shared" si="177"/>
        <v>0</v>
      </c>
      <c r="U503" s="52">
        <f t="shared" si="178"/>
        <v>0.000193875884726613</v>
      </c>
      <c r="V503">
        <f t="shared" si="179"/>
        <v>0</v>
      </c>
      <c r="W503">
        <f t="shared" si="180"/>
        <v>0</v>
      </c>
      <c r="X503">
        <f t="shared" si="181"/>
        <v>0</v>
      </c>
      <c r="Y503">
        <f t="shared" si="182"/>
        <v>111.807106</v>
      </c>
      <c r="Z503">
        <f t="shared" si="183"/>
        <v>0</v>
      </c>
      <c r="AA503">
        <f t="shared" si="184"/>
        <v>0</v>
      </c>
      <c r="AB503">
        <f t="shared" si="185"/>
        <v>0</v>
      </c>
      <c r="AC503">
        <f t="shared" si="186"/>
        <v>166.449997</v>
      </c>
    </row>
    <row r="504" spans="2:29">
      <c r="B504" s="5">
        <v>213</v>
      </c>
      <c r="C504" s="6">
        <v>115.161316</v>
      </c>
      <c r="D504" s="6">
        <v>168.470001</v>
      </c>
      <c r="E504">
        <v>0.15</v>
      </c>
      <c r="F504" s="5">
        <f t="shared" si="187"/>
        <v>113.258974717812</v>
      </c>
      <c r="G504">
        <f t="shared" si="188"/>
        <v>165.757201652955</v>
      </c>
      <c r="H504">
        <f t="shared" si="189"/>
        <v>-2.13398669186026</v>
      </c>
      <c r="I504">
        <f t="shared" si="190"/>
        <v>-0.534366772206526</v>
      </c>
      <c r="J504">
        <f t="shared" si="191"/>
        <v>111.124988025952</v>
      </c>
      <c r="K504">
        <f t="shared" si="192"/>
        <v>165.222834880748</v>
      </c>
      <c r="L504">
        <f t="shared" si="193"/>
        <v>0.00122845614600148</v>
      </c>
      <c r="M504">
        <f t="shared" si="194"/>
        <v>0.000371504310333506</v>
      </c>
      <c r="N504" s="47">
        <f t="shared" si="171"/>
        <v>0.00122845614600148</v>
      </c>
      <c r="O504">
        <f t="shared" si="172"/>
        <v>0</v>
      </c>
      <c r="P504">
        <f t="shared" si="173"/>
        <v>0</v>
      </c>
      <c r="Q504">
        <f t="shared" si="174"/>
        <v>0</v>
      </c>
      <c r="R504">
        <f t="shared" si="175"/>
        <v>0.000371504310333506</v>
      </c>
      <c r="S504">
        <f t="shared" si="176"/>
        <v>0</v>
      </c>
      <c r="T504">
        <f t="shared" si="177"/>
        <v>0</v>
      </c>
      <c r="U504" s="52">
        <f t="shared" si="178"/>
        <v>0</v>
      </c>
      <c r="V504">
        <f t="shared" si="179"/>
        <v>115.161316</v>
      </c>
      <c r="W504">
        <f t="shared" si="180"/>
        <v>0</v>
      </c>
      <c r="X504">
        <f t="shared" si="181"/>
        <v>0</v>
      </c>
      <c r="Y504">
        <f t="shared" si="182"/>
        <v>0</v>
      </c>
      <c r="Z504">
        <f t="shared" si="183"/>
        <v>168.470001</v>
      </c>
      <c r="AA504">
        <f t="shared" si="184"/>
        <v>0</v>
      </c>
      <c r="AB504">
        <f t="shared" si="185"/>
        <v>0</v>
      </c>
      <c r="AC504">
        <f t="shared" si="186"/>
        <v>0</v>
      </c>
    </row>
    <row r="505" spans="2:29">
      <c r="B505" s="5">
        <v>214</v>
      </c>
      <c r="C505" s="6">
        <v>115.341011</v>
      </c>
      <c r="D505" s="6">
        <v>168.300003</v>
      </c>
      <c r="E505">
        <v>0.25</v>
      </c>
      <c r="F505" s="5">
        <f t="shared" si="187"/>
        <v>114.305262423016</v>
      </c>
      <c r="G505">
        <f t="shared" si="188"/>
        <v>167.24924129383</v>
      </c>
      <c r="H505">
        <f t="shared" si="189"/>
        <v>-1.33891809259441</v>
      </c>
      <c r="I505">
        <f t="shared" si="190"/>
        <v>-0.0277651689361534</v>
      </c>
      <c r="J505">
        <f t="shared" si="191"/>
        <v>112.966344330421</v>
      </c>
      <c r="K505">
        <f t="shared" si="192"/>
        <v>167.221476124893</v>
      </c>
      <c r="L505">
        <f t="shared" si="193"/>
        <v>0.000423875002718519</v>
      </c>
      <c r="M505">
        <f t="shared" si="194"/>
        <v>4.10670678282468e-5</v>
      </c>
      <c r="N505" s="47">
        <f t="shared" si="171"/>
        <v>0</v>
      </c>
      <c r="O505">
        <f t="shared" si="172"/>
        <v>0.000423875002718519</v>
      </c>
      <c r="P505">
        <f t="shared" si="173"/>
        <v>0</v>
      </c>
      <c r="Q505">
        <f t="shared" si="174"/>
        <v>0</v>
      </c>
      <c r="R505">
        <f t="shared" si="175"/>
        <v>0</v>
      </c>
      <c r="S505">
        <f t="shared" si="176"/>
        <v>4.10670678282468e-5</v>
      </c>
      <c r="T505">
        <f t="shared" si="177"/>
        <v>0</v>
      </c>
      <c r="U505" s="52">
        <f t="shared" si="178"/>
        <v>0</v>
      </c>
      <c r="V505">
        <f t="shared" si="179"/>
        <v>0</v>
      </c>
      <c r="W505">
        <f t="shared" si="180"/>
        <v>115.341011</v>
      </c>
      <c r="X505">
        <f t="shared" si="181"/>
        <v>0</v>
      </c>
      <c r="Y505">
        <f t="shared" si="182"/>
        <v>0</v>
      </c>
      <c r="Z505">
        <f t="shared" si="183"/>
        <v>0</v>
      </c>
      <c r="AA505">
        <f t="shared" si="184"/>
        <v>168.300003</v>
      </c>
      <c r="AB505">
        <f t="shared" si="185"/>
        <v>0</v>
      </c>
      <c r="AC505">
        <f t="shared" si="186"/>
        <v>0</v>
      </c>
    </row>
    <row r="506" spans="2:29">
      <c r="B506" s="5">
        <v>215</v>
      </c>
      <c r="C506" s="6">
        <v>111.936882</v>
      </c>
      <c r="D506" s="6">
        <v>170</v>
      </c>
      <c r="E506">
        <v>0.45</v>
      </c>
      <c r="F506" s="5">
        <f t="shared" si="187"/>
        <v>114.874924140357</v>
      </c>
      <c r="G506">
        <f t="shared" si="188"/>
        <v>167.827160232223</v>
      </c>
      <c r="H506">
        <f t="shared" si="189"/>
        <v>-0.480057178123281</v>
      </c>
      <c r="I506">
        <f t="shared" si="190"/>
        <v>0.244792679362297</v>
      </c>
      <c r="J506">
        <f t="shared" si="191"/>
        <v>114.394866962234</v>
      </c>
      <c r="K506">
        <f t="shared" si="192"/>
        <v>168.071952911586</v>
      </c>
      <c r="L506">
        <f t="shared" si="193"/>
        <v>0.000482183152688325</v>
      </c>
      <c r="M506">
        <f t="shared" si="194"/>
        <v>0.000128628566613952</v>
      </c>
      <c r="N506" s="47">
        <f t="shared" si="171"/>
        <v>0</v>
      </c>
      <c r="O506">
        <f t="shared" si="172"/>
        <v>0</v>
      </c>
      <c r="P506">
        <f t="shared" si="173"/>
        <v>0.000482183152688325</v>
      </c>
      <c r="Q506">
        <f t="shared" si="174"/>
        <v>0</v>
      </c>
      <c r="R506">
        <f t="shared" si="175"/>
        <v>0</v>
      </c>
      <c r="S506">
        <f t="shared" si="176"/>
        <v>0</v>
      </c>
      <c r="T506">
        <f t="shared" si="177"/>
        <v>0.000128628566613952</v>
      </c>
      <c r="U506" s="52">
        <f t="shared" si="178"/>
        <v>0</v>
      </c>
      <c r="V506">
        <f t="shared" si="179"/>
        <v>0</v>
      </c>
      <c r="W506">
        <f t="shared" si="180"/>
        <v>0</v>
      </c>
      <c r="X506">
        <f t="shared" si="181"/>
        <v>111.936882</v>
      </c>
      <c r="Y506">
        <f t="shared" si="182"/>
        <v>0</v>
      </c>
      <c r="Z506">
        <f t="shared" si="183"/>
        <v>0</v>
      </c>
      <c r="AA506">
        <f t="shared" si="184"/>
        <v>0</v>
      </c>
      <c r="AB506">
        <f t="shared" si="185"/>
        <v>170</v>
      </c>
      <c r="AC506">
        <f t="shared" si="186"/>
        <v>0</v>
      </c>
    </row>
    <row r="507" spans="2:29">
      <c r="B507" s="5">
        <v>216</v>
      </c>
      <c r="C507" s="6">
        <v>110.149963</v>
      </c>
      <c r="D507" s="6">
        <v>170.339996</v>
      </c>
      <c r="E507">
        <v>0.85</v>
      </c>
      <c r="F507" s="5">
        <f t="shared" si="187"/>
        <v>113.259000963161</v>
      </c>
      <c r="G507">
        <f t="shared" si="188"/>
        <v>169.0222221045</v>
      </c>
      <c r="H507">
        <f t="shared" si="189"/>
        <v>-1.4455432773354</v>
      </c>
      <c r="I507">
        <f t="shared" si="190"/>
        <v>1.05252149333993</v>
      </c>
      <c r="J507">
        <f t="shared" si="191"/>
        <v>111.813457685825</v>
      </c>
      <c r="K507">
        <f t="shared" si="192"/>
        <v>170.07474359784</v>
      </c>
      <c r="L507">
        <f t="shared" si="193"/>
        <v>0.000228073130896729</v>
      </c>
      <c r="M507">
        <f t="shared" si="194"/>
        <v>2.4248528323677e-6</v>
      </c>
      <c r="N507" s="47">
        <f t="shared" si="171"/>
        <v>0</v>
      </c>
      <c r="O507">
        <f t="shared" si="172"/>
        <v>0</v>
      </c>
      <c r="P507">
        <f t="shared" si="173"/>
        <v>0</v>
      </c>
      <c r="Q507">
        <f t="shared" si="174"/>
        <v>0.000228073130896729</v>
      </c>
      <c r="R507">
        <f t="shared" si="175"/>
        <v>0</v>
      </c>
      <c r="S507">
        <f t="shared" si="176"/>
        <v>0</v>
      </c>
      <c r="T507">
        <f t="shared" si="177"/>
        <v>0</v>
      </c>
      <c r="U507" s="52">
        <f t="shared" si="178"/>
        <v>2.4248528323677e-6</v>
      </c>
      <c r="V507">
        <f t="shared" si="179"/>
        <v>0</v>
      </c>
      <c r="W507">
        <f t="shared" si="180"/>
        <v>0</v>
      </c>
      <c r="X507">
        <f t="shared" si="181"/>
        <v>0</v>
      </c>
      <c r="Y507">
        <f t="shared" si="182"/>
        <v>110.149963</v>
      </c>
      <c r="Z507">
        <f t="shared" si="183"/>
        <v>0</v>
      </c>
      <c r="AA507">
        <f t="shared" si="184"/>
        <v>0</v>
      </c>
      <c r="AB507">
        <f t="shared" si="185"/>
        <v>0</v>
      </c>
      <c r="AC507">
        <f t="shared" si="186"/>
        <v>170.339996</v>
      </c>
    </row>
    <row r="508" spans="2:29">
      <c r="B508" s="5">
        <v>217</v>
      </c>
      <c r="C508" s="6">
        <v>106.655991</v>
      </c>
      <c r="D508" s="6">
        <v>168.699997</v>
      </c>
      <c r="E508">
        <v>0.15</v>
      </c>
      <c r="F508" s="5">
        <f t="shared" si="187"/>
        <v>111.549030083422</v>
      </c>
      <c r="G508">
        <f t="shared" si="188"/>
        <v>169.746997747025</v>
      </c>
      <c r="H508">
        <f t="shared" si="189"/>
        <v>-1.48520741769585</v>
      </c>
      <c r="I508">
        <f t="shared" si="190"/>
        <v>1.00335961571765</v>
      </c>
      <c r="J508">
        <f t="shared" si="191"/>
        <v>110.063822665726</v>
      </c>
      <c r="K508">
        <f t="shared" si="192"/>
        <v>170.750357362743</v>
      </c>
      <c r="L508">
        <f t="shared" si="193"/>
        <v>0.00102090600299195</v>
      </c>
      <c r="M508">
        <f t="shared" si="194"/>
        <v>0.000147716920550648</v>
      </c>
      <c r="N508" s="47">
        <f t="shared" si="171"/>
        <v>0.00102090600299195</v>
      </c>
      <c r="O508">
        <f t="shared" si="172"/>
        <v>0</v>
      </c>
      <c r="P508">
        <f t="shared" si="173"/>
        <v>0</v>
      </c>
      <c r="Q508">
        <f t="shared" si="174"/>
        <v>0</v>
      </c>
      <c r="R508">
        <f t="shared" si="175"/>
        <v>0.000147716920550648</v>
      </c>
      <c r="S508">
        <f t="shared" si="176"/>
        <v>0</v>
      </c>
      <c r="T508">
        <f t="shared" si="177"/>
        <v>0</v>
      </c>
      <c r="U508" s="52">
        <f t="shared" si="178"/>
        <v>0</v>
      </c>
      <c r="V508">
        <f t="shared" si="179"/>
        <v>106.655991</v>
      </c>
      <c r="W508">
        <f t="shared" si="180"/>
        <v>0</v>
      </c>
      <c r="X508">
        <f t="shared" si="181"/>
        <v>0</v>
      </c>
      <c r="Y508">
        <f t="shared" si="182"/>
        <v>0</v>
      </c>
      <c r="Z508">
        <f t="shared" si="183"/>
        <v>168.699997</v>
      </c>
      <c r="AA508">
        <f t="shared" si="184"/>
        <v>0</v>
      </c>
      <c r="AB508">
        <f t="shared" si="185"/>
        <v>0</v>
      </c>
      <c r="AC508">
        <f t="shared" si="186"/>
        <v>0</v>
      </c>
    </row>
    <row r="509" spans="2:29">
      <c r="B509" s="5">
        <v>218</v>
      </c>
      <c r="C509" s="6">
        <v>109.890411</v>
      </c>
      <c r="D509" s="6">
        <v>161.369995</v>
      </c>
      <c r="E509">
        <v>0.25</v>
      </c>
      <c r="F509" s="5">
        <f t="shared" si="187"/>
        <v>108.85785858754</v>
      </c>
      <c r="G509">
        <f t="shared" si="188"/>
        <v>169.171147336161</v>
      </c>
      <c r="H509">
        <f t="shared" si="189"/>
        <v>-1.78669843724245</v>
      </c>
      <c r="I509">
        <f t="shared" si="190"/>
        <v>0.608557109072273</v>
      </c>
      <c r="J509">
        <f t="shared" si="191"/>
        <v>107.071160150298</v>
      </c>
      <c r="K509">
        <f t="shared" si="192"/>
        <v>169.779704445234</v>
      </c>
      <c r="L509">
        <f t="shared" si="193"/>
        <v>0.000658184794038048</v>
      </c>
      <c r="M509">
        <f t="shared" si="194"/>
        <v>0.00271591648612331</v>
      </c>
      <c r="N509" s="47">
        <f t="shared" si="171"/>
        <v>0</v>
      </c>
      <c r="O509">
        <f t="shared" si="172"/>
        <v>0.000658184794038048</v>
      </c>
      <c r="P509">
        <f t="shared" si="173"/>
        <v>0</v>
      </c>
      <c r="Q509">
        <f t="shared" si="174"/>
        <v>0</v>
      </c>
      <c r="R509">
        <f t="shared" si="175"/>
        <v>0</v>
      </c>
      <c r="S509">
        <f t="shared" si="176"/>
        <v>0.00271591648612331</v>
      </c>
      <c r="T509">
        <f t="shared" si="177"/>
        <v>0</v>
      </c>
      <c r="U509" s="52">
        <f t="shared" si="178"/>
        <v>0</v>
      </c>
      <c r="V509">
        <f t="shared" si="179"/>
        <v>0</v>
      </c>
      <c r="W509">
        <f t="shared" si="180"/>
        <v>109.890411</v>
      </c>
      <c r="X509">
        <f t="shared" si="181"/>
        <v>0</v>
      </c>
      <c r="Y509">
        <f t="shared" si="182"/>
        <v>0</v>
      </c>
      <c r="Z509">
        <f t="shared" si="183"/>
        <v>0</v>
      </c>
      <c r="AA509">
        <f t="shared" si="184"/>
        <v>161.369995</v>
      </c>
      <c r="AB509">
        <f t="shared" si="185"/>
        <v>0</v>
      </c>
      <c r="AC509">
        <f t="shared" si="186"/>
        <v>0</v>
      </c>
    </row>
    <row r="510" spans="2:29">
      <c r="B510" s="5">
        <v>219</v>
      </c>
      <c r="C510" s="6">
        <v>111.617432</v>
      </c>
      <c r="D510" s="6">
        <v>162.679993</v>
      </c>
      <c r="E510">
        <v>0.45</v>
      </c>
      <c r="F510" s="5">
        <f t="shared" si="187"/>
        <v>109.425762414393</v>
      </c>
      <c r="G510">
        <f t="shared" si="188"/>
        <v>164.880513551273</v>
      </c>
      <c r="H510">
        <f t="shared" si="189"/>
        <v>-0.727127418399506</v>
      </c>
      <c r="I510">
        <f t="shared" si="190"/>
        <v>-1.59607879321018</v>
      </c>
      <c r="J510">
        <f t="shared" si="191"/>
        <v>108.698634995994</v>
      </c>
      <c r="K510">
        <f t="shared" si="192"/>
        <v>163.284434758062</v>
      </c>
      <c r="L510">
        <f t="shared" si="193"/>
        <v>0.000683823042226339</v>
      </c>
      <c r="M510">
        <f t="shared" si="194"/>
        <v>1.38051341140466e-5</v>
      </c>
      <c r="N510" s="47">
        <f t="shared" si="171"/>
        <v>0</v>
      </c>
      <c r="O510">
        <f t="shared" si="172"/>
        <v>0</v>
      </c>
      <c r="P510">
        <f t="shared" si="173"/>
        <v>0.000683823042226339</v>
      </c>
      <c r="Q510">
        <f t="shared" si="174"/>
        <v>0</v>
      </c>
      <c r="R510">
        <f t="shared" si="175"/>
        <v>0</v>
      </c>
      <c r="S510">
        <f t="shared" si="176"/>
        <v>0</v>
      </c>
      <c r="T510">
        <f t="shared" si="177"/>
        <v>1.38051341140466e-5</v>
      </c>
      <c r="U510" s="52">
        <f t="shared" si="178"/>
        <v>0</v>
      </c>
      <c r="V510">
        <f t="shared" si="179"/>
        <v>0</v>
      </c>
      <c r="W510">
        <f t="shared" si="180"/>
        <v>0</v>
      </c>
      <c r="X510">
        <f t="shared" si="181"/>
        <v>111.617432</v>
      </c>
      <c r="Y510">
        <f t="shared" si="182"/>
        <v>0</v>
      </c>
      <c r="Z510">
        <f t="shared" si="183"/>
        <v>0</v>
      </c>
      <c r="AA510">
        <f t="shared" si="184"/>
        <v>0</v>
      </c>
      <c r="AB510">
        <f t="shared" si="185"/>
        <v>162.679993</v>
      </c>
      <c r="AC510">
        <f t="shared" si="186"/>
        <v>0</v>
      </c>
    </row>
    <row r="511" spans="2:29">
      <c r="B511" s="5">
        <v>220</v>
      </c>
      <c r="C511" s="6">
        <v>106.935509</v>
      </c>
      <c r="D511" s="6">
        <v>158.789993</v>
      </c>
      <c r="E511">
        <v>0.85</v>
      </c>
      <c r="F511" s="5">
        <f t="shared" si="187"/>
        <v>110.631180686477</v>
      </c>
      <c r="G511">
        <f t="shared" si="188"/>
        <v>163.670227248073</v>
      </c>
      <c r="H511">
        <f t="shared" si="189"/>
        <v>0.915536418511344</v>
      </c>
      <c r="I511">
        <f t="shared" si="190"/>
        <v>-1.26815517670149</v>
      </c>
      <c r="J511">
        <f t="shared" si="191"/>
        <v>111.546717104988</v>
      </c>
      <c r="K511">
        <f t="shared" si="192"/>
        <v>162.402072071371</v>
      </c>
      <c r="L511">
        <f t="shared" si="193"/>
        <v>0.00185945453082814</v>
      </c>
      <c r="M511">
        <f t="shared" si="194"/>
        <v>0.00051744981794489</v>
      </c>
      <c r="N511" s="47">
        <f t="shared" si="171"/>
        <v>0</v>
      </c>
      <c r="O511">
        <f t="shared" si="172"/>
        <v>0</v>
      </c>
      <c r="P511">
        <f t="shared" si="173"/>
        <v>0</v>
      </c>
      <c r="Q511">
        <f t="shared" si="174"/>
        <v>0.00185945453082814</v>
      </c>
      <c r="R511">
        <f t="shared" si="175"/>
        <v>0</v>
      </c>
      <c r="S511">
        <f t="shared" si="176"/>
        <v>0</v>
      </c>
      <c r="T511">
        <f t="shared" si="177"/>
        <v>0</v>
      </c>
      <c r="U511" s="52">
        <f t="shared" si="178"/>
        <v>0.00051744981794489</v>
      </c>
      <c r="V511">
        <f t="shared" si="179"/>
        <v>0</v>
      </c>
      <c r="W511">
        <f t="shared" si="180"/>
        <v>0</v>
      </c>
      <c r="X511">
        <f t="shared" si="181"/>
        <v>0</v>
      </c>
      <c r="Y511">
        <f t="shared" si="182"/>
        <v>106.935509</v>
      </c>
      <c r="Z511">
        <f t="shared" si="183"/>
        <v>0</v>
      </c>
      <c r="AA511">
        <f t="shared" si="184"/>
        <v>0</v>
      </c>
      <c r="AB511">
        <f t="shared" si="185"/>
        <v>0</v>
      </c>
      <c r="AC511">
        <f t="shared" si="186"/>
        <v>158.789993</v>
      </c>
    </row>
    <row r="512" spans="2:29">
      <c r="B512" s="5">
        <v>221</v>
      </c>
      <c r="C512" s="6">
        <v>108.033615</v>
      </c>
      <c r="D512" s="6">
        <v>158.759995</v>
      </c>
      <c r="E512">
        <v>0.15</v>
      </c>
      <c r="F512" s="5">
        <f t="shared" si="187"/>
        <v>108.598561258915</v>
      </c>
      <c r="G512">
        <f t="shared" si="188"/>
        <v>160.986098411633</v>
      </c>
      <c r="H512">
        <f t="shared" si="189"/>
        <v>0.4733130416003</v>
      </c>
      <c r="I512">
        <f t="shared" si="190"/>
        <v>-1.48055122566226</v>
      </c>
      <c r="J512">
        <f t="shared" si="191"/>
        <v>109.071874300515</v>
      </c>
      <c r="K512">
        <f t="shared" si="192"/>
        <v>159.50554718597</v>
      </c>
      <c r="L512">
        <f t="shared" si="193"/>
        <v>9.23621094170834e-5</v>
      </c>
      <c r="M512">
        <f t="shared" si="194"/>
        <v>2.20533181435361e-5</v>
      </c>
      <c r="N512" s="47">
        <f t="shared" si="171"/>
        <v>9.23621094170834e-5</v>
      </c>
      <c r="O512">
        <f t="shared" si="172"/>
        <v>0</v>
      </c>
      <c r="P512">
        <f t="shared" si="173"/>
        <v>0</v>
      </c>
      <c r="Q512">
        <f t="shared" si="174"/>
        <v>0</v>
      </c>
      <c r="R512">
        <f t="shared" si="175"/>
        <v>2.20533181435361e-5</v>
      </c>
      <c r="S512">
        <f t="shared" si="176"/>
        <v>0</v>
      </c>
      <c r="T512">
        <f t="shared" si="177"/>
        <v>0</v>
      </c>
      <c r="U512" s="52">
        <f t="shared" si="178"/>
        <v>0</v>
      </c>
      <c r="V512">
        <f t="shared" si="179"/>
        <v>108.033615</v>
      </c>
      <c r="W512">
        <f t="shared" si="180"/>
        <v>0</v>
      </c>
      <c r="X512">
        <f t="shared" si="181"/>
        <v>0</v>
      </c>
      <c r="Y512">
        <f t="shared" si="182"/>
        <v>0</v>
      </c>
      <c r="Z512">
        <f t="shared" si="183"/>
        <v>158.759995</v>
      </c>
      <c r="AA512">
        <f t="shared" si="184"/>
        <v>0</v>
      </c>
      <c r="AB512">
        <f t="shared" si="185"/>
        <v>0</v>
      </c>
      <c r="AC512">
        <f t="shared" si="186"/>
        <v>0</v>
      </c>
    </row>
    <row r="513" spans="2:29">
      <c r="B513" s="5">
        <v>222</v>
      </c>
      <c r="C513" s="6">
        <v>112.086624</v>
      </c>
      <c r="D513" s="6">
        <v>161.490005</v>
      </c>
      <c r="E513">
        <v>0.25</v>
      </c>
      <c r="F513" s="5">
        <f t="shared" si="187"/>
        <v>108.287840816512</v>
      </c>
      <c r="G513">
        <f t="shared" si="188"/>
        <v>159.761741535235</v>
      </c>
      <c r="H513">
        <f t="shared" si="189"/>
        <v>0.277304670599473</v>
      </c>
      <c r="I513">
        <f t="shared" si="190"/>
        <v>-1.41650263834619</v>
      </c>
      <c r="J513">
        <f t="shared" si="191"/>
        <v>108.565145487111</v>
      </c>
      <c r="K513">
        <f t="shared" si="192"/>
        <v>158.345238896889</v>
      </c>
      <c r="L513">
        <f t="shared" si="193"/>
        <v>0.000987057626359711</v>
      </c>
      <c r="M513">
        <f t="shared" si="194"/>
        <v>0.000379214908879375</v>
      </c>
      <c r="N513" s="47">
        <f t="shared" si="171"/>
        <v>0</v>
      </c>
      <c r="O513">
        <f t="shared" si="172"/>
        <v>0.000987057626359711</v>
      </c>
      <c r="P513">
        <f t="shared" si="173"/>
        <v>0</v>
      </c>
      <c r="Q513">
        <f t="shared" si="174"/>
        <v>0</v>
      </c>
      <c r="R513">
        <f t="shared" si="175"/>
        <v>0</v>
      </c>
      <c r="S513">
        <f t="shared" si="176"/>
        <v>0.000379214908879375</v>
      </c>
      <c r="T513">
        <f t="shared" si="177"/>
        <v>0</v>
      </c>
      <c r="U513" s="52">
        <f t="shared" si="178"/>
        <v>0</v>
      </c>
      <c r="V513">
        <f t="shared" si="179"/>
        <v>0</v>
      </c>
      <c r="W513">
        <f t="shared" si="180"/>
        <v>112.086624</v>
      </c>
      <c r="X513">
        <f t="shared" si="181"/>
        <v>0</v>
      </c>
      <c r="Y513">
        <f t="shared" si="182"/>
        <v>0</v>
      </c>
      <c r="Z513">
        <f t="shared" si="183"/>
        <v>0</v>
      </c>
      <c r="AA513">
        <f t="shared" si="184"/>
        <v>161.490005</v>
      </c>
      <c r="AB513">
        <f t="shared" si="185"/>
        <v>0</v>
      </c>
      <c r="AC513">
        <f t="shared" si="186"/>
        <v>0</v>
      </c>
    </row>
    <row r="514" spans="2:29">
      <c r="B514" s="5">
        <v>223</v>
      </c>
      <c r="C514" s="6">
        <v>114.762009</v>
      </c>
      <c r="D514" s="6">
        <v>164.639999</v>
      </c>
      <c r="E514">
        <v>0.45</v>
      </c>
      <c r="F514" s="5">
        <f t="shared" si="187"/>
        <v>110.37717156743</v>
      </c>
      <c r="G514">
        <f t="shared" si="188"/>
        <v>160.712286440856</v>
      </c>
      <c r="H514">
        <f t="shared" si="189"/>
        <v>1.0927164067431</v>
      </c>
      <c r="I514">
        <f t="shared" si="190"/>
        <v>-0.351331243560992</v>
      </c>
      <c r="J514">
        <f t="shared" si="191"/>
        <v>111.469887974173</v>
      </c>
      <c r="K514">
        <f t="shared" si="192"/>
        <v>160.360955197295</v>
      </c>
      <c r="L514">
        <f t="shared" si="193"/>
        <v>0.00082291560952848</v>
      </c>
      <c r="M514">
        <f t="shared" si="194"/>
        <v>0.000675495958253915</v>
      </c>
      <c r="N514" s="47">
        <f t="shared" si="171"/>
        <v>0</v>
      </c>
      <c r="O514">
        <f t="shared" si="172"/>
        <v>0</v>
      </c>
      <c r="P514">
        <f t="shared" si="173"/>
        <v>0.00082291560952848</v>
      </c>
      <c r="Q514">
        <f t="shared" si="174"/>
        <v>0</v>
      </c>
      <c r="R514">
        <f t="shared" si="175"/>
        <v>0</v>
      </c>
      <c r="S514">
        <f t="shared" si="176"/>
        <v>0</v>
      </c>
      <c r="T514">
        <f t="shared" si="177"/>
        <v>0.000675495958253915</v>
      </c>
      <c r="U514" s="52">
        <f t="shared" si="178"/>
        <v>0</v>
      </c>
      <c r="V514">
        <f t="shared" si="179"/>
        <v>0</v>
      </c>
      <c r="W514">
        <f t="shared" si="180"/>
        <v>0</v>
      </c>
      <c r="X514">
        <f t="shared" si="181"/>
        <v>114.762009</v>
      </c>
      <c r="Y514">
        <f t="shared" si="182"/>
        <v>0</v>
      </c>
      <c r="Z514">
        <f t="shared" si="183"/>
        <v>0</v>
      </c>
      <c r="AA514">
        <f t="shared" si="184"/>
        <v>0</v>
      </c>
      <c r="AB514">
        <f t="shared" si="185"/>
        <v>164.639999</v>
      </c>
      <c r="AC514">
        <f t="shared" si="186"/>
        <v>0</v>
      </c>
    </row>
    <row r="515" spans="2:29">
      <c r="B515" s="5">
        <v>224</v>
      </c>
      <c r="C515" s="6">
        <v>113.893501</v>
      </c>
      <c r="D515" s="6">
        <v>164.509995</v>
      </c>
      <c r="E515">
        <v>0.85</v>
      </c>
      <c r="F515" s="5">
        <f t="shared" si="187"/>
        <v>112.788832155344</v>
      </c>
      <c r="G515">
        <f t="shared" si="188"/>
        <v>162.872528348385</v>
      </c>
      <c r="H515">
        <f t="shared" si="189"/>
        <v>2.21381896073784</v>
      </c>
      <c r="I515">
        <f t="shared" si="190"/>
        <v>1.78350593486583</v>
      </c>
      <c r="J515">
        <f t="shared" si="191"/>
        <v>115.002651116081</v>
      </c>
      <c r="K515">
        <f t="shared" si="192"/>
        <v>164.656034283251</v>
      </c>
      <c r="L515">
        <f t="shared" si="193"/>
        <v>9.4838084109082e-5</v>
      </c>
      <c r="M515">
        <f t="shared" si="194"/>
        <v>7.88051876067605e-7</v>
      </c>
      <c r="N515" s="47">
        <f t="shared" si="171"/>
        <v>0</v>
      </c>
      <c r="O515">
        <f t="shared" si="172"/>
        <v>0</v>
      </c>
      <c r="P515">
        <f t="shared" si="173"/>
        <v>0</v>
      </c>
      <c r="Q515">
        <f t="shared" si="174"/>
        <v>9.4838084109082e-5</v>
      </c>
      <c r="R515">
        <f t="shared" si="175"/>
        <v>0</v>
      </c>
      <c r="S515">
        <f t="shared" si="176"/>
        <v>0</v>
      </c>
      <c r="T515">
        <f t="shared" si="177"/>
        <v>0</v>
      </c>
      <c r="U515" s="52">
        <f t="shared" si="178"/>
        <v>7.88051876067605e-7</v>
      </c>
      <c r="V515">
        <f t="shared" si="179"/>
        <v>0</v>
      </c>
      <c r="W515">
        <f t="shared" si="180"/>
        <v>0</v>
      </c>
      <c r="X515">
        <f t="shared" si="181"/>
        <v>0</v>
      </c>
      <c r="Y515">
        <f t="shared" si="182"/>
        <v>113.893501</v>
      </c>
      <c r="Z515">
        <f t="shared" si="183"/>
        <v>0</v>
      </c>
      <c r="AA515">
        <f t="shared" si="184"/>
        <v>0</v>
      </c>
      <c r="AB515">
        <f t="shared" si="185"/>
        <v>0</v>
      </c>
      <c r="AC515">
        <f t="shared" si="186"/>
        <v>164.509995</v>
      </c>
    </row>
    <row r="516" spans="2:29">
      <c r="B516" s="5">
        <v>225</v>
      </c>
      <c r="C516" s="6">
        <v>115.610542</v>
      </c>
      <c r="D516" s="6">
        <v>164.610001</v>
      </c>
      <c r="E516">
        <v>0.15</v>
      </c>
      <c r="F516" s="5">
        <f t="shared" si="187"/>
        <v>113.396400019905</v>
      </c>
      <c r="G516">
        <f t="shared" si="188"/>
        <v>163.773135006773</v>
      </c>
      <c r="H516">
        <f t="shared" si="189"/>
        <v>1.97288129631132</v>
      </c>
      <c r="I516">
        <f t="shared" si="190"/>
        <v>1.65107104339419</v>
      </c>
      <c r="J516">
        <f t="shared" si="191"/>
        <v>115.369281316216</v>
      </c>
      <c r="K516">
        <f t="shared" si="192"/>
        <v>165.424206050167</v>
      </c>
      <c r="L516">
        <f t="shared" si="193"/>
        <v>4.35490047501163e-6</v>
      </c>
      <c r="M516">
        <f t="shared" si="194"/>
        <v>2.4465559299684e-5</v>
      </c>
      <c r="N516" s="47">
        <f t="shared" si="171"/>
        <v>4.35490047501163e-6</v>
      </c>
      <c r="O516">
        <f t="shared" si="172"/>
        <v>0</v>
      </c>
      <c r="P516">
        <f t="shared" si="173"/>
        <v>0</v>
      </c>
      <c r="Q516">
        <f t="shared" si="174"/>
        <v>0</v>
      </c>
      <c r="R516">
        <f t="shared" si="175"/>
        <v>2.4465559299684e-5</v>
      </c>
      <c r="S516">
        <f t="shared" si="176"/>
        <v>0</v>
      </c>
      <c r="T516">
        <f t="shared" si="177"/>
        <v>0</v>
      </c>
      <c r="U516" s="52">
        <f t="shared" si="178"/>
        <v>0</v>
      </c>
      <c r="V516">
        <f t="shared" si="179"/>
        <v>115.610542</v>
      </c>
      <c r="W516">
        <f t="shared" si="180"/>
        <v>0</v>
      </c>
      <c r="X516">
        <f t="shared" si="181"/>
        <v>0</v>
      </c>
      <c r="Y516">
        <f t="shared" si="182"/>
        <v>0</v>
      </c>
      <c r="Z516">
        <f t="shared" si="183"/>
        <v>164.610001</v>
      </c>
      <c r="AA516">
        <f t="shared" si="184"/>
        <v>0</v>
      </c>
      <c r="AB516">
        <f t="shared" si="185"/>
        <v>0</v>
      </c>
      <c r="AC516">
        <f t="shared" si="186"/>
        <v>0</v>
      </c>
    </row>
    <row r="517" spans="2:29">
      <c r="B517" s="5">
        <v>226</v>
      </c>
      <c r="C517" s="6">
        <v>116.58886</v>
      </c>
      <c r="D517" s="6">
        <v>163.679993</v>
      </c>
      <c r="E517">
        <v>0.25</v>
      </c>
      <c r="F517" s="5">
        <f t="shared" si="187"/>
        <v>114.614178108957</v>
      </c>
      <c r="G517">
        <f t="shared" si="188"/>
        <v>164.233411303048</v>
      </c>
      <c r="H517">
        <f t="shared" si="189"/>
        <v>1.78410549449661</v>
      </c>
      <c r="I517">
        <f t="shared" si="190"/>
        <v>1.35337235661432</v>
      </c>
      <c r="J517">
        <f t="shared" si="191"/>
        <v>116.398283603454</v>
      </c>
      <c r="K517">
        <f t="shared" si="192"/>
        <v>165.586783659662</v>
      </c>
      <c r="L517">
        <f t="shared" si="193"/>
        <v>2.67192405767505e-6</v>
      </c>
      <c r="M517">
        <f t="shared" si="194"/>
        <v>0.000135710932982079</v>
      </c>
      <c r="N517" s="47">
        <f t="shared" si="171"/>
        <v>0</v>
      </c>
      <c r="O517">
        <f t="shared" si="172"/>
        <v>2.67192405767505e-6</v>
      </c>
      <c r="P517">
        <f t="shared" si="173"/>
        <v>0</v>
      </c>
      <c r="Q517">
        <f t="shared" si="174"/>
        <v>0</v>
      </c>
      <c r="R517">
        <f t="shared" si="175"/>
        <v>0</v>
      </c>
      <c r="S517">
        <f t="shared" si="176"/>
        <v>0.000135710932982079</v>
      </c>
      <c r="T517">
        <f t="shared" si="177"/>
        <v>0</v>
      </c>
      <c r="U517" s="52">
        <f t="shared" si="178"/>
        <v>0</v>
      </c>
      <c r="V517">
        <f t="shared" si="179"/>
        <v>0</v>
      </c>
      <c r="W517">
        <f t="shared" si="180"/>
        <v>116.58886</v>
      </c>
      <c r="X517">
        <f t="shared" si="181"/>
        <v>0</v>
      </c>
      <c r="Y517">
        <f t="shared" si="182"/>
        <v>0</v>
      </c>
      <c r="Z517">
        <f t="shared" si="183"/>
        <v>0</v>
      </c>
      <c r="AA517">
        <f t="shared" si="184"/>
        <v>163.679993</v>
      </c>
      <c r="AB517">
        <f t="shared" si="185"/>
        <v>0</v>
      </c>
      <c r="AC517">
        <f t="shared" si="186"/>
        <v>0</v>
      </c>
    </row>
    <row r="518" spans="2:29">
      <c r="B518" s="5">
        <v>227</v>
      </c>
      <c r="C518" s="6">
        <v>112.825348</v>
      </c>
      <c r="D518" s="6">
        <v>165.610001</v>
      </c>
      <c r="E518">
        <v>0.45</v>
      </c>
      <c r="F518" s="5">
        <f t="shared" si="187"/>
        <v>115.700253149031</v>
      </c>
      <c r="G518">
        <f t="shared" si="188"/>
        <v>163.929031236372</v>
      </c>
      <c r="H518">
        <f t="shared" si="189"/>
        <v>1.46999179000626</v>
      </c>
      <c r="I518">
        <f t="shared" si="190"/>
        <v>0.607383766133509</v>
      </c>
      <c r="J518">
        <f t="shared" si="191"/>
        <v>117.170244939037</v>
      </c>
      <c r="K518">
        <f t="shared" si="192"/>
        <v>164.536415002505</v>
      </c>
      <c r="L518">
        <f t="shared" si="193"/>
        <v>0.00148301517644414</v>
      </c>
      <c r="M518">
        <f t="shared" si="194"/>
        <v>4.202430670026e-5</v>
      </c>
      <c r="N518" s="47">
        <f t="shared" ref="N518:N543" si="195">IF(E518=0.15,L518,0)</f>
        <v>0</v>
      </c>
      <c r="O518">
        <f t="shared" ref="O518:O543" si="196">IF(E518=0.25,L518,0)</f>
        <v>0</v>
      </c>
      <c r="P518">
        <f t="shared" ref="P518:P543" si="197">IF(E518=0.45,L518,0)</f>
        <v>0.00148301517644414</v>
      </c>
      <c r="Q518">
        <f t="shared" ref="Q518:Q543" si="198">IF(E518=0.85,L518,0)</f>
        <v>0</v>
      </c>
      <c r="R518">
        <f t="shared" ref="R518:R543" si="199">IF(E518=0.15,M518,0)</f>
        <v>0</v>
      </c>
      <c r="S518">
        <f t="shared" ref="S518:S543" si="200">IF(E518=0.25,M518,0)</f>
        <v>0</v>
      </c>
      <c r="T518">
        <f t="shared" ref="T518:T543" si="201">IF(E518=0.45,M518,0)</f>
        <v>4.202430670026e-5</v>
      </c>
      <c r="U518" s="52">
        <f t="shared" ref="U518:U543" si="202">IF(E518=0.85,M518,0)</f>
        <v>0</v>
      </c>
      <c r="V518">
        <f t="shared" ref="V518:V543" si="203">IF(E518=0.15,C518,0)</f>
        <v>0</v>
      </c>
      <c r="W518">
        <f t="shared" ref="W518:W543" si="204">IF(E518=0.25,C518,0)</f>
        <v>0</v>
      </c>
      <c r="X518">
        <f t="shared" ref="X518:X543" si="205">IF(E518=0.45,C518,0)</f>
        <v>112.825348</v>
      </c>
      <c r="Y518">
        <f t="shared" ref="Y518:Y543" si="206">IF(E518=0.85,C518,0)</f>
        <v>0</v>
      </c>
      <c r="Z518">
        <f t="shared" ref="Z518:Z543" si="207">IF(E518=0.15,D518,0)</f>
        <v>0</v>
      </c>
      <c r="AA518">
        <f t="shared" ref="AA518:AA543" si="208">IF(E518=0.25,D518,0)</f>
        <v>0</v>
      </c>
      <c r="AB518">
        <f t="shared" ref="AB518:AB543" si="209">IF(E518=0.45,D518,0)</f>
        <v>165.610001</v>
      </c>
      <c r="AC518">
        <f t="shared" ref="AC518:AC543" si="210">IF(E518=0.85,D518,0)</f>
        <v>0</v>
      </c>
    </row>
    <row r="519" spans="2:29">
      <c r="B519" s="5">
        <v>228</v>
      </c>
      <c r="C519" s="6">
        <v>116.299355</v>
      </c>
      <c r="D519" s="6">
        <v>168.720001</v>
      </c>
      <c r="E519">
        <v>0.85</v>
      </c>
      <c r="F519" s="5">
        <f t="shared" si="187"/>
        <v>114.119055317064</v>
      </c>
      <c r="G519">
        <f t="shared" si="188"/>
        <v>164.853564606367</v>
      </c>
      <c r="H519">
        <f t="shared" si="189"/>
        <v>-1.12351938867091</v>
      </c>
      <c r="I519">
        <f t="shared" si="190"/>
        <v>0.876960929416311</v>
      </c>
      <c r="J519">
        <f t="shared" si="191"/>
        <v>112.995535928393</v>
      </c>
      <c r="K519">
        <f t="shared" si="192"/>
        <v>165.730525535784</v>
      </c>
      <c r="L519">
        <f t="shared" si="193"/>
        <v>0.000807008110535198</v>
      </c>
      <c r="M519">
        <f t="shared" si="194"/>
        <v>0.000313947369166277</v>
      </c>
      <c r="N519" s="47">
        <f t="shared" si="195"/>
        <v>0</v>
      </c>
      <c r="O519">
        <f t="shared" si="196"/>
        <v>0</v>
      </c>
      <c r="P519">
        <f t="shared" si="197"/>
        <v>0</v>
      </c>
      <c r="Q519">
        <f t="shared" si="198"/>
        <v>0.000807008110535198</v>
      </c>
      <c r="R519">
        <f t="shared" si="199"/>
        <v>0</v>
      </c>
      <c r="S519">
        <f t="shared" si="200"/>
        <v>0</v>
      </c>
      <c r="T519">
        <f t="shared" si="201"/>
        <v>0</v>
      </c>
      <c r="U519" s="52">
        <f t="shared" si="202"/>
        <v>0.000313947369166277</v>
      </c>
      <c r="V519">
        <f t="shared" si="203"/>
        <v>0</v>
      </c>
      <c r="W519">
        <f t="shared" si="204"/>
        <v>0</v>
      </c>
      <c r="X519">
        <f t="shared" si="205"/>
        <v>0</v>
      </c>
      <c r="Y519">
        <f t="shared" si="206"/>
        <v>116.299355</v>
      </c>
      <c r="Z519">
        <f t="shared" si="207"/>
        <v>0</v>
      </c>
      <c r="AA519">
        <f t="shared" si="208"/>
        <v>0</v>
      </c>
      <c r="AB519">
        <f t="shared" si="209"/>
        <v>0</v>
      </c>
      <c r="AC519">
        <f t="shared" si="210"/>
        <v>168.720001</v>
      </c>
    </row>
    <row r="520" spans="2:29">
      <c r="B520" s="5">
        <v>229</v>
      </c>
      <c r="C520" s="6">
        <v>112.965111</v>
      </c>
      <c r="D520" s="6">
        <v>166.889999</v>
      </c>
      <c r="E520">
        <v>0.15</v>
      </c>
      <c r="F520" s="5">
        <f t="shared" si="187"/>
        <v>115.318220142679</v>
      </c>
      <c r="G520">
        <f t="shared" si="188"/>
        <v>166.980104622865</v>
      </c>
      <c r="H520">
        <f t="shared" si="189"/>
        <v>-0.775116756528034</v>
      </c>
      <c r="I520">
        <f t="shared" si="190"/>
        <v>1.06439779247857</v>
      </c>
      <c r="J520">
        <f t="shared" si="191"/>
        <v>114.543103386151</v>
      </c>
      <c r="K520">
        <f t="shared" si="192"/>
        <v>168.044502415344</v>
      </c>
      <c r="L520">
        <f t="shared" si="193"/>
        <v>0.000195128694980772</v>
      </c>
      <c r="M520">
        <f t="shared" si="194"/>
        <v>4.78552754054725e-5</v>
      </c>
      <c r="N520" s="47">
        <f t="shared" si="195"/>
        <v>0.000195128694980772</v>
      </c>
      <c r="O520">
        <f t="shared" si="196"/>
        <v>0</v>
      </c>
      <c r="P520">
        <f t="shared" si="197"/>
        <v>0</v>
      </c>
      <c r="Q520">
        <f t="shared" si="198"/>
        <v>0</v>
      </c>
      <c r="R520">
        <f t="shared" si="199"/>
        <v>4.78552754054725e-5</v>
      </c>
      <c r="S520">
        <f t="shared" si="200"/>
        <v>0</v>
      </c>
      <c r="T520">
        <f t="shared" si="201"/>
        <v>0</v>
      </c>
      <c r="U520" s="52">
        <f t="shared" si="202"/>
        <v>0</v>
      </c>
      <c r="V520">
        <f t="shared" si="203"/>
        <v>112.965111</v>
      </c>
      <c r="W520">
        <f t="shared" si="204"/>
        <v>0</v>
      </c>
      <c r="X520">
        <f t="shared" si="205"/>
        <v>0</v>
      </c>
      <c r="Y520">
        <f t="shared" si="206"/>
        <v>0</v>
      </c>
      <c r="Z520">
        <f t="shared" si="207"/>
        <v>166.889999</v>
      </c>
      <c r="AA520">
        <f t="shared" si="208"/>
        <v>0</v>
      </c>
      <c r="AB520">
        <f t="shared" si="209"/>
        <v>0</v>
      </c>
      <c r="AC520">
        <f t="shared" si="210"/>
        <v>0</v>
      </c>
    </row>
    <row r="521" spans="2:29">
      <c r="B521" s="5">
        <v>230</v>
      </c>
      <c r="C521" s="6">
        <v>114.881805</v>
      </c>
      <c r="D521" s="6">
        <v>171.550003</v>
      </c>
      <c r="E521">
        <v>0.25</v>
      </c>
      <c r="F521" s="5">
        <f t="shared" si="187"/>
        <v>114.024010114205</v>
      </c>
      <c r="G521">
        <f t="shared" si="188"/>
        <v>166.930546530289</v>
      </c>
      <c r="H521">
        <f t="shared" si="189"/>
        <v>-0.904890074514351</v>
      </c>
      <c r="I521">
        <f t="shared" si="190"/>
        <v>0.785908821214951</v>
      </c>
      <c r="J521">
        <f t="shared" si="191"/>
        <v>113.119120039691</v>
      </c>
      <c r="K521">
        <f t="shared" si="192"/>
        <v>167.716455351504</v>
      </c>
      <c r="L521">
        <f t="shared" si="193"/>
        <v>0.000235421919850231</v>
      </c>
      <c r="M521">
        <f t="shared" si="194"/>
        <v>0.000499367496818463</v>
      </c>
      <c r="N521" s="47">
        <f t="shared" si="195"/>
        <v>0</v>
      </c>
      <c r="O521">
        <f t="shared" si="196"/>
        <v>0.000235421919850231</v>
      </c>
      <c r="P521">
        <f t="shared" si="197"/>
        <v>0</v>
      </c>
      <c r="Q521">
        <f t="shared" si="198"/>
        <v>0</v>
      </c>
      <c r="R521">
        <f t="shared" si="199"/>
        <v>0</v>
      </c>
      <c r="S521">
        <f t="shared" si="200"/>
        <v>0.000499367496818463</v>
      </c>
      <c r="T521">
        <f t="shared" si="201"/>
        <v>0</v>
      </c>
      <c r="U521" s="52">
        <f t="shared" si="202"/>
        <v>0</v>
      </c>
      <c r="V521">
        <f t="shared" si="203"/>
        <v>0</v>
      </c>
      <c r="W521">
        <f t="shared" si="204"/>
        <v>114.881805</v>
      </c>
      <c r="X521">
        <f t="shared" si="205"/>
        <v>0</v>
      </c>
      <c r="Y521">
        <f t="shared" si="206"/>
        <v>0</v>
      </c>
      <c r="Z521">
        <f t="shared" si="207"/>
        <v>0</v>
      </c>
      <c r="AA521">
        <f t="shared" si="208"/>
        <v>171.550003</v>
      </c>
      <c r="AB521">
        <f t="shared" si="209"/>
        <v>0</v>
      </c>
      <c r="AC521">
        <f t="shared" si="210"/>
        <v>0</v>
      </c>
    </row>
    <row r="522" spans="2:29">
      <c r="B522" s="5">
        <v>231</v>
      </c>
      <c r="C522" s="6">
        <v>114.771988</v>
      </c>
      <c r="D522" s="6">
        <v>173.779999</v>
      </c>
      <c r="E522">
        <v>0.45</v>
      </c>
      <c r="F522" s="5">
        <f t="shared" si="187"/>
        <v>114.495797301392</v>
      </c>
      <c r="G522">
        <f t="shared" si="188"/>
        <v>169.47124758863</v>
      </c>
      <c r="H522">
        <f t="shared" si="189"/>
        <v>-0.285385306748735</v>
      </c>
      <c r="I522">
        <f t="shared" si="190"/>
        <v>1.57556532792161</v>
      </c>
      <c r="J522">
        <f t="shared" si="191"/>
        <v>114.210411994644</v>
      </c>
      <c r="K522">
        <f t="shared" si="192"/>
        <v>171.046812916552</v>
      </c>
      <c r="L522">
        <f t="shared" si="193"/>
        <v>2.39411649050017e-5</v>
      </c>
      <c r="M522">
        <f t="shared" si="194"/>
        <v>0.000247365324663217</v>
      </c>
      <c r="N522" s="47">
        <f t="shared" si="195"/>
        <v>0</v>
      </c>
      <c r="O522">
        <f t="shared" si="196"/>
        <v>0</v>
      </c>
      <c r="P522">
        <f t="shared" si="197"/>
        <v>2.39411649050017e-5</v>
      </c>
      <c r="Q522">
        <f t="shared" si="198"/>
        <v>0</v>
      </c>
      <c r="R522">
        <f t="shared" si="199"/>
        <v>0</v>
      </c>
      <c r="S522">
        <f t="shared" si="200"/>
        <v>0</v>
      </c>
      <c r="T522">
        <f t="shared" si="201"/>
        <v>0.000247365324663217</v>
      </c>
      <c r="U522" s="52">
        <f t="shared" si="202"/>
        <v>0</v>
      </c>
      <c r="V522">
        <f t="shared" si="203"/>
        <v>0</v>
      </c>
      <c r="W522">
        <f t="shared" si="204"/>
        <v>0</v>
      </c>
      <c r="X522">
        <f t="shared" si="205"/>
        <v>114.771988</v>
      </c>
      <c r="Y522">
        <f t="shared" si="206"/>
        <v>0</v>
      </c>
      <c r="Z522">
        <f t="shared" si="207"/>
        <v>0</v>
      </c>
      <c r="AA522">
        <f t="shared" si="208"/>
        <v>0</v>
      </c>
      <c r="AB522">
        <f t="shared" si="209"/>
        <v>173.779999</v>
      </c>
      <c r="AC522">
        <f t="shared" si="210"/>
        <v>0</v>
      </c>
    </row>
    <row r="523" spans="2:29">
      <c r="B523" s="5">
        <v>232</v>
      </c>
      <c r="C523" s="6">
        <v>116.768547</v>
      </c>
      <c r="D523" s="6">
        <v>174.380005</v>
      </c>
      <c r="E523">
        <v>0.85</v>
      </c>
      <c r="F523" s="5">
        <f t="shared" si="187"/>
        <v>114.647702185627</v>
      </c>
      <c r="G523">
        <f t="shared" si="188"/>
        <v>171.841060864884</v>
      </c>
      <c r="H523">
        <f t="shared" si="189"/>
        <v>0.0863113555867346</v>
      </c>
      <c r="I523">
        <f t="shared" si="190"/>
        <v>2.25067608400364</v>
      </c>
      <c r="J523">
        <f t="shared" si="191"/>
        <v>114.734013541213</v>
      </c>
      <c r="K523">
        <f t="shared" si="192"/>
        <v>174.091736948887</v>
      </c>
      <c r="L523">
        <f t="shared" si="193"/>
        <v>0.000303583330088325</v>
      </c>
      <c r="M523">
        <f t="shared" si="194"/>
        <v>2.73274842339159e-6</v>
      </c>
      <c r="N523" s="47">
        <f t="shared" si="195"/>
        <v>0</v>
      </c>
      <c r="O523">
        <f t="shared" si="196"/>
        <v>0</v>
      </c>
      <c r="P523">
        <f t="shared" si="197"/>
        <v>0</v>
      </c>
      <c r="Q523">
        <f t="shared" si="198"/>
        <v>0.000303583330088325</v>
      </c>
      <c r="R523">
        <f t="shared" si="199"/>
        <v>0</v>
      </c>
      <c r="S523">
        <f t="shared" si="200"/>
        <v>0</v>
      </c>
      <c r="T523">
        <f t="shared" si="201"/>
        <v>0</v>
      </c>
      <c r="U523" s="52">
        <f t="shared" si="202"/>
        <v>2.73274842339159e-6</v>
      </c>
      <c r="V523">
        <f t="shared" si="203"/>
        <v>0</v>
      </c>
      <c r="W523">
        <f t="shared" si="204"/>
        <v>0</v>
      </c>
      <c r="X523">
        <f t="shared" si="205"/>
        <v>0</v>
      </c>
      <c r="Y523">
        <f t="shared" si="206"/>
        <v>116.768547</v>
      </c>
      <c r="Z523">
        <f t="shared" si="207"/>
        <v>0</v>
      </c>
      <c r="AA523">
        <f t="shared" si="208"/>
        <v>0</v>
      </c>
      <c r="AB523">
        <f t="shared" si="209"/>
        <v>0</v>
      </c>
      <c r="AC523">
        <f t="shared" si="210"/>
        <v>174.380005</v>
      </c>
    </row>
    <row r="524" spans="2:29">
      <c r="B524" s="5">
        <v>233</v>
      </c>
      <c r="C524" s="6">
        <v>124.185753</v>
      </c>
      <c r="D524" s="6">
        <v>175.360001</v>
      </c>
      <c r="E524">
        <v>0.15</v>
      </c>
      <c r="F524" s="5">
        <f t="shared" si="187"/>
        <v>115.814166833532</v>
      </c>
      <c r="G524">
        <f t="shared" si="188"/>
        <v>173.237480139198</v>
      </c>
      <c r="H524">
        <f t="shared" si="189"/>
        <v>0.24833434943453</v>
      </c>
      <c r="I524">
        <f t="shared" si="190"/>
        <v>2.1225375625502</v>
      </c>
      <c r="J524">
        <f t="shared" si="191"/>
        <v>116.062501182966</v>
      </c>
      <c r="K524">
        <f t="shared" si="192"/>
        <v>175.360017701748</v>
      </c>
      <c r="L524">
        <f t="shared" si="193"/>
        <v>0.00427874379898383</v>
      </c>
      <c r="M524">
        <f t="shared" si="194"/>
        <v>9.07115871347543e-15</v>
      </c>
      <c r="N524" s="47">
        <f t="shared" si="195"/>
        <v>0.00427874379898383</v>
      </c>
      <c r="O524">
        <f t="shared" si="196"/>
        <v>0</v>
      </c>
      <c r="P524">
        <f t="shared" si="197"/>
        <v>0</v>
      </c>
      <c r="Q524">
        <f t="shared" si="198"/>
        <v>0</v>
      </c>
      <c r="R524">
        <f t="shared" si="199"/>
        <v>9.07115871347543e-15</v>
      </c>
      <c r="S524">
        <f t="shared" si="200"/>
        <v>0</v>
      </c>
      <c r="T524">
        <f t="shared" si="201"/>
        <v>0</v>
      </c>
      <c r="U524" s="52">
        <f t="shared" si="202"/>
        <v>0</v>
      </c>
      <c r="V524">
        <f t="shared" si="203"/>
        <v>124.185753</v>
      </c>
      <c r="W524">
        <f t="shared" si="204"/>
        <v>0</v>
      </c>
      <c r="X524">
        <f t="shared" si="205"/>
        <v>0</v>
      </c>
      <c r="Y524">
        <f t="shared" si="206"/>
        <v>0</v>
      </c>
      <c r="Z524">
        <f t="shared" si="207"/>
        <v>175.360001</v>
      </c>
      <c r="AA524">
        <f t="shared" si="208"/>
        <v>0</v>
      </c>
      <c r="AB524">
        <f t="shared" si="209"/>
        <v>0</v>
      </c>
      <c r="AC524">
        <f t="shared" si="210"/>
        <v>0</v>
      </c>
    </row>
    <row r="525" spans="2:29">
      <c r="B525" s="5">
        <v>234</v>
      </c>
      <c r="C525" s="6">
        <v>120.891434</v>
      </c>
      <c r="D525" s="6">
        <v>171.550003</v>
      </c>
      <c r="E525">
        <v>0.25</v>
      </c>
      <c r="F525" s="5">
        <f t="shared" si="187"/>
        <v>120.418539225089</v>
      </c>
      <c r="G525">
        <f t="shared" si="188"/>
        <v>174.404866612639</v>
      </c>
      <c r="H525">
        <f t="shared" si="189"/>
        <v>1.33734385996525</v>
      </c>
      <c r="I525">
        <f t="shared" si="190"/>
        <v>1.88374979027298</v>
      </c>
      <c r="J525">
        <f t="shared" si="191"/>
        <v>121.755883085055</v>
      </c>
      <c r="K525">
        <f t="shared" si="192"/>
        <v>176.288616402912</v>
      </c>
      <c r="L525">
        <f t="shared" si="193"/>
        <v>5.11314112508465e-5</v>
      </c>
      <c r="M525">
        <f t="shared" si="194"/>
        <v>0.000762993954665134</v>
      </c>
      <c r="N525" s="47">
        <f t="shared" si="195"/>
        <v>0</v>
      </c>
      <c r="O525">
        <f t="shared" si="196"/>
        <v>5.11314112508465e-5</v>
      </c>
      <c r="P525">
        <f t="shared" si="197"/>
        <v>0</v>
      </c>
      <c r="Q525">
        <f t="shared" si="198"/>
        <v>0</v>
      </c>
      <c r="R525">
        <f t="shared" si="199"/>
        <v>0</v>
      </c>
      <c r="S525">
        <f t="shared" si="200"/>
        <v>0.000762993954665134</v>
      </c>
      <c r="T525">
        <f t="shared" si="201"/>
        <v>0</v>
      </c>
      <c r="U525" s="52">
        <f t="shared" si="202"/>
        <v>0</v>
      </c>
      <c r="V525">
        <f t="shared" si="203"/>
        <v>0</v>
      </c>
      <c r="W525">
        <f t="shared" si="204"/>
        <v>120.891434</v>
      </c>
      <c r="X525">
        <f t="shared" si="205"/>
        <v>0</v>
      </c>
      <c r="Y525">
        <f t="shared" si="206"/>
        <v>0</v>
      </c>
      <c r="Z525">
        <f t="shared" si="207"/>
        <v>0</v>
      </c>
      <c r="AA525">
        <f t="shared" si="208"/>
        <v>171.550003</v>
      </c>
      <c r="AB525">
        <f t="shared" si="209"/>
        <v>0</v>
      </c>
      <c r="AC525">
        <f t="shared" si="210"/>
        <v>0</v>
      </c>
    </row>
    <row r="526" spans="2:29">
      <c r="B526" s="5">
        <v>235</v>
      </c>
      <c r="C526" s="6">
        <v>120.981277</v>
      </c>
      <c r="D526" s="6">
        <v>173.470001</v>
      </c>
      <c r="E526">
        <v>0.45</v>
      </c>
      <c r="F526" s="5">
        <f t="shared" si="187"/>
        <v>120.67863135129</v>
      </c>
      <c r="G526">
        <f t="shared" si="188"/>
        <v>172.834691625688</v>
      </c>
      <c r="H526">
        <f t="shared" si="189"/>
        <v>0.852580579771263</v>
      </c>
      <c r="I526">
        <f t="shared" si="190"/>
        <v>0.329483640521995</v>
      </c>
      <c r="J526">
        <f t="shared" si="191"/>
        <v>121.531211931061</v>
      </c>
      <c r="K526">
        <f t="shared" si="192"/>
        <v>173.16417526621</v>
      </c>
      <c r="L526">
        <f t="shared" si="193"/>
        <v>2.06626625899829e-5</v>
      </c>
      <c r="M526">
        <f t="shared" si="194"/>
        <v>3.1081308279197e-6</v>
      </c>
      <c r="N526" s="47">
        <f t="shared" si="195"/>
        <v>0</v>
      </c>
      <c r="O526">
        <f t="shared" si="196"/>
        <v>0</v>
      </c>
      <c r="P526">
        <f t="shared" si="197"/>
        <v>2.06626625899829e-5</v>
      </c>
      <c r="Q526">
        <f t="shared" si="198"/>
        <v>0</v>
      </c>
      <c r="R526">
        <f t="shared" si="199"/>
        <v>0</v>
      </c>
      <c r="S526">
        <f t="shared" si="200"/>
        <v>0</v>
      </c>
      <c r="T526">
        <f t="shared" si="201"/>
        <v>3.1081308279197e-6</v>
      </c>
      <c r="U526" s="52">
        <f t="shared" si="202"/>
        <v>0</v>
      </c>
      <c r="V526">
        <f t="shared" si="203"/>
        <v>0</v>
      </c>
      <c r="W526">
        <f t="shared" si="204"/>
        <v>0</v>
      </c>
      <c r="X526">
        <f t="shared" si="205"/>
        <v>120.981277</v>
      </c>
      <c r="Y526">
        <f t="shared" si="206"/>
        <v>0</v>
      </c>
      <c r="Z526">
        <f t="shared" si="207"/>
        <v>0</v>
      </c>
      <c r="AA526">
        <f t="shared" si="208"/>
        <v>0</v>
      </c>
      <c r="AB526">
        <f t="shared" si="209"/>
        <v>173.470001</v>
      </c>
      <c r="AC526">
        <f t="shared" si="210"/>
        <v>0</v>
      </c>
    </row>
    <row r="527" spans="2:29">
      <c r="B527" s="5">
        <v>236</v>
      </c>
      <c r="C527" s="6">
        <v>120.502106</v>
      </c>
      <c r="D527" s="6">
        <v>172.610001</v>
      </c>
      <c r="E527">
        <v>0.85</v>
      </c>
      <c r="F527" s="5">
        <f t="shared" si="187"/>
        <v>120.845086458081</v>
      </c>
      <c r="G527">
        <f t="shared" si="188"/>
        <v>173.184111781559</v>
      </c>
      <c r="H527">
        <f t="shared" si="189"/>
        <v>0.269373927737513</v>
      </c>
      <c r="I527">
        <f t="shared" si="190"/>
        <v>0.346429678569376</v>
      </c>
      <c r="J527">
        <f t="shared" si="191"/>
        <v>121.114460385818</v>
      </c>
      <c r="K527">
        <f t="shared" si="192"/>
        <v>173.530541460129</v>
      </c>
      <c r="L527">
        <f t="shared" si="193"/>
        <v>2.58235765267942e-5</v>
      </c>
      <c r="M527">
        <f t="shared" si="194"/>
        <v>2.84415887915162e-5</v>
      </c>
      <c r="N527" s="47">
        <f t="shared" si="195"/>
        <v>0</v>
      </c>
      <c r="O527">
        <f t="shared" si="196"/>
        <v>0</v>
      </c>
      <c r="P527">
        <f t="shared" si="197"/>
        <v>0</v>
      </c>
      <c r="Q527">
        <f t="shared" si="198"/>
        <v>2.58235765267942e-5</v>
      </c>
      <c r="R527">
        <f t="shared" si="199"/>
        <v>0</v>
      </c>
      <c r="S527">
        <f t="shared" si="200"/>
        <v>0</v>
      </c>
      <c r="T527">
        <f t="shared" si="201"/>
        <v>0</v>
      </c>
      <c r="U527" s="52">
        <f t="shared" si="202"/>
        <v>2.84415887915162e-5</v>
      </c>
      <c r="V527">
        <f t="shared" si="203"/>
        <v>0</v>
      </c>
      <c r="W527">
        <f t="shared" si="204"/>
        <v>0</v>
      </c>
      <c r="X527">
        <f t="shared" si="205"/>
        <v>0</v>
      </c>
      <c r="Y527">
        <f t="shared" si="206"/>
        <v>120.502106</v>
      </c>
      <c r="Z527">
        <f t="shared" si="207"/>
        <v>0</v>
      </c>
      <c r="AA527">
        <f t="shared" si="208"/>
        <v>0</v>
      </c>
      <c r="AB527">
        <f t="shared" si="209"/>
        <v>0</v>
      </c>
      <c r="AC527">
        <f t="shared" si="210"/>
        <v>172.610001</v>
      </c>
    </row>
    <row r="528" spans="2:29">
      <c r="B528" s="5">
        <v>237</v>
      </c>
      <c r="C528" s="6">
        <v>118.81501</v>
      </c>
      <c r="D528" s="6">
        <v>174.860001</v>
      </c>
      <c r="E528">
        <v>0.15</v>
      </c>
      <c r="F528" s="5">
        <f t="shared" si="187"/>
        <v>120.656447206136</v>
      </c>
      <c r="G528">
        <f t="shared" si="188"/>
        <v>172.868350851702</v>
      </c>
      <c r="H528">
        <f t="shared" si="189"/>
        <v>0.200671950785237</v>
      </c>
      <c r="I528">
        <f t="shared" si="190"/>
        <v>0.247101087305322</v>
      </c>
      <c r="J528">
        <f t="shared" si="191"/>
        <v>120.857119156922</v>
      </c>
      <c r="K528">
        <f t="shared" si="192"/>
        <v>173.115451939007</v>
      </c>
      <c r="L528">
        <f t="shared" si="193"/>
        <v>0.000295403262643416</v>
      </c>
      <c r="M528">
        <f t="shared" si="194"/>
        <v>9.95372004340712e-5</v>
      </c>
      <c r="N528" s="47">
        <f t="shared" si="195"/>
        <v>0.000295403262643416</v>
      </c>
      <c r="O528">
        <f t="shared" si="196"/>
        <v>0</v>
      </c>
      <c r="P528">
        <f t="shared" si="197"/>
        <v>0</v>
      </c>
      <c r="Q528">
        <f t="shared" si="198"/>
        <v>0</v>
      </c>
      <c r="R528">
        <f t="shared" si="199"/>
        <v>9.95372004340712e-5</v>
      </c>
      <c r="S528">
        <f t="shared" si="200"/>
        <v>0</v>
      </c>
      <c r="T528">
        <f t="shared" si="201"/>
        <v>0</v>
      </c>
      <c r="U528" s="52">
        <f t="shared" si="202"/>
        <v>0</v>
      </c>
      <c r="V528">
        <f t="shared" si="203"/>
        <v>118.81501</v>
      </c>
      <c r="W528">
        <f t="shared" si="204"/>
        <v>0</v>
      </c>
      <c r="X528">
        <f t="shared" si="205"/>
        <v>0</v>
      </c>
      <c r="Y528">
        <f t="shared" si="206"/>
        <v>0</v>
      </c>
      <c r="Z528">
        <f t="shared" si="207"/>
        <v>174.860001</v>
      </c>
      <c r="AA528">
        <f t="shared" si="208"/>
        <v>0</v>
      </c>
      <c r="AB528">
        <f t="shared" si="209"/>
        <v>0</v>
      </c>
      <c r="AC528">
        <f t="shared" si="210"/>
        <v>0</v>
      </c>
    </row>
    <row r="529" spans="2:29">
      <c r="B529" s="5">
        <v>238</v>
      </c>
      <c r="C529" s="6">
        <v>115.780251</v>
      </c>
      <c r="D529" s="6">
        <v>171.589996</v>
      </c>
      <c r="E529">
        <v>0.25</v>
      </c>
      <c r="F529" s="5">
        <f t="shared" si="187"/>
        <v>119.643656742761</v>
      </c>
      <c r="G529">
        <f t="shared" si="188"/>
        <v>173.963758433266</v>
      </c>
      <c r="H529">
        <f t="shared" si="189"/>
        <v>-0.102693652754811</v>
      </c>
      <c r="I529">
        <f t="shared" si="190"/>
        <v>0.459177710870003</v>
      </c>
      <c r="J529">
        <f t="shared" si="191"/>
        <v>119.540963090007</v>
      </c>
      <c r="K529">
        <f t="shared" si="192"/>
        <v>174.422936144136</v>
      </c>
      <c r="L529">
        <f t="shared" si="193"/>
        <v>0.00105504552335551</v>
      </c>
      <c r="M529">
        <f t="shared" si="194"/>
        <v>0.000272578042902625</v>
      </c>
      <c r="N529" s="47">
        <f t="shared" si="195"/>
        <v>0</v>
      </c>
      <c r="O529">
        <f t="shared" si="196"/>
        <v>0.00105504552335551</v>
      </c>
      <c r="P529">
        <f t="shared" si="197"/>
        <v>0</v>
      </c>
      <c r="Q529">
        <f t="shared" si="198"/>
        <v>0</v>
      </c>
      <c r="R529">
        <f t="shared" si="199"/>
        <v>0</v>
      </c>
      <c r="S529">
        <f t="shared" si="200"/>
        <v>0.000272578042902625</v>
      </c>
      <c r="T529">
        <f t="shared" si="201"/>
        <v>0</v>
      </c>
      <c r="U529" s="52">
        <f t="shared" si="202"/>
        <v>0</v>
      </c>
      <c r="V529">
        <f t="shared" si="203"/>
        <v>0</v>
      </c>
      <c r="W529">
        <f t="shared" si="204"/>
        <v>115.780251</v>
      </c>
      <c r="X529">
        <f t="shared" si="205"/>
        <v>0</v>
      </c>
      <c r="Y529">
        <f t="shared" si="206"/>
        <v>0</v>
      </c>
      <c r="Z529">
        <f t="shared" si="207"/>
        <v>0</v>
      </c>
      <c r="AA529">
        <f t="shared" si="208"/>
        <v>171.589996</v>
      </c>
      <c r="AB529">
        <f t="shared" si="209"/>
        <v>0</v>
      </c>
      <c r="AC529">
        <f t="shared" si="210"/>
        <v>0</v>
      </c>
    </row>
    <row r="530" spans="2:29">
      <c r="B530" s="5">
        <v>239</v>
      </c>
      <c r="C530" s="6">
        <v>117.307617</v>
      </c>
      <c r="D530" s="6">
        <v>173.259995</v>
      </c>
      <c r="E530">
        <v>0.45</v>
      </c>
      <c r="F530" s="5">
        <f t="shared" si="187"/>
        <v>117.518783584243</v>
      </c>
      <c r="G530">
        <f t="shared" si="188"/>
        <v>172.65818909497</v>
      </c>
      <c r="H530">
        <f t="shared" si="189"/>
        <v>-1.01267443034857</v>
      </c>
      <c r="I530">
        <f t="shared" si="190"/>
        <v>-0.334958461254779</v>
      </c>
      <c r="J530">
        <f t="shared" si="191"/>
        <v>116.506109153894</v>
      </c>
      <c r="K530">
        <f t="shared" si="192"/>
        <v>172.323230633715</v>
      </c>
      <c r="L530">
        <f t="shared" si="193"/>
        <v>4.66834701294899e-5</v>
      </c>
      <c r="M530">
        <f t="shared" si="194"/>
        <v>2.9232376887175e-5</v>
      </c>
      <c r="N530" s="47">
        <f t="shared" si="195"/>
        <v>0</v>
      </c>
      <c r="O530">
        <f t="shared" si="196"/>
        <v>0</v>
      </c>
      <c r="P530">
        <f t="shared" si="197"/>
        <v>4.66834701294899e-5</v>
      </c>
      <c r="Q530">
        <f t="shared" si="198"/>
        <v>0</v>
      </c>
      <c r="R530">
        <f t="shared" si="199"/>
        <v>0</v>
      </c>
      <c r="S530">
        <f t="shared" si="200"/>
        <v>0</v>
      </c>
      <c r="T530">
        <f t="shared" si="201"/>
        <v>2.9232376887175e-5</v>
      </c>
      <c r="U530" s="52">
        <f t="shared" si="202"/>
        <v>0</v>
      </c>
      <c r="V530">
        <f t="shared" si="203"/>
        <v>0</v>
      </c>
      <c r="W530">
        <f t="shared" si="204"/>
        <v>0</v>
      </c>
      <c r="X530">
        <f t="shared" si="205"/>
        <v>117.307617</v>
      </c>
      <c r="Y530">
        <f t="shared" si="206"/>
        <v>0</v>
      </c>
      <c r="Z530">
        <f t="shared" si="207"/>
        <v>0</v>
      </c>
      <c r="AA530">
        <f t="shared" si="208"/>
        <v>0</v>
      </c>
      <c r="AB530">
        <f t="shared" si="209"/>
        <v>173.259995</v>
      </c>
      <c r="AC530">
        <f t="shared" si="210"/>
        <v>0</v>
      </c>
    </row>
    <row r="531" spans="2:29">
      <c r="B531" s="5">
        <v>240</v>
      </c>
      <c r="C531" s="6">
        <v>116.668724</v>
      </c>
      <c r="D531" s="6">
        <v>172.869995</v>
      </c>
      <c r="E531">
        <v>0.85</v>
      </c>
      <c r="F531" s="5">
        <f t="shared" si="187"/>
        <v>117.402641962909</v>
      </c>
      <c r="G531">
        <f t="shared" si="188"/>
        <v>172.989182342736</v>
      </c>
      <c r="H531">
        <f t="shared" si="189"/>
        <v>-0.250621542685698</v>
      </c>
      <c r="I531">
        <f t="shared" si="190"/>
        <v>0.231100491413513</v>
      </c>
      <c r="J531">
        <f t="shared" si="191"/>
        <v>117.152020420223</v>
      </c>
      <c r="K531">
        <f t="shared" si="192"/>
        <v>173.22028283415</v>
      </c>
      <c r="L531">
        <f t="shared" si="193"/>
        <v>1.71600386067184e-5</v>
      </c>
      <c r="M531">
        <f t="shared" si="194"/>
        <v>4.10592364953595e-6</v>
      </c>
      <c r="N531" s="47">
        <f t="shared" si="195"/>
        <v>0</v>
      </c>
      <c r="O531">
        <f t="shared" si="196"/>
        <v>0</v>
      </c>
      <c r="P531">
        <f t="shared" si="197"/>
        <v>0</v>
      </c>
      <c r="Q531">
        <f t="shared" si="198"/>
        <v>1.71600386067184e-5</v>
      </c>
      <c r="R531">
        <f t="shared" si="199"/>
        <v>0</v>
      </c>
      <c r="S531">
        <f t="shared" si="200"/>
        <v>0</v>
      </c>
      <c r="T531">
        <f t="shared" si="201"/>
        <v>0</v>
      </c>
      <c r="U531" s="52">
        <f t="shared" si="202"/>
        <v>4.10592364953595e-6</v>
      </c>
      <c r="V531">
        <f t="shared" si="203"/>
        <v>0</v>
      </c>
      <c r="W531">
        <f t="shared" si="204"/>
        <v>0</v>
      </c>
      <c r="X531">
        <f t="shared" si="205"/>
        <v>0</v>
      </c>
      <c r="Y531">
        <f t="shared" si="206"/>
        <v>116.668724</v>
      </c>
      <c r="Z531">
        <f t="shared" si="207"/>
        <v>0</v>
      </c>
      <c r="AA531">
        <f t="shared" si="208"/>
        <v>0</v>
      </c>
      <c r="AB531">
        <f t="shared" si="209"/>
        <v>0</v>
      </c>
      <c r="AC531">
        <f t="shared" si="210"/>
        <v>172.869995</v>
      </c>
    </row>
    <row r="532" spans="2:29">
      <c r="B532" s="5">
        <v>241</v>
      </c>
      <c r="C532" s="6">
        <v>115.550644</v>
      </c>
      <c r="D532" s="6">
        <v>176.850006</v>
      </c>
      <c r="E532">
        <v>0.15</v>
      </c>
      <c r="F532" s="5">
        <f t="shared" si="187"/>
        <v>116.998987083309</v>
      </c>
      <c r="G532">
        <f t="shared" si="188"/>
        <v>172.923629304231</v>
      </c>
      <c r="H532">
        <f t="shared" si="189"/>
        <v>-0.273576543222849</v>
      </c>
      <c r="I532">
        <f t="shared" si="190"/>
        <v>0.186602461925734</v>
      </c>
      <c r="J532">
        <f t="shared" si="191"/>
        <v>116.725410540086</v>
      </c>
      <c r="K532">
        <f t="shared" si="192"/>
        <v>173.110231766157</v>
      </c>
      <c r="L532">
        <f t="shared" si="193"/>
        <v>0.000103361403117757</v>
      </c>
      <c r="M532">
        <f t="shared" si="194"/>
        <v>0.000447178188624622</v>
      </c>
      <c r="N532" s="47">
        <f t="shared" si="195"/>
        <v>0.000103361403117757</v>
      </c>
      <c r="O532">
        <f t="shared" si="196"/>
        <v>0</v>
      </c>
      <c r="P532">
        <f t="shared" si="197"/>
        <v>0</v>
      </c>
      <c r="Q532">
        <f t="shared" si="198"/>
        <v>0</v>
      </c>
      <c r="R532">
        <f t="shared" si="199"/>
        <v>0.000447178188624622</v>
      </c>
      <c r="S532">
        <f t="shared" si="200"/>
        <v>0</v>
      </c>
      <c r="T532">
        <f t="shared" si="201"/>
        <v>0</v>
      </c>
      <c r="U532" s="52">
        <f t="shared" si="202"/>
        <v>0</v>
      </c>
      <c r="V532">
        <f t="shared" si="203"/>
        <v>115.550644</v>
      </c>
      <c r="W532">
        <f t="shared" si="204"/>
        <v>0</v>
      </c>
      <c r="X532">
        <f t="shared" si="205"/>
        <v>0</v>
      </c>
      <c r="Y532">
        <f t="shared" si="206"/>
        <v>0</v>
      </c>
      <c r="Z532">
        <f t="shared" si="207"/>
        <v>176.850006</v>
      </c>
      <c r="AA532">
        <f t="shared" si="208"/>
        <v>0</v>
      </c>
      <c r="AB532">
        <f t="shared" si="209"/>
        <v>0</v>
      </c>
      <c r="AC532">
        <f t="shared" si="210"/>
        <v>0</v>
      </c>
    </row>
    <row r="533" spans="2:29">
      <c r="B533" s="5">
        <v>242</v>
      </c>
      <c r="C533" s="6">
        <v>114.841873</v>
      </c>
      <c r="D533" s="6">
        <v>175.539993</v>
      </c>
      <c r="E533">
        <v>0.25</v>
      </c>
      <c r="F533" s="5">
        <f t="shared" si="187"/>
        <v>116.202398387489</v>
      </c>
      <c r="G533">
        <f t="shared" si="188"/>
        <v>175.083136486904</v>
      </c>
      <c r="H533">
        <f t="shared" si="189"/>
        <v>-0.404329581372142</v>
      </c>
      <c r="I533">
        <f t="shared" si="190"/>
        <v>0.679828642112493</v>
      </c>
      <c r="J533">
        <f t="shared" si="191"/>
        <v>115.798068806117</v>
      </c>
      <c r="K533">
        <f t="shared" si="192"/>
        <v>175.762965129017</v>
      </c>
      <c r="L533">
        <f t="shared" si="193"/>
        <v>6.93255198942533e-5</v>
      </c>
      <c r="M533">
        <f t="shared" si="194"/>
        <v>1.61342583917366e-6</v>
      </c>
      <c r="N533" s="47">
        <f t="shared" si="195"/>
        <v>0</v>
      </c>
      <c r="O533">
        <f t="shared" si="196"/>
        <v>6.93255198942533e-5</v>
      </c>
      <c r="P533">
        <f t="shared" si="197"/>
        <v>0</v>
      </c>
      <c r="Q533">
        <f t="shared" si="198"/>
        <v>0</v>
      </c>
      <c r="R533">
        <f t="shared" si="199"/>
        <v>0</v>
      </c>
      <c r="S533">
        <f t="shared" si="200"/>
        <v>1.61342583917366e-6</v>
      </c>
      <c r="T533">
        <f t="shared" si="201"/>
        <v>0</v>
      </c>
      <c r="U533" s="52">
        <f t="shared" si="202"/>
        <v>0</v>
      </c>
      <c r="V533">
        <f t="shared" si="203"/>
        <v>0</v>
      </c>
      <c r="W533">
        <f t="shared" si="204"/>
        <v>114.841873</v>
      </c>
      <c r="X533">
        <f t="shared" si="205"/>
        <v>0</v>
      </c>
      <c r="Y533">
        <f t="shared" si="206"/>
        <v>0</v>
      </c>
      <c r="Z533">
        <f t="shared" si="207"/>
        <v>0</v>
      </c>
      <c r="AA533">
        <f t="shared" si="208"/>
        <v>175.539993</v>
      </c>
      <c r="AB533">
        <f t="shared" si="209"/>
        <v>0</v>
      </c>
      <c r="AC533">
        <f t="shared" si="210"/>
        <v>0</v>
      </c>
    </row>
    <row r="534" spans="2:29">
      <c r="B534" s="5">
        <v>243</v>
      </c>
      <c r="C534" s="6">
        <v>114.851852</v>
      </c>
      <c r="D534" s="6">
        <v>170.169998</v>
      </c>
      <c r="E534">
        <v>0.45</v>
      </c>
      <c r="F534" s="5">
        <f t="shared" si="187"/>
        <v>115.45410942437</v>
      </c>
      <c r="G534">
        <f t="shared" si="188"/>
        <v>175.334407569107</v>
      </c>
      <c r="H534">
        <f t="shared" si="189"/>
        <v>-0.559111303158232</v>
      </c>
      <c r="I534">
        <f t="shared" si="190"/>
        <v>0.486977740153108</v>
      </c>
      <c r="J534">
        <f t="shared" si="191"/>
        <v>114.894998121212</v>
      </c>
      <c r="K534">
        <f t="shared" si="192"/>
        <v>175.82138530926</v>
      </c>
      <c r="L534">
        <f t="shared" si="193"/>
        <v>1.41126156257877e-7</v>
      </c>
      <c r="M534">
        <f t="shared" si="194"/>
        <v>0.00110292036672681</v>
      </c>
      <c r="N534" s="47">
        <f t="shared" si="195"/>
        <v>0</v>
      </c>
      <c r="O534">
        <f t="shared" si="196"/>
        <v>0</v>
      </c>
      <c r="P534">
        <f t="shared" si="197"/>
        <v>1.41126156257877e-7</v>
      </c>
      <c r="Q534">
        <f t="shared" si="198"/>
        <v>0</v>
      </c>
      <c r="R534">
        <f t="shared" si="199"/>
        <v>0</v>
      </c>
      <c r="S534">
        <f t="shared" si="200"/>
        <v>0</v>
      </c>
      <c r="T534">
        <f t="shared" si="201"/>
        <v>0.00110292036672681</v>
      </c>
      <c r="U534" s="52">
        <f t="shared" si="202"/>
        <v>0</v>
      </c>
      <c r="V534">
        <f t="shared" si="203"/>
        <v>0</v>
      </c>
      <c r="W534">
        <f t="shared" si="204"/>
        <v>0</v>
      </c>
      <c r="X534">
        <f t="shared" si="205"/>
        <v>114.851852</v>
      </c>
      <c r="Y534">
        <f t="shared" si="206"/>
        <v>0</v>
      </c>
      <c r="Z534">
        <f t="shared" si="207"/>
        <v>0</v>
      </c>
      <c r="AA534">
        <f t="shared" si="208"/>
        <v>0</v>
      </c>
      <c r="AB534">
        <f t="shared" si="209"/>
        <v>170.169998</v>
      </c>
      <c r="AC534">
        <f t="shared" si="210"/>
        <v>0</v>
      </c>
    </row>
    <row r="535" spans="2:29">
      <c r="B535" s="5">
        <v>244</v>
      </c>
      <c r="C535" s="6">
        <v>116.399178</v>
      </c>
      <c r="D535" s="6">
        <v>166.75</v>
      </c>
      <c r="E535">
        <v>0.85</v>
      </c>
      <c r="F535" s="5">
        <f t="shared" si="187"/>
        <v>115.122867840967</v>
      </c>
      <c r="G535">
        <f t="shared" si="188"/>
        <v>172.493982306098</v>
      </c>
      <c r="H535">
        <f t="shared" si="189"/>
        <v>-0.365422041366767</v>
      </c>
      <c r="I535">
        <f t="shared" si="190"/>
        <v>-2.34131481253449</v>
      </c>
      <c r="J535">
        <f t="shared" si="191"/>
        <v>114.7574457996</v>
      </c>
      <c r="K535">
        <f t="shared" si="192"/>
        <v>170.152667493564</v>
      </c>
      <c r="L535">
        <f t="shared" si="193"/>
        <v>0.000198932071956533</v>
      </c>
      <c r="M535">
        <f t="shared" si="194"/>
        <v>0.000416396757726242</v>
      </c>
      <c r="N535" s="47">
        <f t="shared" si="195"/>
        <v>0</v>
      </c>
      <c r="O535">
        <f t="shared" si="196"/>
        <v>0</v>
      </c>
      <c r="P535">
        <f t="shared" si="197"/>
        <v>0</v>
      </c>
      <c r="Q535">
        <f t="shared" si="198"/>
        <v>0.000198932071956533</v>
      </c>
      <c r="R535">
        <f t="shared" si="199"/>
        <v>0</v>
      </c>
      <c r="S535">
        <f t="shared" si="200"/>
        <v>0</v>
      </c>
      <c r="T535">
        <f t="shared" si="201"/>
        <v>0</v>
      </c>
      <c r="U535" s="52">
        <f t="shared" si="202"/>
        <v>0.000416396757726242</v>
      </c>
      <c r="V535">
        <f t="shared" si="203"/>
        <v>0</v>
      </c>
      <c r="W535">
        <f t="shared" si="204"/>
        <v>0</v>
      </c>
      <c r="X535">
        <f t="shared" si="205"/>
        <v>0</v>
      </c>
      <c r="Y535">
        <f t="shared" si="206"/>
        <v>116.399178</v>
      </c>
      <c r="Z535">
        <f t="shared" si="207"/>
        <v>0</v>
      </c>
      <c r="AA535">
        <f t="shared" si="208"/>
        <v>0</v>
      </c>
      <c r="AB535">
        <f t="shared" si="209"/>
        <v>0</v>
      </c>
      <c r="AC535">
        <f t="shared" si="210"/>
        <v>166.75</v>
      </c>
    </row>
    <row r="536" spans="2:29">
      <c r="B536" s="5">
        <v>245</v>
      </c>
      <c r="C536" s="6">
        <v>111.008476</v>
      </c>
      <c r="D536" s="6">
        <v>161.160004</v>
      </c>
      <c r="E536">
        <v>0.15</v>
      </c>
      <c r="F536" s="5">
        <f t="shared" si="187"/>
        <v>115.824838428435</v>
      </c>
      <c r="G536">
        <f t="shared" si="188"/>
        <v>169.334792037744</v>
      </c>
      <c r="H536">
        <f t="shared" si="189"/>
        <v>-0.205313147041491</v>
      </c>
      <c r="I536">
        <f t="shared" si="190"/>
        <v>-2.4639961309074</v>
      </c>
      <c r="J536">
        <f t="shared" si="191"/>
        <v>115.619525281393</v>
      </c>
      <c r="K536">
        <f t="shared" si="192"/>
        <v>166.870795906837</v>
      </c>
      <c r="L536">
        <f t="shared" si="193"/>
        <v>0.0017253898817996</v>
      </c>
      <c r="M536">
        <f t="shared" si="194"/>
        <v>0.00125567755608337</v>
      </c>
      <c r="N536" s="47">
        <f t="shared" si="195"/>
        <v>0.0017253898817996</v>
      </c>
      <c r="O536">
        <f t="shared" si="196"/>
        <v>0</v>
      </c>
      <c r="P536">
        <f t="shared" si="197"/>
        <v>0</v>
      </c>
      <c r="Q536">
        <f t="shared" si="198"/>
        <v>0</v>
      </c>
      <c r="R536">
        <f t="shared" si="199"/>
        <v>0.00125567755608337</v>
      </c>
      <c r="S536">
        <f t="shared" si="200"/>
        <v>0</v>
      </c>
      <c r="T536">
        <f t="shared" si="201"/>
        <v>0</v>
      </c>
      <c r="U536" s="52">
        <f t="shared" si="202"/>
        <v>0</v>
      </c>
      <c r="V536">
        <f t="shared" si="203"/>
        <v>111.008476</v>
      </c>
      <c r="W536">
        <f t="shared" si="204"/>
        <v>0</v>
      </c>
      <c r="X536">
        <f t="shared" si="205"/>
        <v>0</v>
      </c>
      <c r="Y536">
        <f t="shared" si="206"/>
        <v>0</v>
      </c>
      <c r="Z536">
        <f t="shared" si="207"/>
        <v>161.160004</v>
      </c>
      <c r="AA536">
        <f t="shared" si="208"/>
        <v>0</v>
      </c>
      <c r="AB536">
        <f t="shared" si="209"/>
        <v>0</v>
      </c>
      <c r="AC536">
        <f t="shared" si="210"/>
        <v>0</v>
      </c>
    </row>
    <row r="537" spans="2:29">
      <c r="B537" s="5">
        <v>246</v>
      </c>
      <c r="C537" s="6">
        <v>115.121384</v>
      </c>
      <c r="D537" s="6">
        <v>164.600006</v>
      </c>
      <c r="E537">
        <v>0.25</v>
      </c>
      <c r="F537" s="5">
        <f t="shared" si="187"/>
        <v>113.175839092796</v>
      </c>
      <c r="G537">
        <f t="shared" si="188"/>
        <v>164.838658616985</v>
      </c>
      <c r="H537">
        <f t="shared" si="189"/>
        <v>-0.816234694190922</v>
      </c>
      <c r="I537">
        <f t="shared" si="190"/>
        <v>-2.97203045337038</v>
      </c>
      <c r="J537">
        <f t="shared" si="191"/>
        <v>112.359604398605</v>
      </c>
      <c r="K537">
        <f t="shared" si="192"/>
        <v>161.866628163614</v>
      </c>
      <c r="L537">
        <f t="shared" si="193"/>
        <v>0.000575527434988221</v>
      </c>
      <c r="M537">
        <f t="shared" si="194"/>
        <v>0.000275765316845727</v>
      </c>
      <c r="N537" s="47">
        <f t="shared" si="195"/>
        <v>0</v>
      </c>
      <c r="O537">
        <f t="shared" si="196"/>
        <v>0.000575527434988221</v>
      </c>
      <c r="P537">
        <f t="shared" si="197"/>
        <v>0</v>
      </c>
      <c r="Q537">
        <f t="shared" si="198"/>
        <v>0</v>
      </c>
      <c r="R537">
        <f t="shared" si="199"/>
        <v>0</v>
      </c>
      <c r="S537">
        <f t="shared" si="200"/>
        <v>0.000275765316845727</v>
      </c>
      <c r="T537">
        <f t="shared" si="201"/>
        <v>0</v>
      </c>
      <c r="U537" s="52">
        <f t="shared" si="202"/>
        <v>0</v>
      </c>
      <c r="V537">
        <f t="shared" si="203"/>
        <v>0</v>
      </c>
      <c r="W537">
        <f t="shared" si="204"/>
        <v>115.121384</v>
      </c>
      <c r="X537">
        <f t="shared" si="205"/>
        <v>0</v>
      </c>
      <c r="Y537">
        <f t="shared" si="206"/>
        <v>0</v>
      </c>
      <c r="Z537">
        <f t="shared" si="207"/>
        <v>0</v>
      </c>
      <c r="AA537">
        <f t="shared" si="208"/>
        <v>164.600006</v>
      </c>
      <c r="AB537">
        <f t="shared" si="209"/>
        <v>0</v>
      </c>
      <c r="AC537">
        <f t="shared" si="210"/>
        <v>0</v>
      </c>
    </row>
    <row r="538" spans="2:29">
      <c r="B538" s="5">
        <v>247</v>
      </c>
      <c r="C538" s="6">
        <v>108.672516</v>
      </c>
      <c r="D538" s="6">
        <v>164.949997</v>
      </c>
      <c r="E538">
        <v>0.45</v>
      </c>
      <c r="F538" s="5">
        <f t="shared" si="187"/>
        <v>114.245888791758</v>
      </c>
      <c r="G538">
        <f t="shared" si="188"/>
        <v>164.707399677643</v>
      </c>
      <c r="H538">
        <f t="shared" si="189"/>
        <v>0.0325932827280567</v>
      </c>
      <c r="I538">
        <f t="shared" si="190"/>
        <v>-1.69368327205745</v>
      </c>
      <c r="J538">
        <f t="shared" si="191"/>
        <v>114.278482074486</v>
      </c>
      <c r="K538">
        <f t="shared" si="192"/>
        <v>163.013716405586</v>
      </c>
      <c r="L538">
        <f t="shared" si="193"/>
        <v>0.00266110178574608</v>
      </c>
      <c r="M538">
        <f t="shared" si="194"/>
        <v>0.000137794524953384</v>
      </c>
      <c r="N538" s="47">
        <f t="shared" si="195"/>
        <v>0</v>
      </c>
      <c r="O538">
        <f t="shared" si="196"/>
        <v>0</v>
      </c>
      <c r="P538">
        <f t="shared" si="197"/>
        <v>0.00266110178574608</v>
      </c>
      <c r="Q538">
        <f t="shared" si="198"/>
        <v>0</v>
      </c>
      <c r="R538">
        <f t="shared" si="199"/>
        <v>0</v>
      </c>
      <c r="S538">
        <f t="shared" si="200"/>
        <v>0</v>
      </c>
      <c r="T538">
        <f t="shared" si="201"/>
        <v>0.000137794524953384</v>
      </c>
      <c r="U538" s="52">
        <f t="shared" si="202"/>
        <v>0</v>
      </c>
      <c r="V538">
        <f t="shared" si="203"/>
        <v>0</v>
      </c>
      <c r="W538">
        <f t="shared" si="204"/>
        <v>0</v>
      </c>
      <c r="X538">
        <f t="shared" si="205"/>
        <v>108.672516</v>
      </c>
      <c r="Y538">
        <f t="shared" si="206"/>
        <v>0</v>
      </c>
      <c r="Z538">
        <f t="shared" si="207"/>
        <v>0</v>
      </c>
      <c r="AA538">
        <f t="shared" si="208"/>
        <v>0</v>
      </c>
      <c r="AB538">
        <f t="shared" si="209"/>
        <v>164.949997</v>
      </c>
      <c r="AC538">
        <f t="shared" si="210"/>
        <v>0</v>
      </c>
    </row>
    <row r="539" spans="2:29">
      <c r="B539" s="5">
        <v>248</v>
      </c>
      <c r="C539" s="6">
        <v>108.582664</v>
      </c>
      <c r="D539" s="6">
        <v>173.610001</v>
      </c>
      <c r="E539">
        <v>0.85</v>
      </c>
      <c r="F539" s="5">
        <f t="shared" si="187"/>
        <v>111.180533756291</v>
      </c>
      <c r="G539">
        <f t="shared" si="188"/>
        <v>164.840828204939</v>
      </c>
      <c r="H539">
        <f t="shared" si="189"/>
        <v>-2.6006627877377</v>
      </c>
      <c r="I539">
        <f t="shared" si="190"/>
        <v>-0.140638242606808</v>
      </c>
      <c r="J539">
        <f t="shared" si="191"/>
        <v>108.579870968553</v>
      </c>
      <c r="K539">
        <f t="shared" si="192"/>
        <v>164.700189962333</v>
      </c>
      <c r="L539">
        <f t="shared" si="193"/>
        <v>6.61653578546305e-10</v>
      </c>
      <c r="M539">
        <f t="shared" si="194"/>
        <v>0.00263382859107787</v>
      </c>
      <c r="N539" s="47">
        <f t="shared" si="195"/>
        <v>0</v>
      </c>
      <c r="O539">
        <f t="shared" si="196"/>
        <v>0</v>
      </c>
      <c r="P539">
        <f t="shared" si="197"/>
        <v>0</v>
      </c>
      <c r="Q539">
        <f t="shared" si="198"/>
        <v>6.61653578546305e-10</v>
      </c>
      <c r="R539">
        <f t="shared" si="199"/>
        <v>0</v>
      </c>
      <c r="S539">
        <f t="shared" si="200"/>
        <v>0</v>
      </c>
      <c r="T539">
        <f t="shared" si="201"/>
        <v>0</v>
      </c>
      <c r="U539" s="52">
        <f t="shared" si="202"/>
        <v>0.00263382859107787</v>
      </c>
      <c r="V539">
        <f t="shared" si="203"/>
        <v>0</v>
      </c>
      <c r="W539">
        <f t="shared" si="204"/>
        <v>0</v>
      </c>
      <c r="X539">
        <f t="shared" si="205"/>
        <v>0</v>
      </c>
      <c r="Y539">
        <f t="shared" si="206"/>
        <v>108.582664</v>
      </c>
      <c r="Z539">
        <f t="shared" si="207"/>
        <v>0</v>
      </c>
      <c r="AA539">
        <f t="shared" si="208"/>
        <v>0</v>
      </c>
      <c r="AB539">
        <f t="shared" si="209"/>
        <v>0</v>
      </c>
      <c r="AC539">
        <f t="shared" si="210"/>
        <v>173.610001</v>
      </c>
    </row>
    <row r="540" spans="2:29">
      <c r="B540" s="5">
        <v>249</v>
      </c>
      <c r="C540" s="6">
        <v>110.249794</v>
      </c>
      <c r="D540" s="6">
        <v>179.210007</v>
      </c>
      <c r="E540">
        <v>0.15</v>
      </c>
      <c r="F540" s="5">
        <f t="shared" si="187"/>
        <v>109.751705390331</v>
      </c>
      <c r="G540">
        <f t="shared" si="188"/>
        <v>169.663873242223</v>
      </c>
      <c r="H540">
        <f t="shared" si="189"/>
        <v>-2.42488762447106</v>
      </c>
      <c r="I540">
        <f t="shared" si="190"/>
        <v>0.603914249376707</v>
      </c>
      <c r="J540">
        <f t="shared" si="191"/>
        <v>107.32681776586</v>
      </c>
      <c r="K540">
        <f t="shared" si="192"/>
        <v>170.267787491599</v>
      </c>
      <c r="L540">
        <f t="shared" si="193"/>
        <v>0.000702902349802904</v>
      </c>
      <c r="M540">
        <f t="shared" si="194"/>
        <v>0.00248980961275694</v>
      </c>
      <c r="N540" s="47">
        <f t="shared" si="195"/>
        <v>0.000702902349802904</v>
      </c>
      <c r="O540">
        <f t="shared" si="196"/>
        <v>0</v>
      </c>
      <c r="P540">
        <f t="shared" si="197"/>
        <v>0</v>
      </c>
      <c r="Q540">
        <f t="shared" si="198"/>
        <v>0</v>
      </c>
      <c r="R540">
        <f t="shared" si="199"/>
        <v>0.00248980961275694</v>
      </c>
      <c r="S540">
        <f t="shared" si="200"/>
        <v>0</v>
      </c>
      <c r="T540">
        <f t="shared" si="201"/>
        <v>0</v>
      </c>
      <c r="U540" s="52">
        <f t="shared" si="202"/>
        <v>0</v>
      </c>
      <c r="V540">
        <f t="shared" si="203"/>
        <v>110.249794</v>
      </c>
      <c r="W540">
        <f t="shared" si="204"/>
        <v>0</v>
      </c>
      <c r="X540">
        <f t="shared" si="205"/>
        <v>0</v>
      </c>
      <c r="Y540">
        <f t="shared" si="206"/>
        <v>0</v>
      </c>
      <c r="Z540">
        <f t="shared" si="207"/>
        <v>179.210007</v>
      </c>
      <c r="AA540">
        <f t="shared" si="208"/>
        <v>0</v>
      </c>
      <c r="AB540">
        <f t="shared" si="209"/>
        <v>0</v>
      </c>
      <c r="AC540">
        <f t="shared" si="210"/>
        <v>0</v>
      </c>
    </row>
    <row r="541" spans="2:29">
      <c r="B541" s="5">
        <v>250</v>
      </c>
      <c r="C541" s="6">
        <v>114.752022</v>
      </c>
      <c r="D541" s="6">
        <v>178.910004</v>
      </c>
      <c r="E541">
        <v>0.25</v>
      </c>
      <c r="F541" s="5">
        <f t="shared" si="187"/>
        <v>110.025654125649</v>
      </c>
      <c r="G541">
        <f t="shared" si="188"/>
        <v>174.914246809</v>
      </c>
      <c r="H541">
        <f t="shared" si="189"/>
        <v>-1.75017853452382</v>
      </c>
      <c r="I541">
        <f t="shared" si="190"/>
        <v>1.7655290787269</v>
      </c>
      <c r="J541">
        <f t="shared" si="191"/>
        <v>108.275475591125</v>
      </c>
      <c r="K541">
        <f t="shared" si="192"/>
        <v>176.679775887727</v>
      </c>
      <c r="L541">
        <f t="shared" si="193"/>
        <v>0.00318541682895315</v>
      </c>
      <c r="M541">
        <f t="shared" si="194"/>
        <v>0.000155392237744934</v>
      </c>
      <c r="N541" s="47">
        <f t="shared" si="195"/>
        <v>0</v>
      </c>
      <c r="O541">
        <f t="shared" si="196"/>
        <v>0.00318541682895315</v>
      </c>
      <c r="P541">
        <f t="shared" si="197"/>
        <v>0</v>
      </c>
      <c r="Q541">
        <f t="shared" si="198"/>
        <v>0</v>
      </c>
      <c r="R541">
        <f t="shared" si="199"/>
        <v>0</v>
      </c>
      <c r="S541">
        <f t="shared" si="200"/>
        <v>0.000155392237744934</v>
      </c>
      <c r="T541">
        <f t="shared" si="201"/>
        <v>0</v>
      </c>
      <c r="U541" s="52">
        <f t="shared" si="202"/>
        <v>0</v>
      </c>
      <c r="V541">
        <f t="shared" si="203"/>
        <v>0</v>
      </c>
      <c r="W541">
        <f t="shared" si="204"/>
        <v>114.752022</v>
      </c>
      <c r="X541">
        <f t="shared" si="205"/>
        <v>0</v>
      </c>
      <c r="Y541">
        <f t="shared" si="206"/>
        <v>0</v>
      </c>
      <c r="Z541">
        <f t="shared" si="207"/>
        <v>0</v>
      </c>
      <c r="AA541">
        <f t="shared" si="208"/>
        <v>178.910004</v>
      </c>
      <c r="AB541">
        <f t="shared" si="209"/>
        <v>0</v>
      </c>
      <c r="AC541">
        <f t="shared" si="210"/>
        <v>0</v>
      </c>
    </row>
    <row r="542" spans="2:29">
      <c r="B542" s="5">
        <v>251</v>
      </c>
      <c r="C542" s="6">
        <v>118.824997</v>
      </c>
      <c r="D542" s="6">
        <v>183.279999</v>
      </c>
      <c r="E542">
        <v>0.45</v>
      </c>
      <c r="F542" s="5">
        <f t="shared" si="187"/>
        <v>112.625156456542</v>
      </c>
      <c r="G542">
        <f t="shared" si="188"/>
        <v>177.11191326405</v>
      </c>
      <c r="H542">
        <f t="shared" si="189"/>
        <v>0.207177854913785</v>
      </c>
      <c r="I542">
        <f t="shared" si="190"/>
        <v>1.95999089807224</v>
      </c>
      <c r="J542">
        <f t="shared" si="191"/>
        <v>112.832334311456</v>
      </c>
      <c r="K542">
        <f t="shared" si="192"/>
        <v>179.071904162122</v>
      </c>
      <c r="L542">
        <f t="shared" si="193"/>
        <v>0.00254345490541133</v>
      </c>
      <c r="M542">
        <f t="shared" si="194"/>
        <v>0.00052715810760979</v>
      </c>
      <c r="N542" s="47">
        <f t="shared" si="195"/>
        <v>0</v>
      </c>
      <c r="O542">
        <f t="shared" si="196"/>
        <v>0</v>
      </c>
      <c r="P542">
        <f t="shared" si="197"/>
        <v>0.00254345490541133</v>
      </c>
      <c r="Q542">
        <f t="shared" si="198"/>
        <v>0</v>
      </c>
      <c r="R542">
        <f t="shared" si="199"/>
        <v>0</v>
      </c>
      <c r="S542">
        <f t="shared" si="200"/>
        <v>0</v>
      </c>
      <c r="T542">
        <f t="shared" si="201"/>
        <v>0.00052715810760979</v>
      </c>
      <c r="U542" s="52">
        <f t="shared" si="202"/>
        <v>0</v>
      </c>
      <c r="V542">
        <f t="shared" si="203"/>
        <v>0</v>
      </c>
      <c r="W542">
        <f t="shared" si="204"/>
        <v>0</v>
      </c>
      <c r="X542">
        <f t="shared" si="205"/>
        <v>118.824997</v>
      </c>
      <c r="Y542">
        <f t="shared" si="206"/>
        <v>0</v>
      </c>
      <c r="Z542">
        <f t="shared" si="207"/>
        <v>0</v>
      </c>
      <c r="AA542">
        <f t="shared" si="208"/>
        <v>0</v>
      </c>
      <c r="AB542">
        <f t="shared" si="209"/>
        <v>183.279999</v>
      </c>
      <c r="AC542">
        <f t="shared" si="210"/>
        <v>0</v>
      </c>
    </row>
    <row r="543" spans="2:29">
      <c r="B543" s="5">
        <v>252</v>
      </c>
      <c r="C543" s="6">
        <v>118.690002</v>
      </c>
      <c r="D543" s="6">
        <v>184.270004</v>
      </c>
      <c r="E543">
        <v>0.85</v>
      </c>
      <c r="F543" s="5">
        <f t="shared" si="187"/>
        <v>116.035068755444</v>
      </c>
      <c r="G543">
        <f t="shared" si="188"/>
        <v>180.504360418823</v>
      </c>
      <c r="H543">
        <f t="shared" si="189"/>
        <v>2.92950213230367</v>
      </c>
      <c r="I543">
        <f t="shared" si="190"/>
        <v>3.17757871626743</v>
      </c>
      <c r="J543">
        <f t="shared" si="191"/>
        <v>118.964570887748</v>
      </c>
      <c r="K543">
        <f t="shared" si="192"/>
        <v>183.68193913509</v>
      </c>
      <c r="L543">
        <f t="shared" si="193"/>
        <v>5.35148576514602e-6</v>
      </c>
      <c r="M543">
        <f t="shared" si="194"/>
        <v>1.01845342789895e-5</v>
      </c>
      <c r="N543" s="47">
        <f t="shared" si="195"/>
        <v>0</v>
      </c>
      <c r="O543">
        <f t="shared" si="196"/>
        <v>0</v>
      </c>
      <c r="P543">
        <f t="shared" si="197"/>
        <v>0</v>
      </c>
      <c r="Q543">
        <f t="shared" si="198"/>
        <v>5.35148576514602e-6</v>
      </c>
      <c r="R543">
        <f t="shared" si="199"/>
        <v>0</v>
      </c>
      <c r="S543">
        <f t="shared" si="200"/>
        <v>0</v>
      </c>
      <c r="T543">
        <f t="shared" si="201"/>
        <v>0</v>
      </c>
      <c r="U543" s="52">
        <f t="shared" si="202"/>
        <v>1.01845342789895e-5</v>
      </c>
      <c r="V543">
        <f t="shared" si="203"/>
        <v>0</v>
      </c>
      <c r="W543">
        <f t="shared" si="204"/>
        <v>0</v>
      </c>
      <c r="X543">
        <f t="shared" si="205"/>
        <v>0</v>
      </c>
      <c r="Y543">
        <f t="shared" si="206"/>
        <v>118.690002</v>
      </c>
      <c r="Z543">
        <f t="shared" si="207"/>
        <v>0</v>
      </c>
      <c r="AA543">
        <f t="shared" si="208"/>
        <v>0</v>
      </c>
      <c r="AB543">
        <f t="shared" si="209"/>
        <v>0</v>
      </c>
      <c r="AC543">
        <f t="shared" si="210"/>
        <v>184.270004</v>
      </c>
    </row>
    <row r="544" ht="16.35"/>
    <row r="545" ht="17.1" spans="3:8">
      <c r="C545" s="5"/>
      <c r="E545" s="39" t="s">
        <v>21</v>
      </c>
      <c r="F545" s="40" t="s">
        <v>44</v>
      </c>
      <c r="G545" s="40">
        <f>(SUM(L292:L543)/(COUNT(C292:C543))*100)</f>
        <v>0.0869069367985798</v>
      </c>
      <c r="H545" s="57"/>
    </row>
    <row r="546" ht="17.1" spans="5:8">
      <c r="E546" s="54"/>
      <c r="F546" s="40" t="s">
        <v>45</v>
      </c>
      <c r="G546" s="40">
        <f>(SUM(M292:M543)/(COUNT(D292:D543))*100)</f>
        <v>0.0875905852707173</v>
      </c>
      <c r="H546" s="57"/>
    </row>
    <row r="547" ht="16.35" spans="5:5">
      <c r="E547" s="2"/>
    </row>
    <row r="548" ht="16.35"/>
    <row r="549" ht="17.1" spans="5:7">
      <c r="E549" s="55" t="s">
        <v>46</v>
      </c>
      <c r="F549" s="40" t="s">
        <v>44</v>
      </c>
      <c r="G549" s="40">
        <f>(SUM(N292:N543)/(COUNT(V292:V543))*100)</f>
        <v>0.0277623132340448</v>
      </c>
    </row>
    <row r="550" ht="17.1" spans="5:7">
      <c r="E550" s="56"/>
      <c r="F550" s="40" t="s">
        <v>45</v>
      </c>
      <c r="G550" s="40">
        <f>(SUM(R292:R543)/(COUNT(Z292:Z543))*100)</f>
        <v>0.0319317077942884</v>
      </c>
    </row>
    <row r="551" ht="17.1"/>
    <row r="552" ht="17.1" spans="3:7">
      <c r="C552" s="58" t="s">
        <v>19</v>
      </c>
      <c r="E552" s="55" t="s">
        <v>47</v>
      </c>
      <c r="F552" s="40" t="s">
        <v>44</v>
      </c>
      <c r="G552" s="40">
        <f>(SUM(O292:O543)/(COUNT(W292:W543))*100)</f>
        <v>0.0191570109173788</v>
      </c>
    </row>
    <row r="553" ht="17.1" spans="5:7">
      <c r="E553" s="56"/>
      <c r="F553" s="40" t="s">
        <v>45</v>
      </c>
      <c r="G553" s="40">
        <f>(SUM(S292:S543)/(COUNT(AA292:AA543))*100)</f>
        <v>0.0201280946232885</v>
      </c>
    </row>
    <row r="554" ht="17.1"/>
    <row r="555" ht="17.1" spans="5:7">
      <c r="E555" s="55" t="s">
        <v>48</v>
      </c>
      <c r="F555" s="40" t="s">
        <v>44</v>
      </c>
      <c r="G555" s="40">
        <f>(SUM(P292:P543)/(COUNT(X292:X543))*100)</f>
        <v>0.0299264914590177</v>
      </c>
    </row>
    <row r="556" ht="17.1" spans="5:7">
      <c r="E556" s="56"/>
      <c r="F556" s="40" t="s">
        <v>45</v>
      </c>
      <c r="G556" s="40">
        <f>(SUM(T292:T543)/(COUNT(AB292:AB543))*100)</f>
        <v>0.0198530898874363</v>
      </c>
    </row>
    <row r="557" ht="17.1"/>
    <row r="558" ht="17.1" spans="5:7">
      <c r="E558" s="55" t="s">
        <v>49</v>
      </c>
      <c r="F558" s="40" t="s">
        <v>44</v>
      </c>
      <c r="G558" s="40">
        <f>(SUM(Q292:Q543)/(COUNT(Y292:Y543))*100)</f>
        <v>0.0100611211881386</v>
      </c>
    </row>
    <row r="559" ht="17.1" spans="5:7">
      <c r="E559" s="56"/>
      <c r="F559" s="40" t="s">
        <v>45</v>
      </c>
      <c r="G559" s="40">
        <f>(SUM(U292:U543)/(COUNT(AC292:AC543))*100)</f>
        <v>0.0156776929657041</v>
      </c>
    </row>
    <row r="560" ht="16.35"/>
  </sheetData>
  <mergeCells count="22">
    <mergeCell ref="N17:U17"/>
    <mergeCell ref="V17:AC17"/>
    <mergeCell ref="N18:Q18"/>
    <mergeCell ref="R18:U18"/>
    <mergeCell ref="V18:Y18"/>
    <mergeCell ref="Z18:AC18"/>
    <mergeCell ref="N289:U289"/>
    <mergeCell ref="V289:AC289"/>
    <mergeCell ref="N290:Q290"/>
    <mergeCell ref="R290:U290"/>
    <mergeCell ref="V290:Y290"/>
    <mergeCell ref="Z290:AC290"/>
    <mergeCell ref="E274:E275"/>
    <mergeCell ref="E278:E279"/>
    <mergeCell ref="E281:E282"/>
    <mergeCell ref="E284:E285"/>
    <mergeCell ref="E287:E288"/>
    <mergeCell ref="E545:E546"/>
    <mergeCell ref="E549:E550"/>
    <mergeCell ref="E552:E553"/>
    <mergeCell ref="E555:E556"/>
    <mergeCell ref="E558:E559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399975585192419"/>
  </sheetPr>
  <dimension ref="A2:J274"/>
  <sheetViews>
    <sheetView topLeftCell="E1" workbookViewId="0">
      <selection activeCell="F268" sqref="F268"/>
    </sheetView>
  </sheetViews>
  <sheetFormatPr defaultColWidth="11" defaultRowHeight="15.6"/>
  <cols>
    <col min="5" max="5" width="27.375" customWidth="1"/>
    <col min="6" max="6" width="25.625" customWidth="1"/>
    <col min="8" max="8" width="15" customWidth="1"/>
    <col min="9" max="9" width="22" customWidth="1"/>
    <col min="10" max="10" width="19" customWidth="1"/>
  </cols>
  <sheetData>
    <row r="2" spans="1:1">
      <c r="A2" t="s">
        <v>6</v>
      </c>
    </row>
    <row r="3" spans="2:10">
      <c r="B3" s="5" t="s">
        <v>1</v>
      </c>
      <c r="C3" t="s">
        <v>29</v>
      </c>
      <c r="D3" t="s">
        <v>30</v>
      </c>
      <c r="E3" t="s">
        <v>50</v>
      </c>
      <c r="F3" t="s">
        <v>51</v>
      </c>
      <c r="I3" t="s">
        <v>38</v>
      </c>
      <c r="J3" t="s">
        <v>39</v>
      </c>
    </row>
    <row r="4" spans="2:4">
      <c r="B4" s="5">
        <v>1</v>
      </c>
      <c r="C4" s="6">
        <v>63.954544</v>
      </c>
      <c r="D4" s="6">
        <v>177.029373</v>
      </c>
    </row>
    <row r="5" spans="2:4">
      <c r="B5" s="5">
        <v>2</v>
      </c>
      <c r="C5" s="6">
        <v>64.460991</v>
      </c>
      <c r="D5" s="6">
        <v>176.658142</v>
      </c>
    </row>
    <row r="6" spans="2:4">
      <c r="B6" s="5">
        <v>3</v>
      </c>
      <c r="C6" s="6">
        <v>64.401978</v>
      </c>
      <c r="D6" s="6">
        <v>177.810913</v>
      </c>
    </row>
    <row r="7" spans="2:10">
      <c r="B7" s="5">
        <v>4</v>
      </c>
      <c r="C7" s="6">
        <v>65.019051</v>
      </c>
      <c r="D7" s="6">
        <v>177.752319</v>
      </c>
      <c r="E7" s="5">
        <f>(SUM((0.2*C4),(0.3*C5),(0.5*C6)))</f>
        <v>64.3301951</v>
      </c>
      <c r="F7" s="5">
        <f>(SUM((0.2*D4),(0.3*D5),(0.5*D6)))</f>
        <v>177.3087737</v>
      </c>
      <c r="I7" s="5">
        <f>POWER(ABS((C7-E7)/C7),2)</f>
        <v>0.000112247198922009</v>
      </c>
      <c r="J7" s="5">
        <f>POWER(ABS((D7-F7)/D7),2)</f>
        <v>6.2265203604894e-6</v>
      </c>
    </row>
    <row r="8" spans="2:10">
      <c r="B8" s="5">
        <v>5</v>
      </c>
      <c r="C8" s="6">
        <v>64.56916</v>
      </c>
      <c r="D8" s="6">
        <v>176.377808</v>
      </c>
      <c r="E8" s="5">
        <f t="shared" ref="E8:F8" si="0">(SUM((0.2*C5),(0.3*C6),(0.5*C7)))</f>
        <v>64.7223171</v>
      </c>
      <c r="F8" s="5">
        <f t="shared" si="0"/>
        <v>177.5510618</v>
      </c>
      <c r="I8" s="5">
        <f t="shared" ref="I8:I71" si="1">POWER(ABS((C8-E8)/C8),2)</f>
        <v>5.62631438439761e-6</v>
      </c>
      <c r="J8" s="5">
        <f t="shared" ref="J8:J71" si="2">POWER(ABS((D8-F8)/D8),2)</f>
        <v>4.42482457115603e-5</v>
      </c>
    </row>
    <row r="9" spans="2:10">
      <c r="B9" s="5">
        <v>6</v>
      </c>
      <c r="C9" s="6">
        <v>65.336212</v>
      </c>
      <c r="D9" s="6">
        <v>178.43956</v>
      </c>
      <c r="E9" s="5">
        <f t="shared" ref="E9:F9" si="3">(SUM((0.2*C6),(0.3*C7),(0.5*C8)))</f>
        <v>64.6706909</v>
      </c>
      <c r="F9" s="5">
        <f t="shared" si="3"/>
        <v>177.0767823</v>
      </c>
      <c r="I9" s="5">
        <f t="shared" si="1"/>
        <v>0.000103756605442709</v>
      </c>
      <c r="J9" s="5">
        <f t="shared" si="2"/>
        <v>5.83267461468614e-5</v>
      </c>
    </row>
    <row r="10" spans="2:10">
      <c r="B10" s="5">
        <v>7</v>
      </c>
      <c r="C10" s="6">
        <v>65.665634</v>
      </c>
      <c r="D10" s="6">
        <v>176.52507</v>
      </c>
      <c r="E10" s="5">
        <f t="shared" ref="E10:F10" si="4">(SUM((0.2*C7),(0.3*C8),(0.5*C9)))</f>
        <v>65.0426642</v>
      </c>
      <c r="F10" s="5">
        <f t="shared" si="4"/>
        <v>177.6835862</v>
      </c>
      <c r="I10" s="5">
        <f t="shared" si="1"/>
        <v>9.00031488435152e-5</v>
      </c>
      <c r="J10" s="5">
        <f t="shared" si="2"/>
        <v>4.30716428843151e-5</v>
      </c>
    </row>
    <row r="11" spans="2:10">
      <c r="B11" s="5">
        <v>8</v>
      </c>
      <c r="C11" s="6">
        <v>65.466507</v>
      </c>
      <c r="D11" s="6">
        <v>176.839249</v>
      </c>
      <c r="E11" s="5">
        <f t="shared" ref="E11:F11" si="5">(SUM((0.2*C8),(0.3*C9),(0.5*C10)))</f>
        <v>65.3475126</v>
      </c>
      <c r="F11" s="5">
        <f t="shared" si="5"/>
        <v>177.0699646</v>
      </c>
      <c r="I11" s="5">
        <f t="shared" si="1"/>
        <v>3.30380729653185e-6</v>
      </c>
      <c r="J11" s="5">
        <f t="shared" si="2"/>
        <v>1.70214517294266e-6</v>
      </c>
    </row>
    <row r="12" spans="2:10">
      <c r="B12" s="5">
        <v>9</v>
      </c>
      <c r="C12" s="6">
        <v>64.704376</v>
      </c>
      <c r="D12" s="6">
        <v>173.992081</v>
      </c>
      <c r="E12" s="5">
        <f t="shared" ref="E12:F12" si="6">(SUM((0.2*C9),(0.3*C10),(0.5*C11)))</f>
        <v>65.5001861</v>
      </c>
      <c r="F12" s="5">
        <f t="shared" si="6"/>
        <v>177.0650575</v>
      </c>
      <c r="I12" s="5">
        <f t="shared" si="1"/>
        <v>0.000151269575021767</v>
      </c>
      <c r="J12" s="5">
        <f t="shared" si="2"/>
        <v>0.000311931700855963</v>
      </c>
    </row>
    <row r="13" spans="2:10">
      <c r="B13" s="5">
        <v>10</v>
      </c>
      <c r="C13" s="6">
        <v>64.414268</v>
      </c>
      <c r="D13" s="6">
        <v>173.314636</v>
      </c>
      <c r="E13" s="5">
        <f t="shared" ref="E13:F13" si="7">(SUM((0.2*C10),(0.3*C11),(0.5*C12)))</f>
        <v>65.1252669</v>
      </c>
      <c r="F13" s="5">
        <f t="shared" si="7"/>
        <v>175.3528292</v>
      </c>
      <c r="I13" s="5">
        <f t="shared" si="1"/>
        <v>0.000121835459601424</v>
      </c>
      <c r="J13" s="5">
        <f t="shared" si="2"/>
        <v>0.000138299375139406</v>
      </c>
    </row>
    <row r="14" spans="2:10">
      <c r="B14" s="5">
        <v>11</v>
      </c>
      <c r="C14" s="6">
        <v>64.357727</v>
      </c>
      <c r="D14" s="6">
        <v>173.569901</v>
      </c>
      <c r="E14" s="5">
        <f t="shared" ref="E14:F14" si="8">(SUM((0.2*C11),(0.3*C12),(0.5*C13)))</f>
        <v>64.7117482</v>
      </c>
      <c r="F14" s="5">
        <f t="shared" si="8"/>
        <v>174.2227921</v>
      </c>
      <c r="I14" s="5">
        <f t="shared" si="1"/>
        <v>3.02591793377005e-5</v>
      </c>
      <c r="J14" s="5">
        <f t="shared" si="2"/>
        <v>1.41492254136161e-5</v>
      </c>
    </row>
    <row r="15" spans="2:10">
      <c r="B15" s="5">
        <v>12</v>
      </c>
      <c r="C15" s="6">
        <v>65.486168</v>
      </c>
      <c r="D15" s="6">
        <v>173.294998</v>
      </c>
      <c r="E15" s="5">
        <f t="shared" ref="E15:F15" si="9">(SUM((0.2*C12),(0.3*C13),(0.5*C14)))</f>
        <v>64.4440191</v>
      </c>
      <c r="F15" s="5">
        <f t="shared" si="9"/>
        <v>173.5777575</v>
      </c>
      <c r="I15" s="5">
        <f t="shared" si="1"/>
        <v>0.000253256378963881</v>
      </c>
      <c r="J15" s="5">
        <f t="shared" si="2"/>
        <v>2.66233287712432e-6</v>
      </c>
    </row>
    <row r="16" spans="2:10">
      <c r="B16" s="5">
        <v>13</v>
      </c>
      <c r="C16" s="6">
        <v>64.974815</v>
      </c>
      <c r="D16" s="6">
        <v>175.268387</v>
      </c>
      <c r="E16" s="5">
        <f t="shared" ref="E16:F16" si="10">(SUM((0.2*C13),(0.3*C14),(0.5*C15)))</f>
        <v>64.9332557</v>
      </c>
      <c r="F16" s="5">
        <f t="shared" si="10"/>
        <v>173.3813965</v>
      </c>
      <c r="I16" s="5">
        <f t="shared" si="1"/>
        <v>4.09115887068532e-7</v>
      </c>
      <c r="J16" s="5">
        <f t="shared" si="2"/>
        <v>0.000115913027112779</v>
      </c>
    </row>
    <row r="17" spans="2:10">
      <c r="B17" s="5">
        <v>14</v>
      </c>
      <c r="C17" s="6">
        <v>65.847565</v>
      </c>
      <c r="D17" s="6">
        <v>176.151993</v>
      </c>
      <c r="E17" s="5">
        <f t="shared" ref="E17:F17" si="11">(SUM((0.2*C14),(0.3*C15),(0.5*C16)))</f>
        <v>65.0048033</v>
      </c>
      <c r="F17" s="5">
        <f t="shared" si="11"/>
        <v>174.3366731</v>
      </c>
      <c r="I17" s="5">
        <f t="shared" si="1"/>
        <v>0.000163806126858241</v>
      </c>
      <c r="J17" s="5">
        <f t="shared" si="2"/>
        <v>0.000106201637885036</v>
      </c>
    </row>
    <row r="18" spans="2:10">
      <c r="B18" s="5">
        <v>15</v>
      </c>
      <c r="C18" s="6">
        <v>65.702515</v>
      </c>
      <c r="D18" s="6">
        <v>175.297852</v>
      </c>
      <c r="E18" s="5">
        <f t="shared" ref="E18:F18" si="12">(SUM((0.2*C15),(0.3*C16),(0.5*C17)))</f>
        <v>65.5134606</v>
      </c>
      <c r="F18" s="5">
        <f t="shared" si="12"/>
        <v>175.3155122</v>
      </c>
      <c r="I18" s="5">
        <f t="shared" si="1"/>
        <v>8.27960447906033e-6</v>
      </c>
      <c r="J18" s="5">
        <f t="shared" si="2"/>
        <v>1.014934571788e-8</v>
      </c>
    </row>
    <row r="19" spans="2:10">
      <c r="B19" s="5">
        <v>16</v>
      </c>
      <c r="C19" s="6">
        <v>64.942841</v>
      </c>
      <c r="D19" s="6">
        <v>171.144913</v>
      </c>
      <c r="E19" s="5">
        <f t="shared" ref="E19:F19" si="13">(SUM((0.2*C16),(0.3*C17),(0.5*C18)))</f>
        <v>65.60049</v>
      </c>
      <c r="F19" s="5">
        <f t="shared" si="13"/>
        <v>175.5482013</v>
      </c>
      <c r="I19" s="5">
        <f t="shared" si="1"/>
        <v>0.000102547661537145</v>
      </c>
      <c r="J19" s="5">
        <f t="shared" si="2"/>
        <v>0.000661951625002732</v>
      </c>
    </row>
    <row r="20" spans="2:10">
      <c r="B20" s="5">
        <v>17</v>
      </c>
      <c r="C20" s="6">
        <v>63.784916</v>
      </c>
      <c r="D20" s="6">
        <v>169.407135</v>
      </c>
      <c r="E20" s="5">
        <f t="shared" ref="E20:F20" si="14">(SUM((0.2*C17),(0.3*C18),(0.5*C19)))</f>
        <v>65.351688</v>
      </c>
      <c r="F20" s="5">
        <f t="shared" si="14"/>
        <v>173.3922107</v>
      </c>
      <c r="I20" s="5">
        <f t="shared" si="1"/>
        <v>0.000603358766723904</v>
      </c>
      <c r="J20" s="5">
        <f t="shared" si="2"/>
        <v>0.00055336253943934</v>
      </c>
    </row>
    <row r="21" spans="2:10">
      <c r="B21" s="5">
        <v>18</v>
      </c>
      <c r="C21" s="6">
        <v>64.347893</v>
      </c>
      <c r="D21" s="6">
        <v>170.055115</v>
      </c>
      <c r="E21" s="5">
        <f t="shared" ref="E21:F21" si="15">(SUM((0.2*C18),(0.3*C19),(0.5*C20)))</f>
        <v>64.5158133</v>
      </c>
      <c r="F21" s="5">
        <f t="shared" si="15"/>
        <v>171.1066118</v>
      </c>
      <c r="I21" s="5">
        <f t="shared" si="1"/>
        <v>6.80985305951584e-6</v>
      </c>
      <c r="J21" s="5">
        <f t="shared" si="2"/>
        <v>3.82328358248424e-5</v>
      </c>
    </row>
    <row r="22" spans="2:10">
      <c r="B22" s="5">
        <v>19</v>
      </c>
      <c r="C22" s="6">
        <v>65.291946</v>
      </c>
      <c r="D22" s="6">
        <v>170.84053</v>
      </c>
      <c r="E22" s="5">
        <f t="shared" ref="E22:F22" si="16">(SUM((0.2*C19),(0.3*C20),(0.5*C21)))</f>
        <v>64.2979895</v>
      </c>
      <c r="F22" s="5">
        <f t="shared" si="16"/>
        <v>170.0786806</v>
      </c>
      <c r="I22" s="5">
        <f t="shared" si="1"/>
        <v>0.000231747752343167</v>
      </c>
      <c r="J22" s="5">
        <f t="shared" si="2"/>
        <v>1.98864123123687e-5</v>
      </c>
    </row>
    <row r="23" spans="2:10">
      <c r="B23" s="5">
        <v>20</v>
      </c>
      <c r="C23" s="6">
        <v>66.553131</v>
      </c>
      <c r="D23" s="6">
        <v>172.264145</v>
      </c>
      <c r="E23" s="5">
        <f t="shared" ref="E23:F23" si="17">(SUM((0.2*C20),(0.3*C21),(0.5*C22)))</f>
        <v>64.7073241</v>
      </c>
      <c r="F23" s="5">
        <f t="shared" si="17"/>
        <v>170.3182265</v>
      </c>
      <c r="I23" s="5">
        <f t="shared" si="1"/>
        <v>0.00076919339585623</v>
      </c>
      <c r="J23" s="5">
        <f t="shared" si="2"/>
        <v>0.000127602595435213</v>
      </c>
    </row>
    <row r="24" spans="2:10">
      <c r="B24" s="5">
        <v>21</v>
      </c>
      <c r="C24" s="6">
        <v>65.621384</v>
      </c>
      <c r="D24" s="6">
        <v>171.311798</v>
      </c>
      <c r="E24" s="5">
        <f t="shared" ref="E24:F24" si="18">(SUM((0.2*C21),(0.3*C22),(0.5*C23)))</f>
        <v>65.7337279</v>
      </c>
      <c r="F24" s="5">
        <f t="shared" si="18"/>
        <v>171.3952545</v>
      </c>
      <c r="I24" s="5">
        <f t="shared" si="1"/>
        <v>2.93094872692074e-6</v>
      </c>
      <c r="J24" s="5">
        <f t="shared" si="2"/>
        <v>2.37326256095423e-7</v>
      </c>
    </row>
    <row r="25" spans="2:10">
      <c r="B25" s="5">
        <v>22</v>
      </c>
      <c r="C25" s="6">
        <v>66.004898</v>
      </c>
      <c r="D25" s="6">
        <v>170.86998</v>
      </c>
      <c r="E25" s="5">
        <f t="shared" ref="E25:F25" si="19">(SUM((0.2*C22),(0.3*C23),(0.5*C24)))</f>
        <v>65.8350205</v>
      </c>
      <c r="F25" s="5">
        <f t="shared" si="19"/>
        <v>171.5032485</v>
      </c>
      <c r="I25" s="5">
        <f t="shared" si="1"/>
        <v>6.6239858131418e-6</v>
      </c>
      <c r="J25" s="5">
        <f t="shared" si="2"/>
        <v>1.37354924536189e-5</v>
      </c>
    </row>
    <row r="26" spans="2:10">
      <c r="B26" s="5">
        <v>23</v>
      </c>
      <c r="C26" s="6">
        <v>66.567886</v>
      </c>
      <c r="D26" s="6">
        <v>172.804092</v>
      </c>
      <c r="E26" s="5">
        <f t="shared" ref="E26:F26" si="20">(SUM((0.2*C23),(0.3*C24),(0.5*C25)))</f>
        <v>65.9994904</v>
      </c>
      <c r="F26" s="5">
        <f t="shared" si="20"/>
        <v>171.2813584</v>
      </c>
      <c r="I26" s="5">
        <f t="shared" si="1"/>
        <v>7.29074458899448e-5</v>
      </c>
      <c r="J26" s="5">
        <f t="shared" si="2"/>
        <v>7.76497062083047e-5</v>
      </c>
    </row>
    <row r="27" spans="2:10">
      <c r="B27" s="5">
        <v>24</v>
      </c>
      <c r="C27" s="6">
        <v>66.737518</v>
      </c>
      <c r="D27" s="6">
        <v>174.158981</v>
      </c>
      <c r="E27" s="5">
        <f t="shared" ref="E27:F27" si="21">(SUM((0.2*C24),(0.3*C25),(0.5*C26)))</f>
        <v>66.2096892</v>
      </c>
      <c r="F27" s="5">
        <f t="shared" si="21"/>
        <v>171.9253996</v>
      </c>
      <c r="I27" s="5">
        <f t="shared" si="1"/>
        <v>6.25527005554553e-5</v>
      </c>
      <c r="J27" s="5">
        <f t="shared" si="2"/>
        <v>0.000164479515794153</v>
      </c>
    </row>
    <row r="28" spans="2:10">
      <c r="B28" s="5">
        <v>25</v>
      </c>
      <c r="C28" s="6">
        <v>67.644707</v>
      </c>
      <c r="D28" s="6">
        <v>173.756439</v>
      </c>
      <c r="E28" s="5">
        <f t="shared" ref="E28:F28" si="22">(SUM((0.2*C25),(0.3*C26),(0.5*C27)))</f>
        <v>66.5401044</v>
      </c>
      <c r="F28" s="5">
        <f t="shared" si="22"/>
        <v>173.0947141</v>
      </c>
      <c r="I28" s="5">
        <f t="shared" si="1"/>
        <v>0.000266651777027905</v>
      </c>
      <c r="J28" s="5">
        <f t="shared" si="2"/>
        <v>1.4503510677488e-5</v>
      </c>
    </row>
    <row r="29" spans="2:10">
      <c r="B29" s="5">
        <v>26</v>
      </c>
      <c r="C29" s="6">
        <v>68.802635</v>
      </c>
      <c r="D29" s="6">
        <v>173.186996</v>
      </c>
      <c r="E29" s="5">
        <f t="shared" ref="E29:F29" si="23">(SUM((0.2*C26),(0.3*C27),(0.5*C28)))</f>
        <v>67.1571861</v>
      </c>
      <c r="F29" s="5">
        <f t="shared" si="23"/>
        <v>173.6867322</v>
      </c>
      <c r="I29" s="5">
        <f t="shared" si="1"/>
        <v>0.000571950780598005</v>
      </c>
      <c r="J29" s="5">
        <f t="shared" si="2"/>
        <v>8.32628096274181e-6</v>
      </c>
    </row>
    <row r="30" spans="2:10">
      <c r="B30" s="5">
        <v>27</v>
      </c>
      <c r="C30" s="6">
        <v>68.937851</v>
      </c>
      <c r="D30" s="6">
        <v>173.481537</v>
      </c>
      <c r="E30" s="5">
        <f t="shared" ref="E30:F30" si="24">(SUM((0.2*C27),(0.3*C28),(0.5*C29)))</f>
        <v>68.0422332</v>
      </c>
      <c r="F30" s="5">
        <f t="shared" si="24"/>
        <v>173.5522259</v>
      </c>
      <c r="I30" s="5">
        <f t="shared" si="1"/>
        <v>0.000168783485355525</v>
      </c>
      <c r="J30" s="5">
        <f t="shared" si="2"/>
        <v>1.66033577139731e-7</v>
      </c>
    </row>
    <row r="31" spans="2:10">
      <c r="B31" s="5">
        <v>28</v>
      </c>
      <c r="C31" s="6">
        <v>68.773132</v>
      </c>
      <c r="D31" s="6">
        <v>171.459061</v>
      </c>
      <c r="E31" s="5">
        <f t="shared" ref="E31:F31" si="25">(SUM((0.2*C28),(0.3*C29),(0.5*C30)))</f>
        <v>68.6386574</v>
      </c>
      <c r="F31" s="5">
        <f t="shared" si="25"/>
        <v>173.4481551</v>
      </c>
      <c r="I31" s="5">
        <f t="shared" si="1"/>
        <v>3.82333996283337e-6</v>
      </c>
      <c r="J31" s="5">
        <f t="shared" si="2"/>
        <v>0.000134582867209343</v>
      </c>
    </row>
    <row r="32" spans="2:10">
      <c r="B32" s="5">
        <v>29</v>
      </c>
      <c r="C32" s="6">
        <v>68.841965</v>
      </c>
      <c r="D32" s="6">
        <v>173.285187</v>
      </c>
      <c r="E32" s="5">
        <f t="shared" ref="E32:F32" si="26">(SUM((0.2*C29),(0.3*C30),(0.5*C31)))</f>
        <v>68.8284483</v>
      </c>
      <c r="F32" s="5">
        <f t="shared" si="26"/>
        <v>172.4113908</v>
      </c>
      <c r="I32" s="5">
        <f t="shared" si="1"/>
        <v>3.85509276846741e-8</v>
      </c>
      <c r="J32" s="5">
        <f t="shared" si="2"/>
        <v>2.54271347575716e-5</v>
      </c>
    </row>
    <row r="33" spans="2:10">
      <c r="B33" s="5">
        <v>30</v>
      </c>
      <c r="C33" s="6">
        <v>68.699387</v>
      </c>
      <c r="D33" s="6">
        <v>173.196823</v>
      </c>
      <c r="E33" s="5">
        <f t="shared" ref="E33:F33" si="27">(SUM((0.2*C30),(0.3*C31),(0.5*C32)))</f>
        <v>68.8404923</v>
      </c>
      <c r="F33" s="5">
        <f t="shared" si="27"/>
        <v>172.7766192</v>
      </c>
      <c r="I33" s="5">
        <f t="shared" si="1"/>
        <v>4.21872220706084e-6</v>
      </c>
      <c r="J33" s="5">
        <f t="shared" si="2"/>
        <v>5.88626904076533e-6</v>
      </c>
    </row>
    <row r="34" spans="2:10">
      <c r="B34" s="5">
        <v>31</v>
      </c>
      <c r="C34" s="6">
        <v>69.820442</v>
      </c>
      <c r="D34" s="6">
        <v>173.216461</v>
      </c>
      <c r="E34" s="5">
        <f t="shared" ref="E34:F34" si="28">(SUM((0.2*C31),(0.3*C32),(0.5*C33)))</f>
        <v>68.7569094</v>
      </c>
      <c r="F34" s="5">
        <f t="shared" si="28"/>
        <v>172.8757798</v>
      </c>
      <c r="I34" s="5">
        <f t="shared" si="1"/>
        <v>0.000232025878546306</v>
      </c>
      <c r="J34" s="5">
        <f t="shared" si="2"/>
        <v>3.86828099572998e-6</v>
      </c>
    </row>
    <row r="35" spans="2:10">
      <c r="B35" s="5">
        <v>32</v>
      </c>
      <c r="C35" s="6">
        <v>69.886818</v>
      </c>
      <c r="D35" s="6">
        <v>173.098648</v>
      </c>
      <c r="E35" s="5">
        <f t="shared" ref="E35:F35" si="29">(SUM((0.2*C32),(0.3*C33),(0.5*C34)))</f>
        <v>69.2884301</v>
      </c>
      <c r="F35" s="5">
        <f t="shared" si="29"/>
        <v>173.2243148</v>
      </c>
      <c r="I35" s="5">
        <f t="shared" si="1"/>
        <v>7.33120007283435e-5</v>
      </c>
      <c r="J35" s="5">
        <f t="shared" si="2"/>
        <v>5.27052358332976e-7</v>
      </c>
    </row>
    <row r="36" spans="2:10">
      <c r="B36" s="5">
        <v>33</v>
      </c>
      <c r="C36" s="6">
        <v>71.273392</v>
      </c>
      <c r="D36" s="6">
        <v>173.658264</v>
      </c>
      <c r="E36" s="5">
        <f t="shared" ref="E36:F36" si="30">(SUM((0.2*C33),(0.3*C34),(0.5*C35)))</f>
        <v>69.629419</v>
      </c>
      <c r="F36" s="5">
        <f t="shared" si="30"/>
        <v>173.1536269</v>
      </c>
      <c r="I36" s="5">
        <f t="shared" si="1"/>
        <v>0.000532028019489932</v>
      </c>
      <c r="J36" s="5">
        <f t="shared" si="2"/>
        <v>8.44437363933528e-6</v>
      </c>
    </row>
    <row r="37" spans="2:10">
      <c r="B37" s="5">
        <v>34</v>
      </c>
      <c r="C37" s="6">
        <v>71.246353</v>
      </c>
      <c r="D37" s="6">
        <v>173.265564</v>
      </c>
      <c r="E37" s="5">
        <f t="shared" ref="E37:F37" si="31">(SUM((0.2*C34),(0.3*C35),(0.5*C36)))</f>
        <v>70.5668298</v>
      </c>
      <c r="F37" s="5">
        <f t="shared" si="31"/>
        <v>173.4020186</v>
      </c>
      <c r="I37" s="5">
        <f t="shared" si="1"/>
        <v>9.09668803227774e-5</v>
      </c>
      <c r="J37" s="5">
        <f t="shared" si="2"/>
        <v>6.20228685153474e-7</v>
      </c>
    </row>
    <row r="38" spans="2:10">
      <c r="B38" s="5">
        <v>35</v>
      </c>
      <c r="C38" s="6">
        <v>71.669212</v>
      </c>
      <c r="D38" s="6">
        <v>173.206619</v>
      </c>
      <c r="E38" s="5">
        <f t="shared" ref="E38:F38" si="32">(SUM((0.2*C35),(0.3*C36),(0.5*C37)))</f>
        <v>70.9825577</v>
      </c>
      <c r="F38" s="5">
        <f t="shared" si="32"/>
        <v>173.3499908</v>
      </c>
      <c r="I38" s="5">
        <f t="shared" si="1"/>
        <v>9.17933097355855e-5</v>
      </c>
      <c r="J38" s="5">
        <f t="shared" si="2"/>
        <v>6.85170264390286e-7</v>
      </c>
    </row>
    <row r="39" spans="2:10">
      <c r="B39" s="5">
        <v>36</v>
      </c>
      <c r="C39" s="6">
        <v>72.192863</v>
      </c>
      <c r="D39" s="6">
        <v>173.776062</v>
      </c>
      <c r="E39" s="5">
        <f t="shared" ref="E39:F39" si="33">(SUM((0.2*C36),(0.3*C37),(0.5*C38)))</f>
        <v>71.4631903</v>
      </c>
      <c r="F39" s="5">
        <f t="shared" si="33"/>
        <v>173.3146315</v>
      </c>
      <c r="I39" s="5">
        <f t="shared" si="1"/>
        <v>0.000102156890496541</v>
      </c>
      <c r="J39" s="5">
        <f t="shared" si="2"/>
        <v>7.05070740412463e-6</v>
      </c>
    </row>
    <row r="40" spans="2:10">
      <c r="B40" s="5">
        <v>37</v>
      </c>
      <c r="C40" s="6">
        <v>73.840042</v>
      </c>
      <c r="D40" s="6">
        <v>177.49704</v>
      </c>
      <c r="E40" s="5">
        <f t="shared" ref="E40:F40" si="34">(SUM((0.2*C37),(0.3*C38),(0.5*C39)))</f>
        <v>71.8464657</v>
      </c>
      <c r="F40" s="5">
        <f t="shared" si="34"/>
        <v>173.5031295</v>
      </c>
      <c r="I40" s="5">
        <f t="shared" si="1"/>
        <v>0.000728923335807918</v>
      </c>
      <c r="J40" s="5">
        <f t="shared" si="2"/>
        <v>0.000506307577245034</v>
      </c>
    </row>
    <row r="41" spans="2:10">
      <c r="B41" s="5">
        <v>38</v>
      </c>
      <c r="C41" s="6">
        <v>73.122154</v>
      </c>
      <c r="D41" s="6">
        <v>175.602203</v>
      </c>
      <c r="E41" s="5">
        <f t="shared" ref="E41:F41" si="35">(SUM((0.2*C38),(0.3*C39),(0.5*C40)))</f>
        <v>72.9117223</v>
      </c>
      <c r="F41" s="5">
        <f t="shared" si="35"/>
        <v>175.5226624</v>
      </c>
      <c r="I41" s="5">
        <f t="shared" si="1"/>
        <v>8.28179307210499e-6</v>
      </c>
      <c r="J41" s="5">
        <f t="shared" si="2"/>
        <v>2.05171864612767e-7</v>
      </c>
    </row>
    <row r="42" spans="2:10">
      <c r="B42" s="5">
        <v>39</v>
      </c>
      <c r="C42" s="6">
        <v>73.704819</v>
      </c>
      <c r="D42" s="6">
        <v>174.276794</v>
      </c>
      <c r="E42" s="5">
        <f t="shared" ref="E42:F42" si="36">(SUM((0.2*C39),(0.3*C40),(0.5*C41)))</f>
        <v>73.1516622</v>
      </c>
      <c r="F42" s="5">
        <f t="shared" si="36"/>
        <v>175.8054259</v>
      </c>
      <c r="I42" s="5">
        <f t="shared" si="1"/>
        <v>5.63254594691593e-5</v>
      </c>
      <c r="J42" s="5">
        <f t="shared" si="2"/>
        <v>7.6935487955666e-5</v>
      </c>
    </row>
    <row r="43" spans="2:10">
      <c r="B43" s="5">
        <v>40</v>
      </c>
      <c r="C43" s="6">
        <v>73.358185</v>
      </c>
      <c r="D43" s="6">
        <v>174.374969</v>
      </c>
      <c r="E43" s="5">
        <f t="shared" ref="E43:F43" si="37">(SUM((0.2*C40),(0.3*C41),(0.5*C42)))</f>
        <v>73.5570641</v>
      </c>
      <c r="F43" s="5">
        <f t="shared" si="37"/>
        <v>175.3184659</v>
      </c>
      <c r="I43" s="5">
        <f t="shared" si="1"/>
        <v>7.34989503038576e-6</v>
      </c>
      <c r="J43" s="5">
        <f t="shared" si="2"/>
        <v>2.92760626798259e-5</v>
      </c>
    </row>
    <row r="44" spans="2:10">
      <c r="B44" s="5">
        <v>41</v>
      </c>
      <c r="C44" s="6">
        <v>74.538239</v>
      </c>
      <c r="D44" s="6">
        <v>174.522232</v>
      </c>
      <c r="E44" s="5">
        <f t="shared" ref="E44:F44" si="38">(SUM((0.2*C41),(0.3*C42),(0.5*C43)))</f>
        <v>73.414969</v>
      </c>
      <c r="F44" s="5">
        <f t="shared" si="38"/>
        <v>174.5909633</v>
      </c>
      <c r="I44" s="5">
        <f t="shared" si="1"/>
        <v>0.00022709630276875</v>
      </c>
      <c r="J44" s="5">
        <f t="shared" si="2"/>
        <v>1.55098500627317e-7</v>
      </c>
    </row>
    <row r="45" spans="2:10">
      <c r="B45" s="5">
        <v>42</v>
      </c>
      <c r="C45" s="6">
        <v>76.121498</v>
      </c>
      <c r="D45" s="6">
        <v>175.80838</v>
      </c>
      <c r="E45" s="5">
        <f t="shared" ref="E45:F45" si="39">(SUM((0.2*C42),(0.3*C43),(0.5*C44)))</f>
        <v>74.0175388</v>
      </c>
      <c r="F45" s="5">
        <f t="shared" si="39"/>
        <v>174.4289655</v>
      </c>
      <c r="I45" s="5">
        <f t="shared" si="1"/>
        <v>0.000763941274743763</v>
      </c>
      <c r="J45" s="5">
        <f t="shared" si="2"/>
        <v>6.15616752370989e-5</v>
      </c>
    </row>
    <row r="46" spans="2:10">
      <c r="B46" s="5">
        <v>43</v>
      </c>
      <c r="C46" s="6">
        <v>76.293579</v>
      </c>
      <c r="D46" s="6">
        <v>175.425461</v>
      </c>
      <c r="E46" s="5">
        <f t="shared" ref="E46:F46" si="40">(SUM((0.2*C43),(0.3*C44),(0.5*C45)))</f>
        <v>75.0938577</v>
      </c>
      <c r="F46" s="5">
        <f t="shared" si="40"/>
        <v>175.1358534</v>
      </c>
      <c r="I46" s="5">
        <f t="shared" si="1"/>
        <v>0.000247277591402366</v>
      </c>
      <c r="J46" s="5">
        <f t="shared" si="2"/>
        <v>2.72542764145125e-6</v>
      </c>
    </row>
    <row r="47" spans="2:10">
      <c r="B47" s="5">
        <v>44</v>
      </c>
      <c r="C47" s="6">
        <v>77.923538</v>
      </c>
      <c r="D47" s="6">
        <v>177.968292</v>
      </c>
      <c r="E47" s="5">
        <f t="shared" ref="E47:F47" si="41">(SUM((0.2*C44),(0.3*C45),(0.5*C46)))</f>
        <v>75.8908867</v>
      </c>
      <c r="F47" s="5">
        <f t="shared" si="41"/>
        <v>175.3596909</v>
      </c>
      <c r="I47" s="5">
        <f t="shared" si="1"/>
        <v>0.000680437810725253</v>
      </c>
      <c r="J47" s="5">
        <f t="shared" si="2"/>
        <v>0.000214847389551823</v>
      </c>
    </row>
    <row r="48" spans="2:10">
      <c r="B48" s="5">
        <v>45</v>
      </c>
      <c r="C48" s="6">
        <v>76.871323</v>
      </c>
      <c r="D48" s="6">
        <v>177.163223</v>
      </c>
      <c r="E48" s="5">
        <f t="shared" ref="E48:F48" si="42">(SUM((0.2*C45),(0.3*C46),(0.5*C47)))</f>
        <v>77.0741423</v>
      </c>
      <c r="F48" s="5">
        <f t="shared" si="42"/>
        <v>176.7734603</v>
      </c>
      <c r="I48" s="5">
        <f t="shared" si="1"/>
        <v>6.96129194572901e-6</v>
      </c>
      <c r="J48" s="5">
        <f t="shared" si="2"/>
        <v>4.84008964294715e-6</v>
      </c>
    </row>
    <row r="49" spans="2:10">
      <c r="B49" s="5">
        <v>46</v>
      </c>
      <c r="C49" s="6">
        <v>76.541885</v>
      </c>
      <c r="D49" s="6">
        <v>177.438126</v>
      </c>
      <c r="E49" s="5">
        <f t="shared" ref="E49:F49" si="43">(SUM((0.2*C46),(0.3*C47),(0.5*C48)))</f>
        <v>77.0714387</v>
      </c>
      <c r="F49" s="5">
        <f t="shared" si="43"/>
        <v>177.0571913</v>
      </c>
      <c r="I49" s="5">
        <f t="shared" si="1"/>
        <v>4.78654015689923e-5</v>
      </c>
      <c r="J49" s="5">
        <f t="shared" si="2"/>
        <v>4.60900507232267e-6</v>
      </c>
    </row>
    <row r="50" spans="2:10">
      <c r="B50" s="5">
        <v>47</v>
      </c>
      <c r="C50" s="6">
        <v>77.500694</v>
      </c>
      <c r="D50" s="6">
        <v>178.940262</v>
      </c>
      <c r="E50" s="5">
        <f t="shared" ref="E50:F50" si="44">(SUM((0.2*C47),(0.3*C48),(0.5*C49)))</f>
        <v>76.917047</v>
      </c>
      <c r="F50" s="5">
        <f t="shared" si="44"/>
        <v>177.4616883</v>
      </c>
      <c r="I50" s="5">
        <f t="shared" si="1"/>
        <v>5.67138763571286e-5</v>
      </c>
      <c r="J50" s="5">
        <f t="shared" si="2"/>
        <v>6.82762745549455e-5</v>
      </c>
    </row>
    <row r="51" spans="2:10">
      <c r="B51" s="5">
        <v>48</v>
      </c>
      <c r="C51" s="6">
        <v>78.358696</v>
      </c>
      <c r="D51" s="6">
        <v>179.892593</v>
      </c>
      <c r="E51" s="5">
        <f t="shared" ref="E51:F51" si="45">(SUM((0.2*C48),(0.3*C49),(0.5*C50)))</f>
        <v>77.0871771</v>
      </c>
      <c r="F51" s="5">
        <f t="shared" si="45"/>
        <v>178.1342134</v>
      </c>
      <c r="I51" s="5">
        <f t="shared" si="1"/>
        <v>0.000263312356453185</v>
      </c>
      <c r="J51" s="5">
        <f t="shared" si="2"/>
        <v>9.55429638707021e-5</v>
      </c>
    </row>
    <row r="52" spans="2:10">
      <c r="B52" s="5">
        <v>49</v>
      </c>
      <c r="C52" s="6">
        <v>77.827667</v>
      </c>
      <c r="D52" s="6">
        <v>177.634491</v>
      </c>
      <c r="E52" s="5">
        <f t="shared" ref="E52:F52" si="46">(SUM((0.2*C49),(0.3*C50),(0.5*C51)))</f>
        <v>77.7379332</v>
      </c>
      <c r="F52" s="5">
        <f t="shared" si="46"/>
        <v>179.1160003</v>
      </c>
      <c r="I52" s="5">
        <f t="shared" si="1"/>
        <v>1.32936455451186e-6</v>
      </c>
      <c r="J52" s="5">
        <f t="shared" si="2"/>
        <v>6.95591349417512e-5</v>
      </c>
    </row>
    <row r="53" spans="2:10">
      <c r="B53" s="5">
        <v>50</v>
      </c>
      <c r="C53" s="6">
        <v>78.105476</v>
      </c>
      <c r="D53" s="6">
        <v>176.770523</v>
      </c>
      <c r="E53" s="5">
        <f t="shared" ref="E53:F53" si="47">(SUM((0.2*C50),(0.3*C51),(0.5*C52)))</f>
        <v>77.9215811</v>
      </c>
      <c r="F53" s="5">
        <f t="shared" si="47"/>
        <v>178.5730758</v>
      </c>
      <c r="I53" s="5">
        <f t="shared" si="1"/>
        <v>5.54340236898972e-6</v>
      </c>
      <c r="J53" s="5">
        <f t="shared" si="2"/>
        <v>0.000103981552164956</v>
      </c>
    </row>
    <row r="54" spans="2:10">
      <c r="B54" s="5">
        <v>51</v>
      </c>
      <c r="C54" s="6">
        <v>78.481621</v>
      </c>
      <c r="D54" s="6">
        <v>176.309097</v>
      </c>
      <c r="E54" s="5">
        <f t="shared" ref="E54:F54" si="48">(SUM((0.2*C51),(0.3*C52),(0.5*C53)))</f>
        <v>78.0727773</v>
      </c>
      <c r="F54" s="5">
        <f t="shared" si="48"/>
        <v>177.6541274</v>
      </c>
      <c r="I54" s="5">
        <f t="shared" si="1"/>
        <v>2.71380532754978e-5</v>
      </c>
      <c r="J54" s="5">
        <f t="shared" si="2"/>
        <v>5.81988975887702e-5</v>
      </c>
    </row>
    <row r="55" spans="2:10">
      <c r="B55" s="5">
        <v>52</v>
      </c>
      <c r="C55" s="6">
        <v>78.25544</v>
      </c>
      <c r="D55" s="6">
        <v>173.903717</v>
      </c>
      <c r="E55" s="5">
        <f t="shared" ref="E55:F55" si="49">(SUM((0.2*C52),(0.3*C53),(0.5*C54)))</f>
        <v>78.2379867</v>
      </c>
      <c r="F55" s="5">
        <f t="shared" si="49"/>
        <v>176.7126036</v>
      </c>
      <c r="I55" s="5">
        <f t="shared" si="1"/>
        <v>4.9742319435227e-8</v>
      </c>
      <c r="J55" s="5">
        <f t="shared" si="2"/>
        <v>0.00026088594543185</v>
      </c>
    </row>
    <row r="56" spans="2:10">
      <c r="B56" s="5">
        <v>53</v>
      </c>
      <c r="C56" s="6">
        <v>75.954315</v>
      </c>
      <c r="D56" s="6">
        <v>170.379089</v>
      </c>
      <c r="E56" s="5">
        <f t="shared" ref="E56:F56" si="50">(SUM((0.2*C53),(0.3*C54),(0.5*C55)))</f>
        <v>78.2933015</v>
      </c>
      <c r="F56" s="5">
        <f t="shared" si="50"/>
        <v>175.1986922</v>
      </c>
      <c r="I56" s="5">
        <f t="shared" si="1"/>
        <v>0.000948310430986038</v>
      </c>
      <c r="J56" s="5">
        <f t="shared" si="2"/>
        <v>0.000800184223514982</v>
      </c>
    </row>
    <row r="57" spans="2:10">
      <c r="B57" s="5">
        <v>54</v>
      </c>
      <c r="C57" s="6">
        <v>78.103012</v>
      </c>
      <c r="D57" s="6">
        <v>172.264145</v>
      </c>
      <c r="E57" s="5">
        <f t="shared" ref="E57:F57" si="51">(SUM((0.2*C54),(0.3*C55),(0.5*C56)))</f>
        <v>77.1501137</v>
      </c>
      <c r="F57" s="5">
        <f t="shared" si="51"/>
        <v>172.622479</v>
      </c>
      <c r="I57" s="5">
        <f t="shared" si="1"/>
        <v>0.000148852981957064</v>
      </c>
      <c r="J57" s="5">
        <f t="shared" si="2"/>
        <v>4.32699356316283e-6</v>
      </c>
    </row>
    <row r="58" spans="2:10">
      <c r="B58" s="5">
        <v>55</v>
      </c>
      <c r="C58" s="6">
        <v>79.7379</v>
      </c>
      <c r="D58" s="6">
        <v>172.470306</v>
      </c>
      <c r="E58" s="5">
        <f t="shared" ref="E58:F58" si="52">(SUM((0.2*C55),(0.3*C56),(0.5*C57)))</f>
        <v>77.4888885</v>
      </c>
      <c r="F58" s="5">
        <f t="shared" si="52"/>
        <v>172.0265426</v>
      </c>
      <c r="I58" s="5">
        <f t="shared" si="1"/>
        <v>0.000795524876350593</v>
      </c>
      <c r="J58" s="5">
        <f t="shared" si="2"/>
        <v>6.6202485197161e-6</v>
      </c>
    </row>
    <row r="59" spans="2:10">
      <c r="B59" s="5">
        <v>56</v>
      </c>
      <c r="C59" s="6">
        <v>79.622337</v>
      </c>
      <c r="D59" s="6">
        <v>175.09166</v>
      </c>
      <c r="E59" s="5">
        <f t="shared" ref="E59:F59" si="53">(SUM((0.2*C56),(0.3*C57),(0.5*C58)))</f>
        <v>78.4907166</v>
      </c>
      <c r="F59" s="5">
        <f t="shared" si="53"/>
        <v>171.9902143</v>
      </c>
      <c r="I59" s="5">
        <f t="shared" si="1"/>
        <v>0.000201990849232709</v>
      </c>
      <c r="J59" s="5">
        <f t="shared" si="2"/>
        <v>0.000313759904081449</v>
      </c>
    </row>
    <row r="60" spans="2:10">
      <c r="B60" s="5">
        <v>57</v>
      </c>
      <c r="C60" s="6">
        <v>76.091995</v>
      </c>
      <c r="D60" s="6">
        <v>170.064926</v>
      </c>
      <c r="E60" s="5">
        <f t="shared" ref="E60:F60" si="54">(SUM((0.2*C57),(0.3*C58),(0.5*C59)))</f>
        <v>79.3531409</v>
      </c>
      <c r="F60" s="5">
        <f t="shared" si="54"/>
        <v>173.7397508</v>
      </c>
      <c r="I60" s="5">
        <f t="shared" si="1"/>
        <v>0.00183680273245114</v>
      </c>
      <c r="J60" s="5">
        <f t="shared" si="2"/>
        <v>0.000466921388494729</v>
      </c>
    </row>
    <row r="61" spans="2:10">
      <c r="B61" s="5">
        <v>58</v>
      </c>
      <c r="C61" s="6">
        <v>75.883018</v>
      </c>
      <c r="D61" s="6">
        <v>168.199554</v>
      </c>
      <c r="E61" s="5">
        <f t="shared" ref="E61:F61" si="55">(SUM((0.2*C58),(0.3*C59),(0.5*C60)))</f>
        <v>77.8802786</v>
      </c>
      <c r="F61" s="5">
        <f t="shared" si="55"/>
        <v>172.0540222</v>
      </c>
      <c r="I61" s="5">
        <f t="shared" si="1"/>
        <v>0.00069275597315438</v>
      </c>
      <c r="J61" s="5">
        <f t="shared" si="2"/>
        <v>0.000525145023495795</v>
      </c>
    </row>
    <row r="62" spans="2:10">
      <c r="B62" s="5">
        <v>59</v>
      </c>
      <c r="C62" s="6">
        <v>78.388199</v>
      </c>
      <c r="D62" s="6">
        <v>172.018692</v>
      </c>
      <c r="E62" s="5">
        <f t="shared" ref="E62:F62" si="56">(SUM((0.2*C59),(0.3*C60),(0.5*C61)))</f>
        <v>76.6935749</v>
      </c>
      <c r="F62" s="5">
        <f t="shared" si="56"/>
        <v>170.1375868</v>
      </c>
      <c r="I62" s="5">
        <f t="shared" si="1"/>
        <v>0.000467353375612732</v>
      </c>
      <c r="J62" s="5">
        <f t="shared" si="2"/>
        <v>0.00011958449829709</v>
      </c>
    </row>
    <row r="63" spans="2:10">
      <c r="B63" s="5">
        <v>60</v>
      </c>
      <c r="C63" s="6">
        <v>79.027405</v>
      </c>
      <c r="D63" s="6">
        <v>173.677887</v>
      </c>
      <c r="E63" s="5">
        <f t="shared" ref="E63:F63" si="57">(SUM((0.2*C60),(0.3*C61),(0.5*C62)))</f>
        <v>77.1774039</v>
      </c>
      <c r="F63" s="5">
        <f t="shared" si="57"/>
        <v>170.4821974</v>
      </c>
      <c r="I63" s="5">
        <f t="shared" si="1"/>
        <v>0.000548010059341478</v>
      </c>
      <c r="J63" s="5">
        <f t="shared" si="2"/>
        <v>0.000338563491729053</v>
      </c>
    </row>
    <row r="64" spans="2:10">
      <c r="B64" s="5">
        <v>61</v>
      </c>
      <c r="C64" s="6">
        <v>79.951775</v>
      </c>
      <c r="D64" s="6">
        <v>173.137924</v>
      </c>
      <c r="E64" s="5">
        <f t="shared" ref="E64:F64" si="58">(SUM((0.2*C61),(0.3*C62),(0.5*C63)))</f>
        <v>78.2067658</v>
      </c>
      <c r="F64" s="5">
        <f t="shared" si="58"/>
        <v>172.0844619</v>
      </c>
      <c r="I64" s="5">
        <f t="shared" si="1"/>
        <v>0.000476364316764972</v>
      </c>
      <c r="J64" s="5">
        <f t="shared" si="2"/>
        <v>3.70214496046165e-5</v>
      </c>
    </row>
    <row r="65" spans="2:10">
      <c r="B65" s="5">
        <v>62</v>
      </c>
      <c r="C65" s="6">
        <v>78.865021</v>
      </c>
      <c r="D65" s="6">
        <v>172.087387</v>
      </c>
      <c r="E65" s="5">
        <f t="shared" ref="E65:F65" si="59">(SUM((0.2*C62),(0.3*C63),(0.5*C64)))</f>
        <v>79.3617488</v>
      </c>
      <c r="F65" s="5">
        <f t="shared" si="59"/>
        <v>173.0760665</v>
      </c>
      <c r="I65" s="5">
        <f t="shared" si="1"/>
        <v>3.96705376483582e-5</v>
      </c>
      <c r="J65" s="5">
        <f t="shared" si="2"/>
        <v>3.30075263042679e-5</v>
      </c>
    </row>
    <row r="66" spans="2:10">
      <c r="B66" s="5">
        <v>63</v>
      </c>
      <c r="C66" s="6">
        <v>79.239594</v>
      </c>
      <c r="D66" s="6">
        <v>173.72699</v>
      </c>
      <c r="E66" s="5">
        <f t="shared" ref="E66:F66" si="60">(SUM((0.2*C63),(0.3*C64),(0.5*C65)))</f>
        <v>79.223524</v>
      </c>
      <c r="F66" s="5">
        <f t="shared" si="60"/>
        <v>172.7206481</v>
      </c>
      <c r="I66" s="5">
        <f t="shared" si="1"/>
        <v>4.11289166481724e-8</v>
      </c>
      <c r="J66" s="5">
        <f t="shared" si="2"/>
        <v>3.35549441598004e-5</v>
      </c>
    </row>
    <row r="67" spans="2:10">
      <c r="B67" s="5">
        <v>64</v>
      </c>
      <c r="C67" s="6">
        <v>78.76152</v>
      </c>
      <c r="D67" s="6">
        <v>175.886917</v>
      </c>
      <c r="E67" s="5">
        <f t="shared" ref="E67:F67" si="61">(SUM((0.2*C64),(0.3*C65),(0.5*C66)))</f>
        <v>79.2696583</v>
      </c>
      <c r="F67" s="5">
        <f t="shared" si="61"/>
        <v>173.1172959</v>
      </c>
      <c r="I67" s="5">
        <f t="shared" si="1"/>
        <v>4.1623220798184e-5</v>
      </c>
      <c r="J67" s="5">
        <f t="shared" si="2"/>
        <v>0.000247955442494716</v>
      </c>
    </row>
    <row r="68" spans="2:10">
      <c r="B68" s="5">
        <v>65</v>
      </c>
      <c r="C68" s="6">
        <v>80.631927</v>
      </c>
      <c r="D68" s="6">
        <v>177.879929</v>
      </c>
      <c r="E68" s="5">
        <f t="shared" ref="E68:F68" si="62">(SUM((0.2*C65),(0.3*C66),(0.5*C67)))</f>
        <v>78.9256424</v>
      </c>
      <c r="F68" s="5">
        <f t="shared" si="62"/>
        <v>174.4790329</v>
      </c>
      <c r="I68" s="5">
        <f t="shared" si="1"/>
        <v>0.000447804923435102</v>
      </c>
      <c r="J68" s="5">
        <f t="shared" si="2"/>
        <v>0.000365538254215971</v>
      </c>
    </row>
    <row r="69" spans="2:10">
      <c r="B69" s="5">
        <v>66</v>
      </c>
      <c r="C69" s="6">
        <v>80.057739</v>
      </c>
      <c r="D69" s="6">
        <v>176.839249</v>
      </c>
      <c r="E69" s="5">
        <f t="shared" ref="E69:F69" si="63">(SUM((0.2*C66),(0.3*C67),(0.5*C68)))</f>
        <v>79.7923383</v>
      </c>
      <c r="F69" s="5">
        <f t="shared" si="63"/>
        <v>176.4514376</v>
      </c>
      <c r="I69" s="5">
        <f t="shared" si="1"/>
        <v>1.09899947988397e-5</v>
      </c>
      <c r="J69" s="5">
        <f t="shared" si="2"/>
        <v>4.80932159485894e-6</v>
      </c>
    </row>
    <row r="70" spans="2:10">
      <c r="B70" s="5">
        <v>67</v>
      </c>
      <c r="C70" s="6">
        <v>80.077461</v>
      </c>
      <c r="D70" s="6">
        <v>177.516693</v>
      </c>
      <c r="E70" s="5">
        <f t="shared" ref="E70:F70" si="64">(SUM((0.2*C67),(0.3*C68),(0.5*C69)))</f>
        <v>79.9707516</v>
      </c>
      <c r="F70" s="5">
        <f t="shared" si="64"/>
        <v>176.9609866</v>
      </c>
      <c r="I70" s="5">
        <f t="shared" si="1"/>
        <v>1.77576203514692e-6</v>
      </c>
      <c r="J70" s="5">
        <f t="shared" si="2"/>
        <v>9.79969139938827e-6</v>
      </c>
    </row>
    <row r="71" spans="2:10">
      <c r="B71" s="5">
        <v>68</v>
      </c>
      <c r="C71" s="6">
        <v>78.611198</v>
      </c>
      <c r="D71" s="6">
        <v>176.151993</v>
      </c>
      <c r="E71" s="5">
        <f t="shared" ref="E71:F71" si="65">(SUM((0.2*C68),(0.3*C69),(0.5*C70)))</f>
        <v>80.1824376</v>
      </c>
      <c r="F71" s="5">
        <f t="shared" si="65"/>
        <v>177.386107</v>
      </c>
      <c r="I71" s="5">
        <f t="shared" si="1"/>
        <v>0.000399499281591382</v>
      </c>
      <c r="J71" s="5">
        <f t="shared" si="2"/>
        <v>4.90834900879226e-5</v>
      </c>
    </row>
    <row r="72" spans="2:10">
      <c r="B72" s="5">
        <v>69</v>
      </c>
      <c r="C72" s="6">
        <v>79.749702</v>
      </c>
      <c r="D72" s="6">
        <v>177.565765</v>
      </c>
      <c r="E72" s="5">
        <f t="shared" ref="E72:F72" si="66">(SUM((0.2*C69),(0.3*C70),(0.5*C71)))</f>
        <v>79.3403851</v>
      </c>
      <c r="F72" s="5">
        <f t="shared" si="66"/>
        <v>176.6988542</v>
      </c>
      <c r="I72" s="5">
        <f t="shared" ref="I72:I135" si="67">POWER(ABS((C72-E72)/C72),2)</f>
        <v>2.63427563362511e-5</v>
      </c>
      <c r="J72" s="5">
        <f t="shared" ref="J72:J135" si="68">POWER(ABS((D72-F72)/D72),2)</f>
        <v>2.38358340639763e-5</v>
      </c>
    </row>
    <row r="73" spans="2:10">
      <c r="B73" s="5">
        <v>70</v>
      </c>
      <c r="C73" s="6">
        <v>78.931564</v>
      </c>
      <c r="D73" s="6">
        <v>177.408691</v>
      </c>
      <c r="E73" s="5">
        <f t="shared" ref="E73:F73" si="69">(SUM((0.2*C70),(0.3*C71),(0.5*C72)))</f>
        <v>79.4737026</v>
      </c>
      <c r="F73" s="5">
        <f t="shared" si="69"/>
        <v>177.131819</v>
      </c>
      <c r="I73" s="5">
        <f t="shared" si="67"/>
        <v>4.71757967102888e-5</v>
      </c>
      <c r="J73" s="5">
        <f t="shared" si="68"/>
        <v>2.43561305238521e-6</v>
      </c>
    </row>
    <row r="74" spans="2:10">
      <c r="B74" s="5">
        <v>71</v>
      </c>
      <c r="C74" s="6">
        <v>77.144943</v>
      </c>
      <c r="D74" s="6">
        <v>176.603622</v>
      </c>
      <c r="E74" s="5">
        <f t="shared" ref="E74:F74" si="70">(SUM((0.2*C71),(0.3*C72),(0.5*C73)))</f>
        <v>79.1129322</v>
      </c>
      <c r="F74" s="5">
        <f t="shared" si="70"/>
        <v>177.2044736</v>
      </c>
      <c r="I74" s="5">
        <f t="shared" si="67"/>
        <v>0.000650774454119844</v>
      </c>
      <c r="J74" s="5">
        <f t="shared" si="68"/>
        <v>1.1575379311465e-5</v>
      </c>
    </row>
    <row r="75" spans="2:10">
      <c r="B75" s="5">
        <v>72</v>
      </c>
      <c r="C75" s="6">
        <v>73.480522</v>
      </c>
      <c r="D75" s="6">
        <v>172.077591</v>
      </c>
      <c r="E75" s="5">
        <f t="shared" ref="E75:F75" si="71">(SUM((0.2*C72),(0.3*C73),(0.5*C74)))</f>
        <v>78.2018811</v>
      </c>
      <c r="F75" s="5">
        <f t="shared" si="71"/>
        <v>177.0375713</v>
      </c>
      <c r="I75" s="5">
        <f t="shared" si="67"/>
        <v>0.00412847445145437</v>
      </c>
      <c r="J75" s="5">
        <f t="shared" si="68"/>
        <v>0.000830828274893293</v>
      </c>
    </row>
    <row r="76" spans="2:10">
      <c r="B76" s="5">
        <v>73</v>
      </c>
      <c r="C76" s="6">
        <v>70.991577</v>
      </c>
      <c r="D76" s="6">
        <v>164.743652</v>
      </c>
      <c r="E76" s="5">
        <f t="shared" ref="E76:F76" si="72">(SUM((0.2*C73),(0.3*C74),(0.5*C75)))</f>
        <v>75.6700567</v>
      </c>
      <c r="F76" s="5">
        <f t="shared" si="72"/>
        <v>174.5016203</v>
      </c>
      <c r="I76" s="5">
        <f t="shared" si="67"/>
        <v>0.00434306022254581</v>
      </c>
      <c r="J76" s="5">
        <f t="shared" si="68"/>
        <v>0.00350833800138595</v>
      </c>
    </row>
    <row r="77" spans="2:10">
      <c r="B77" s="5">
        <v>74</v>
      </c>
      <c r="C77" s="6">
        <v>72.117767</v>
      </c>
      <c r="D77" s="6">
        <v>164.134918</v>
      </c>
      <c r="E77" s="5">
        <f t="shared" ref="E77:F77" si="73">(SUM((0.2*C74),(0.3*C75),(0.5*C76)))</f>
        <v>72.9689337</v>
      </c>
      <c r="F77" s="5">
        <f t="shared" si="73"/>
        <v>169.3158277</v>
      </c>
      <c r="I77" s="5">
        <f t="shared" si="67"/>
        <v>0.000139297944119334</v>
      </c>
      <c r="J77" s="5">
        <f t="shared" si="68"/>
        <v>0.000996345768526558</v>
      </c>
    </row>
    <row r="78" spans="2:10">
      <c r="B78" s="5">
        <v>75</v>
      </c>
      <c r="C78" s="6">
        <v>67.403557</v>
      </c>
      <c r="D78" s="6">
        <v>157.49176</v>
      </c>
      <c r="E78" s="5">
        <f t="shared" ref="E78:F78" si="74">(SUM((0.2*C75),(0.3*C76),(0.5*C77)))</f>
        <v>72.052461</v>
      </c>
      <c r="F78" s="5">
        <f t="shared" si="74"/>
        <v>165.9060728</v>
      </c>
      <c r="I78" s="5">
        <f t="shared" si="67"/>
        <v>0.00475702599852903</v>
      </c>
      <c r="J78" s="5">
        <f t="shared" si="68"/>
        <v>0.00285444469434447</v>
      </c>
    </row>
    <row r="79" spans="2:10">
      <c r="B79" s="5">
        <v>76</v>
      </c>
      <c r="C79" s="6">
        <v>67.364128</v>
      </c>
      <c r="D79" s="6">
        <v>160.077957</v>
      </c>
      <c r="E79" s="5">
        <f t="shared" ref="E79:F79" si="75">(SUM((0.2*C76),(0.3*C77),(0.5*C78)))</f>
        <v>69.535424</v>
      </c>
      <c r="F79" s="5">
        <f t="shared" si="75"/>
        <v>160.9350858</v>
      </c>
      <c r="I79" s="5">
        <f t="shared" si="67"/>
        <v>0.00103891658623064</v>
      </c>
      <c r="J79" s="5">
        <f t="shared" si="68"/>
        <v>2.86700935358861e-5</v>
      </c>
    </row>
    <row r="80" spans="2:10">
      <c r="B80" s="5">
        <v>77</v>
      </c>
      <c r="C80" s="6">
        <v>73.635773</v>
      </c>
      <c r="D80" s="6">
        <v>162.121277</v>
      </c>
      <c r="E80" s="5">
        <f t="shared" ref="E80:F80" si="76">(SUM((0.2*C77),(0.3*C78),(0.5*C79)))</f>
        <v>68.3266845</v>
      </c>
      <c r="F80" s="5">
        <f t="shared" si="76"/>
        <v>160.1134901</v>
      </c>
      <c r="I80" s="5">
        <f t="shared" si="67"/>
        <v>0.00519831065009699</v>
      </c>
      <c r="J80" s="5">
        <f t="shared" si="68"/>
        <v>0.000153375220723951</v>
      </c>
    </row>
    <row r="81" spans="2:10">
      <c r="B81" s="5">
        <v>78</v>
      </c>
      <c r="C81" s="6">
        <v>71.297157</v>
      </c>
      <c r="D81" s="6">
        <v>159.801575</v>
      </c>
      <c r="E81" s="5">
        <f t="shared" ref="E81:E144" si="77">(SUM((0.2*C78),(0.3*C79),(0.5*C80)))</f>
        <v>70.5078363</v>
      </c>
      <c r="F81" s="5">
        <f t="shared" ref="F81:F144" si="78">(SUM((0.2*D78),(0.3*D79),(0.5*D80)))</f>
        <v>160.5823776</v>
      </c>
      <c r="I81" s="5">
        <f t="shared" si="67"/>
        <v>0.000122563896560914</v>
      </c>
      <c r="J81" s="5">
        <f t="shared" si="68"/>
        <v>2.38737362090959e-5</v>
      </c>
    </row>
    <row r="82" spans="2:10">
      <c r="B82" s="5">
        <v>79</v>
      </c>
      <c r="C82" s="6">
        <v>74.60424</v>
      </c>
      <c r="D82" s="6">
        <v>168.981613</v>
      </c>
      <c r="E82" s="5">
        <f t="shared" si="77"/>
        <v>71.212136</v>
      </c>
      <c r="F82" s="5">
        <f t="shared" si="78"/>
        <v>160.552762</v>
      </c>
      <c r="I82" s="5">
        <f t="shared" si="67"/>
        <v>0.00206733709285387</v>
      </c>
      <c r="J82" s="5">
        <f t="shared" si="68"/>
        <v>0.00248804282211752</v>
      </c>
    </row>
    <row r="83" spans="2:10">
      <c r="B83" s="5">
        <v>80</v>
      </c>
      <c r="C83" s="6">
        <v>72.184303</v>
      </c>
      <c r="D83" s="6">
        <v>162.79248</v>
      </c>
      <c r="E83" s="5">
        <f t="shared" si="77"/>
        <v>73.4184217</v>
      </c>
      <c r="F83" s="5">
        <f t="shared" si="78"/>
        <v>164.8555344</v>
      </c>
      <c r="I83" s="5">
        <f t="shared" si="67"/>
        <v>0.000292299674225475</v>
      </c>
      <c r="J83" s="5">
        <f t="shared" si="68"/>
        <v>0.000160602640438878</v>
      </c>
    </row>
    <row r="84" spans="2:10">
      <c r="B84" s="5">
        <v>81</v>
      </c>
      <c r="C84" s="6">
        <v>71.225685</v>
      </c>
      <c r="D84" s="6">
        <v>161.913971</v>
      </c>
      <c r="E84" s="5">
        <f t="shared" si="77"/>
        <v>72.7328549</v>
      </c>
      <c r="F84" s="5">
        <f t="shared" si="78"/>
        <v>164.0510389</v>
      </c>
      <c r="I84" s="5">
        <f t="shared" si="67"/>
        <v>0.000447766042810031</v>
      </c>
      <c r="J84" s="5">
        <f t="shared" si="68"/>
        <v>0.000174207959432208</v>
      </c>
    </row>
    <row r="85" spans="2:10">
      <c r="B85" s="5">
        <v>82</v>
      </c>
      <c r="C85" s="6">
        <v>65.592308</v>
      </c>
      <c r="D85" s="6">
        <v>150.888062</v>
      </c>
      <c r="E85" s="5">
        <f t="shared" si="77"/>
        <v>72.1889814</v>
      </c>
      <c r="F85" s="5">
        <f t="shared" si="78"/>
        <v>163.5910521</v>
      </c>
      <c r="I85" s="5">
        <f t="shared" si="67"/>
        <v>0.0101144935114834</v>
      </c>
      <c r="J85" s="5">
        <f t="shared" si="68"/>
        <v>0.00708764828639784</v>
      </c>
    </row>
    <row r="86" spans="2:10">
      <c r="B86" s="5">
        <v>83</v>
      </c>
      <c r="C86" s="6">
        <v>70.316368</v>
      </c>
      <c r="D86" s="6">
        <v>159.604156</v>
      </c>
      <c r="E86" s="5">
        <f t="shared" si="77"/>
        <v>68.6007201</v>
      </c>
      <c r="F86" s="5">
        <f t="shared" si="78"/>
        <v>156.5767183</v>
      </c>
      <c r="I86" s="5">
        <f t="shared" si="67"/>
        <v>0.000595310394020649</v>
      </c>
      <c r="J86" s="5">
        <f t="shared" si="68"/>
        <v>0.000359800727980975</v>
      </c>
    </row>
    <row r="87" spans="2:10">
      <c r="B87" s="5">
        <v>84</v>
      </c>
      <c r="C87" s="6">
        <v>67.874245</v>
      </c>
      <c r="D87" s="6">
        <v>151.411224</v>
      </c>
      <c r="E87" s="5">
        <f t="shared" si="77"/>
        <v>69.0810134</v>
      </c>
      <c r="F87" s="5">
        <f t="shared" si="78"/>
        <v>157.4512908</v>
      </c>
      <c r="I87" s="5">
        <f t="shared" si="67"/>
        <v>0.000316109709208458</v>
      </c>
      <c r="J87" s="5">
        <f t="shared" si="68"/>
        <v>0.00159135598885249</v>
      </c>
    </row>
    <row r="88" spans="2:10">
      <c r="B88" s="5">
        <v>85</v>
      </c>
      <c r="C88" s="6">
        <v>61.171341</v>
      </c>
      <c r="D88" s="6">
        <v>133.110397</v>
      </c>
      <c r="E88" s="5">
        <f t="shared" si="77"/>
        <v>68.1504945</v>
      </c>
      <c r="F88" s="5">
        <f t="shared" si="78"/>
        <v>153.7644712</v>
      </c>
      <c r="I88" s="5">
        <f t="shared" si="67"/>
        <v>0.0130169578398778</v>
      </c>
      <c r="J88" s="5">
        <f t="shared" si="68"/>
        <v>0.0240761759415675</v>
      </c>
    </row>
    <row r="89" spans="2:10">
      <c r="B89" s="5">
        <v>86</v>
      </c>
      <c r="C89" s="6">
        <v>68.500175</v>
      </c>
      <c r="D89" s="6">
        <v>147.482574</v>
      </c>
      <c r="E89" s="5">
        <f t="shared" si="77"/>
        <v>65.0112176</v>
      </c>
      <c r="F89" s="5">
        <f t="shared" si="78"/>
        <v>143.8993969</v>
      </c>
      <c r="I89" s="5">
        <f t="shared" si="67"/>
        <v>0.00259422697902785</v>
      </c>
      <c r="J89" s="5">
        <f t="shared" si="68"/>
        <v>0.00059027600642923</v>
      </c>
    </row>
    <row r="90" spans="2:10">
      <c r="B90" s="5">
        <v>87</v>
      </c>
      <c r="C90" s="6">
        <v>59.687832</v>
      </c>
      <c r="D90" s="6">
        <v>133.524979</v>
      </c>
      <c r="E90" s="5">
        <f t="shared" si="77"/>
        <v>66.1763388</v>
      </c>
      <c r="F90" s="5">
        <f t="shared" si="78"/>
        <v>143.9566509</v>
      </c>
      <c r="I90" s="5">
        <f t="shared" si="67"/>
        <v>0.0118172906979019</v>
      </c>
      <c r="J90" s="5">
        <f t="shared" si="68"/>
        <v>0.00610355414269578</v>
      </c>
    </row>
    <row r="91" spans="2:10">
      <c r="B91" s="5">
        <v>88</v>
      </c>
      <c r="C91" s="6">
        <v>62.312309</v>
      </c>
      <c r="D91" s="6">
        <v>130.099747</v>
      </c>
      <c r="E91" s="5">
        <f t="shared" si="77"/>
        <v>62.6282367</v>
      </c>
      <c r="F91" s="5">
        <f t="shared" si="78"/>
        <v>137.6293411</v>
      </c>
      <c r="I91" s="5">
        <f t="shared" si="67"/>
        <v>2.57055986591951e-5</v>
      </c>
      <c r="J91" s="5">
        <f t="shared" si="68"/>
        <v>0.00334957900978059</v>
      </c>
    </row>
    <row r="92" spans="2:10">
      <c r="B92" s="5">
        <v>89</v>
      </c>
      <c r="C92" s="6">
        <v>60.786911</v>
      </c>
      <c r="D92" s="6">
        <v>118.067001</v>
      </c>
      <c r="E92" s="5">
        <f t="shared" si="77"/>
        <v>62.7625391</v>
      </c>
      <c r="F92" s="5">
        <f t="shared" si="78"/>
        <v>134.603882</v>
      </c>
      <c r="I92" s="5">
        <f t="shared" si="67"/>
        <v>0.00105630720079398</v>
      </c>
      <c r="J92" s="5">
        <f t="shared" si="68"/>
        <v>0.0196177925865472</v>
      </c>
    </row>
    <row r="93" spans="2:10">
      <c r="B93" s="5">
        <v>90</v>
      </c>
      <c r="C93" s="6">
        <v>60.321156</v>
      </c>
      <c r="D93" s="6">
        <v>117.425385</v>
      </c>
      <c r="E93" s="5">
        <f t="shared" si="77"/>
        <v>61.0247146</v>
      </c>
      <c r="F93" s="5">
        <f t="shared" si="78"/>
        <v>124.7684204</v>
      </c>
      <c r="I93" s="5">
        <f t="shared" si="67"/>
        <v>0.000136038313887241</v>
      </c>
      <c r="J93" s="5">
        <f t="shared" si="68"/>
        <v>0.00391045469118252</v>
      </c>
    </row>
    <row r="94" spans="2:10">
      <c r="B94" s="5">
        <v>91</v>
      </c>
      <c r="C94" s="6">
        <v>56.491634</v>
      </c>
      <c r="D94" s="6">
        <v>111.048721</v>
      </c>
      <c r="E94" s="5">
        <f t="shared" si="77"/>
        <v>60.8591131</v>
      </c>
      <c r="F94" s="5">
        <f t="shared" si="78"/>
        <v>120.1527422</v>
      </c>
      <c r="I94" s="5">
        <f t="shared" si="67"/>
        <v>0.0059771395746922</v>
      </c>
      <c r="J94" s="5">
        <f t="shared" si="68"/>
        <v>0.00672108517020214</v>
      </c>
    </row>
    <row r="95" spans="2:10">
      <c r="B95" s="5">
        <v>92</v>
      </c>
      <c r="C95" s="6">
        <v>55.291519</v>
      </c>
      <c r="D95" s="6">
        <v>102.520172</v>
      </c>
      <c r="E95" s="5">
        <f t="shared" si="77"/>
        <v>58.499546</v>
      </c>
      <c r="F95" s="5">
        <f t="shared" si="78"/>
        <v>114.3653762</v>
      </c>
      <c r="I95" s="5">
        <f t="shared" si="67"/>
        <v>0.00336634782499645</v>
      </c>
      <c r="J95" s="5">
        <f t="shared" si="68"/>
        <v>0.0133495446300738</v>
      </c>
    </row>
    <row r="96" spans="2:10">
      <c r="B96" s="5">
        <v>93</v>
      </c>
      <c r="C96" s="6">
        <v>60.838661</v>
      </c>
      <c r="D96" s="6">
        <v>117.968285</v>
      </c>
      <c r="E96" s="5">
        <f t="shared" si="77"/>
        <v>56.6574809</v>
      </c>
      <c r="F96" s="5">
        <f t="shared" si="78"/>
        <v>108.0597793</v>
      </c>
      <c r="I96" s="5">
        <f t="shared" si="67"/>
        <v>0.00472322305081268</v>
      </c>
      <c r="J96" s="5">
        <f t="shared" si="68"/>
        <v>0.00705481769513799</v>
      </c>
    </row>
    <row r="97" spans="2:10">
      <c r="B97" s="5">
        <v>94</v>
      </c>
      <c r="C97" s="6">
        <v>60.503517</v>
      </c>
      <c r="D97" s="6">
        <v>127.977478</v>
      </c>
      <c r="E97" s="5">
        <f t="shared" si="77"/>
        <v>58.305113</v>
      </c>
      <c r="F97" s="5">
        <f t="shared" si="78"/>
        <v>111.9499383</v>
      </c>
      <c r="I97" s="5">
        <f t="shared" si="67"/>
        <v>0.00132024268625605</v>
      </c>
      <c r="J97" s="5">
        <f t="shared" si="68"/>
        <v>0.0156843537042818</v>
      </c>
    </row>
    <row r="98" spans="2:10">
      <c r="B98" s="5">
        <v>95</v>
      </c>
      <c r="C98" s="6">
        <v>63.687393</v>
      </c>
      <c r="D98" s="6">
        <v>135.627487</v>
      </c>
      <c r="E98" s="5">
        <f t="shared" si="77"/>
        <v>59.5616606</v>
      </c>
      <c r="F98" s="5">
        <f t="shared" si="78"/>
        <v>119.8832589</v>
      </c>
      <c r="I98" s="5">
        <f t="shared" si="67"/>
        <v>0.00419657672832455</v>
      </c>
      <c r="J98" s="5">
        <f t="shared" si="68"/>
        <v>0.0134755753382853</v>
      </c>
    </row>
    <row r="99" spans="2:10">
      <c r="B99" s="5">
        <v>96</v>
      </c>
      <c r="C99" s="6">
        <v>61.050594</v>
      </c>
      <c r="D99" s="6">
        <v>129.576599</v>
      </c>
      <c r="E99" s="5">
        <f t="shared" si="77"/>
        <v>62.1624838</v>
      </c>
      <c r="F99" s="5">
        <f t="shared" si="78"/>
        <v>129.8006439</v>
      </c>
      <c r="I99" s="5">
        <f t="shared" si="67"/>
        <v>0.000331698650623724</v>
      </c>
      <c r="J99" s="5">
        <f t="shared" si="68"/>
        <v>2.98962675261144e-6</v>
      </c>
    </row>
    <row r="100" spans="2:10">
      <c r="B100" s="5">
        <v>97</v>
      </c>
      <c r="C100" s="6">
        <v>62.79285</v>
      </c>
      <c r="D100" s="6">
        <v>130.050385</v>
      </c>
      <c r="E100" s="5">
        <f t="shared" si="77"/>
        <v>61.7322183</v>
      </c>
      <c r="F100" s="5">
        <f t="shared" si="78"/>
        <v>131.0720412</v>
      </c>
      <c r="I100" s="5">
        <f t="shared" si="67"/>
        <v>0.000285304627831602</v>
      </c>
      <c r="J100" s="5">
        <f t="shared" si="68"/>
        <v>6.17143650871768e-5</v>
      </c>
    </row>
    <row r="101" spans="2:10">
      <c r="B101" s="5">
        <v>98</v>
      </c>
      <c r="C101" s="6">
        <v>62.664707</v>
      </c>
      <c r="D101" s="6">
        <v>132.064072</v>
      </c>
      <c r="E101" s="5">
        <f t="shared" si="77"/>
        <v>62.4490818</v>
      </c>
      <c r="F101" s="5">
        <f t="shared" si="78"/>
        <v>131.0236696</v>
      </c>
      <c r="I101" s="5">
        <f t="shared" si="67"/>
        <v>1.18400354773628e-5</v>
      </c>
      <c r="J101" s="5">
        <f t="shared" si="68"/>
        <v>6.20630797550814e-5</v>
      </c>
    </row>
    <row r="102" spans="2:10">
      <c r="B102" s="5">
        <v>99</v>
      </c>
      <c r="C102" s="6">
        <v>59.367474</v>
      </c>
      <c r="D102" s="6">
        <v>128.036713</v>
      </c>
      <c r="E102" s="5">
        <f t="shared" si="77"/>
        <v>62.3803273</v>
      </c>
      <c r="F102" s="5">
        <f t="shared" si="78"/>
        <v>130.9624713</v>
      </c>
      <c r="I102" s="5">
        <f t="shared" si="67"/>
        <v>0.00257548384543911</v>
      </c>
      <c r="J102" s="5">
        <f t="shared" si="68"/>
        <v>0.000522165121015086</v>
      </c>
    </row>
    <row r="103" spans="2:10">
      <c r="B103" s="5">
        <v>100</v>
      </c>
      <c r="C103" s="6">
        <v>60.35812</v>
      </c>
      <c r="D103" s="6">
        <v>131.09671</v>
      </c>
      <c r="E103" s="5">
        <f t="shared" si="77"/>
        <v>61.0417191</v>
      </c>
      <c r="F103" s="5">
        <f t="shared" si="78"/>
        <v>129.6476551</v>
      </c>
      <c r="I103" s="5">
        <f t="shared" si="67"/>
        <v>0.000128271908432014</v>
      </c>
      <c r="J103" s="5">
        <f t="shared" si="68"/>
        <v>0.000122176053914413</v>
      </c>
    </row>
    <row r="104" spans="2:10">
      <c r="B104" s="5">
        <v>101</v>
      </c>
      <c r="C104" s="6">
        <v>59.490692</v>
      </c>
      <c r="D104" s="6">
        <v>125.805862</v>
      </c>
      <c r="E104" s="5">
        <f t="shared" si="77"/>
        <v>60.5222436</v>
      </c>
      <c r="F104" s="5">
        <f t="shared" si="78"/>
        <v>130.3721833</v>
      </c>
      <c r="I104" s="5">
        <f t="shared" si="67"/>
        <v>0.000300665690379636</v>
      </c>
      <c r="J104" s="5">
        <f t="shared" si="68"/>
        <v>0.00131744100732884</v>
      </c>
    </row>
    <row r="105" spans="2:10">
      <c r="B105" s="5">
        <v>102</v>
      </c>
      <c r="C105" s="6">
        <v>64.680504</v>
      </c>
      <c r="D105" s="6">
        <v>132.271362</v>
      </c>
      <c r="E105" s="5">
        <f t="shared" si="77"/>
        <v>59.7262768</v>
      </c>
      <c r="F105" s="5">
        <f t="shared" si="78"/>
        <v>127.8392866</v>
      </c>
      <c r="I105" s="5">
        <f t="shared" si="67"/>
        <v>0.00586685085780582</v>
      </c>
      <c r="J105" s="5">
        <f t="shared" si="68"/>
        <v>0.00112274887686746</v>
      </c>
    </row>
    <row r="106" spans="2:10">
      <c r="B106" s="5">
        <v>103</v>
      </c>
      <c r="C106" s="6">
        <v>63.931355</v>
      </c>
      <c r="D106" s="6">
        <v>133.495361</v>
      </c>
      <c r="E106" s="5">
        <f t="shared" si="77"/>
        <v>62.2590836</v>
      </c>
      <c r="F106" s="5">
        <f t="shared" si="78"/>
        <v>130.0967816</v>
      </c>
      <c r="I106" s="5">
        <f t="shared" si="67"/>
        <v>0.000684204153330183</v>
      </c>
      <c r="J106" s="5">
        <f t="shared" si="68"/>
        <v>0.000648130550692661</v>
      </c>
    </row>
    <row r="107" spans="2:10">
      <c r="B107" s="5">
        <v>104</v>
      </c>
      <c r="C107" s="6">
        <v>65.567657</v>
      </c>
      <c r="D107" s="6">
        <v>137.453644</v>
      </c>
      <c r="E107" s="5">
        <f t="shared" si="77"/>
        <v>63.2679671</v>
      </c>
      <c r="F107" s="5">
        <f t="shared" si="78"/>
        <v>131.5902615</v>
      </c>
      <c r="I107" s="5">
        <f t="shared" si="67"/>
        <v>0.00123015327179175</v>
      </c>
      <c r="J107" s="5">
        <f t="shared" si="68"/>
        <v>0.00181963355703834</v>
      </c>
    </row>
    <row r="108" spans="2:10">
      <c r="B108" s="5">
        <v>105</v>
      </c>
      <c r="C108" s="6">
        <v>66.040802</v>
      </c>
      <c r="D108" s="6">
        <v>141.579712</v>
      </c>
      <c r="E108" s="5">
        <f t="shared" si="77"/>
        <v>64.8993358</v>
      </c>
      <c r="F108" s="5">
        <f t="shared" si="78"/>
        <v>135.2297027</v>
      </c>
      <c r="I108" s="5">
        <f t="shared" si="67"/>
        <v>0.000298745543049691</v>
      </c>
      <c r="J108" s="5">
        <f t="shared" si="68"/>
        <v>0.00201162337551251</v>
      </c>
    </row>
    <row r="109" spans="2:10">
      <c r="B109" s="5">
        <v>106</v>
      </c>
      <c r="C109" s="6">
        <v>67.337029</v>
      </c>
      <c r="D109" s="6">
        <v>136.160538</v>
      </c>
      <c r="E109" s="5">
        <f t="shared" si="77"/>
        <v>65.4769691</v>
      </c>
      <c r="F109" s="5">
        <f t="shared" si="78"/>
        <v>138.7250214</v>
      </c>
      <c r="I109" s="5">
        <f t="shared" si="67"/>
        <v>0.000763037634349692</v>
      </c>
      <c r="J109" s="5">
        <f t="shared" si="68"/>
        <v>0.000354729467480115</v>
      </c>
    </row>
    <row r="110" spans="2:10">
      <c r="B110" s="5">
        <v>107</v>
      </c>
      <c r="C110" s="6">
        <v>70.737755</v>
      </c>
      <c r="D110" s="6">
        <v>138.776337</v>
      </c>
      <c r="E110" s="5">
        <f t="shared" si="77"/>
        <v>66.5942865</v>
      </c>
      <c r="F110" s="5">
        <f t="shared" si="78"/>
        <v>138.0449114</v>
      </c>
      <c r="I110" s="5">
        <f t="shared" si="67"/>
        <v>0.00343103807897976</v>
      </c>
      <c r="J110" s="5">
        <f t="shared" si="68"/>
        <v>2.77785436426168e-5</v>
      </c>
    </row>
    <row r="111" spans="2:10">
      <c r="B111" s="5">
        <v>108</v>
      </c>
      <c r="C111" s="6">
        <v>70.09211</v>
      </c>
      <c r="D111" s="6">
        <v>133.100525</v>
      </c>
      <c r="E111" s="5">
        <f t="shared" si="77"/>
        <v>68.7781466</v>
      </c>
      <c r="F111" s="5">
        <f t="shared" si="78"/>
        <v>138.5522723</v>
      </c>
      <c r="I111" s="5">
        <f t="shared" si="67"/>
        <v>0.000351421451999842</v>
      </c>
      <c r="J111" s="5">
        <f t="shared" si="68"/>
        <v>0.00167769070085259</v>
      </c>
    </row>
    <row r="112" spans="2:10">
      <c r="B112" s="5">
        <v>109</v>
      </c>
      <c r="C112" s="6">
        <v>70.64904</v>
      </c>
      <c r="D112" s="6">
        <v>130.62291</v>
      </c>
      <c r="E112" s="5">
        <f t="shared" si="77"/>
        <v>69.7347873</v>
      </c>
      <c r="F112" s="5">
        <f t="shared" si="78"/>
        <v>135.4152712</v>
      </c>
      <c r="I112" s="5">
        <f t="shared" si="67"/>
        <v>0.000167463426584677</v>
      </c>
      <c r="J112" s="5">
        <f t="shared" si="68"/>
        <v>0.00134604747395386</v>
      </c>
    </row>
    <row r="113" spans="2:10">
      <c r="B113" s="5">
        <v>110</v>
      </c>
      <c r="C113" s="6">
        <v>69.690422</v>
      </c>
      <c r="D113" s="6">
        <v>136.535645</v>
      </c>
      <c r="E113" s="5">
        <f t="shared" si="77"/>
        <v>70.499704</v>
      </c>
      <c r="F113" s="5">
        <f t="shared" si="78"/>
        <v>132.9968799</v>
      </c>
      <c r="I113" s="5">
        <f t="shared" si="67"/>
        <v>0.000134850814280157</v>
      </c>
      <c r="J113" s="5">
        <f t="shared" si="68"/>
        <v>0.000671755728233422</v>
      </c>
    </row>
    <row r="114" spans="2:10">
      <c r="B114" s="5">
        <v>111</v>
      </c>
      <c r="C114" s="6">
        <v>68.243881</v>
      </c>
      <c r="D114" s="6">
        <v>133.949432</v>
      </c>
      <c r="E114" s="5">
        <f t="shared" si="77"/>
        <v>70.058345</v>
      </c>
      <c r="F114" s="5">
        <f t="shared" si="78"/>
        <v>134.0748005</v>
      </c>
      <c r="I114" s="5">
        <f t="shared" si="67"/>
        <v>0.000706918387165342</v>
      </c>
      <c r="J114" s="5">
        <f t="shared" si="68"/>
        <v>8.75981847542303e-7</v>
      </c>
    </row>
    <row r="115" spans="2:10">
      <c r="B115" s="5">
        <v>112</v>
      </c>
      <c r="C115" s="6">
        <v>66.134438</v>
      </c>
      <c r="D115" s="6">
        <v>130.297165</v>
      </c>
      <c r="E115" s="5">
        <f t="shared" si="77"/>
        <v>69.1588751</v>
      </c>
      <c r="F115" s="5">
        <f t="shared" si="78"/>
        <v>134.0599915</v>
      </c>
      <c r="I115" s="5">
        <f t="shared" si="67"/>
        <v>0.00209138398935005</v>
      </c>
      <c r="J115" s="5">
        <f t="shared" si="68"/>
        <v>0.000833985413651172</v>
      </c>
    </row>
    <row r="116" spans="2:10">
      <c r="B116" s="5">
        <v>113</v>
      </c>
      <c r="C116" s="6">
        <v>68.039352</v>
      </c>
      <c r="D116" s="6">
        <v>131.313873</v>
      </c>
      <c r="E116" s="5">
        <f t="shared" si="77"/>
        <v>67.4784677</v>
      </c>
      <c r="F116" s="5">
        <f t="shared" si="78"/>
        <v>132.6405411</v>
      </c>
      <c r="I116" s="5">
        <f t="shared" si="67"/>
        <v>6.79557530837782e-5</v>
      </c>
      <c r="J116" s="5">
        <f t="shared" si="68"/>
        <v>0.000102071230824681</v>
      </c>
    </row>
    <row r="117" spans="2:10">
      <c r="B117" s="5">
        <v>114</v>
      </c>
      <c r="C117" s="6">
        <v>67.775673</v>
      </c>
      <c r="D117" s="6">
        <v>132.942581</v>
      </c>
      <c r="E117" s="5">
        <f t="shared" si="77"/>
        <v>67.5087836</v>
      </c>
      <c r="F117" s="5">
        <f t="shared" si="78"/>
        <v>131.5359724</v>
      </c>
      <c r="I117" s="5">
        <f t="shared" si="67"/>
        <v>1.55065424783311e-5</v>
      </c>
      <c r="J117" s="5">
        <f t="shared" si="68"/>
        <v>0.000111948511784237</v>
      </c>
    </row>
    <row r="118" spans="2:10">
      <c r="B118" s="5">
        <v>115</v>
      </c>
      <c r="C118" s="6">
        <v>69.732323</v>
      </c>
      <c r="D118" s="6">
        <v>133.771759</v>
      </c>
      <c r="E118" s="5">
        <f t="shared" si="77"/>
        <v>67.5265297</v>
      </c>
      <c r="F118" s="5">
        <f t="shared" si="78"/>
        <v>131.9248854</v>
      </c>
      <c r="I118" s="5">
        <f t="shared" si="67"/>
        <v>0.00100060198519972</v>
      </c>
      <c r="J118" s="5">
        <f t="shared" si="68"/>
        <v>0.000190609907756152</v>
      </c>
    </row>
    <row r="119" spans="2:10">
      <c r="B119" s="5">
        <v>116</v>
      </c>
      <c r="C119" s="6">
        <v>69.781609</v>
      </c>
      <c r="D119" s="6">
        <v>138.075516</v>
      </c>
      <c r="E119" s="5">
        <f t="shared" si="77"/>
        <v>68.8067338</v>
      </c>
      <c r="F119" s="5">
        <f t="shared" si="78"/>
        <v>133.0314284</v>
      </c>
      <c r="I119" s="5">
        <f t="shared" si="67"/>
        <v>0.00019517135928882</v>
      </c>
      <c r="J119" s="5">
        <f t="shared" si="68"/>
        <v>0.00133454090785874</v>
      </c>
    </row>
    <row r="120" spans="2:10">
      <c r="B120" s="5">
        <v>117</v>
      </c>
      <c r="C120" s="6">
        <v>68.65049</v>
      </c>
      <c r="D120" s="6">
        <v>140.91835</v>
      </c>
      <c r="E120" s="5">
        <f t="shared" si="77"/>
        <v>69.365636</v>
      </c>
      <c r="F120" s="5">
        <f t="shared" si="78"/>
        <v>135.7578019</v>
      </c>
      <c r="I120" s="5">
        <f t="shared" si="67"/>
        <v>0.000108518090914378</v>
      </c>
      <c r="J120" s="5">
        <f t="shared" si="68"/>
        <v>0.00134108579319354</v>
      </c>
    </row>
    <row r="121" spans="2:10">
      <c r="B121" s="5">
        <v>118</v>
      </c>
      <c r="C121" s="6">
        <v>70.905334</v>
      </c>
      <c r="D121" s="6">
        <v>144.274506</v>
      </c>
      <c r="E121" s="5">
        <f t="shared" si="77"/>
        <v>69.2061923</v>
      </c>
      <c r="F121" s="5">
        <f t="shared" si="78"/>
        <v>138.6361816</v>
      </c>
      <c r="I121" s="5">
        <f t="shared" si="67"/>
        <v>0.000574250500723667</v>
      </c>
      <c r="J121" s="5">
        <f t="shared" si="68"/>
        <v>0.00152728795511873</v>
      </c>
    </row>
    <row r="122" spans="2:10">
      <c r="B122" s="5">
        <v>119</v>
      </c>
      <c r="C122" s="6">
        <v>72.401154</v>
      </c>
      <c r="D122" s="6">
        <v>140.069443</v>
      </c>
      <c r="E122" s="5">
        <f t="shared" si="77"/>
        <v>70.0041358</v>
      </c>
      <c r="F122" s="5">
        <f t="shared" si="78"/>
        <v>142.0278612</v>
      </c>
      <c r="I122" s="5">
        <f t="shared" si="67"/>
        <v>0.00109610380704235</v>
      </c>
      <c r="J122" s="5">
        <f t="shared" si="68"/>
        <v>0.000195489785314782</v>
      </c>
    </row>
    <row r="123" spans="2:10">
      <c r="B123" s="5">
        <v>120</v>
      </c>
      <c r="C123" s="6">
        <v>71.235542</v>
      </c>
      <c r="D123" s="6">
        <v>135.479431</v>
      </c>
      <c r="E123" s="5">
        <f t="shared" si="77"/>
        <v>71.2022752</v>
      </c>
      <c r="F123" s="5">
        <f t="shared" si="78"/>
        <v>141.5007433</v>
      </c>
      <c r="I123" s="5">
        <f t="shared" si="67"/>
        <v>2.18086402449302e-7</v>
      </c>
      <c r="J123" s="5">
        <f t="shared" si="68"/>
        <v>0.0019753114340725</v>
      </c>
    </row>
    <row r="124" spans="2:10">
      <c r="B124" s="5">
        <v>121</v>
      </c>
      <c r="C124" s="6">
        <v>72.243446</v>
      </c>
      <c r="D124" s="6">
        <v>133.455887</v>
      </c>
      <c r="E124" s="5">
        <f t="shared" si="77"/>
        <v>71.519184</v>
      </c>
      <c r="F124" s="5">
        <f t="shared" si="78"/>
        <v>138.6154496</v>
      </c>
      <c r="I124" s="5">
        <f t="shared" si="67"/>
        <v>0.000100506579257273</v>
      </c>
      <c r="J124" s="5">
        <f t="shared" si="68"/>
        <v>0.00149468714643351</v>
      </c>
    </row>
    <row r="125" spans="2:10">
      <c r="B125" s="5">
        <v>122</v>
      </c>
      <c r="C125" s="6">
        <v>73.327736</v>
      </c>
      <c r="D125" s="6">
        <v>133.130142</v>
      </c>
      <c r="E125" s="5">
        <f t="shared" si="77"/>
        <v>71.9726164</v>
      </c>
      <c r="F125" s="5">
        <f t="shared" si="78"/>
        <v>135.3856614</v>
      </c>
      <c r="I125" s="5">
        <f t="shared" si="67"/>
        <v>0.000341522012499935</v>
      </c>
      <c r="J125" s="5">
        <f t="shared" si="68"/>
        <v>0.000287038626518869</v>
      </c>
    </row>
    <row r="126" spans="2:10">
      <c r="B126" s="5">
        <v>123</v>
      </c>
      <c r="C126" s="6">
        <v>74.084282</v>
      </c>
      <c r="D126" s="6">
        <v>131.323746</v>
      </c>
      <c r="E126" s="5">
        <f t="shared" si="77"/>
        <v>72.5840102</v>
      </c>
      <c r="F126" s="5">
        <f t="shared" si="78"/>
        <v>133.6977233</v>
      </c>
      <c r="I126" s="5">
        <f t="shared" si="67"/>
        <v>0.000410098083552488</v>
      </c>
      <c r="J126" s="5">
        <f t="shared" si="68"/>
        <v>0.000326788375110479</v>
      </c>
    </row>
    <row r="127" spans="2:10">
      <c r="B127" s="5">
        <v>124</v>
      </c>
      <c r="C127" s="6">
        <v>74.85067</v>
      </c>
      <c r="D127" s="6">
        <v>131.076965</v>
      </c>
      <c r="E127" s="5">
        <f t="shared" si="77"/>
        <v>73.489151</v>
      </c>
      <c r="F127" s="5">
        <f t="shared" si="78"/>
        <v>132.292093</v>
      </c>
      <c r="I127" s="5">
        <f t="shared" si="67"/>
        <v>0.000330868961505555</v>
      </c>
      <c r="J127" s="5">
        <f t="shared" si="68"/>
        <v>8.59391992291157e-5</v>
      </c>
    </row>
    <row r="128" spans="2:10">
      <c r="B128" s="5">
        <v>125</v>
      </c>
      <c r="C128" s="6">
        <v>77.259674</v>
      </c>
      <c r="D128" s="6">
        <v>135.143829</v>
      </c>
      <c r="E128" s="5">
        <f t="shared" si="77"/>
        <v>74.3161668</v>
      </c>
      <c r="F128" s="5">
        <f t="shared" si="78"/>
        <v>131.5616347</v>
      </c>
      <c r="I128" s="5">
        <f t="shared" si="67"/>
        <v>0.00145152480660786</v>
      </c>
      <c r="J128" s="5">
        <f t="shared" si="68"/>
        <v>0.000702596266914086</v>
      </c>
    </row>
    <row r="129" spans="2:10">
      <c r="B129" s="5">
        <v>126</v>
      </c>
      <c r="C129" s="6">
        <v>78.475372</v>
      </c>
      <c r="D129" s="6">
        <v>132.54776</v>
      </c>
      <c r="E129" s="5">
        <f t="shared" si="77"/>
        <v>75.9018944</v>
      </c>
      <c r="F129" s="5">
        <f t="shared" si="78"/>
        <v>133.1597532</v>
      </c>
      <c r="I129" s="5">
        <f t="shared" si="67"/>
        <v>0.00107540987154562</v>
      </c>
      <c r="J129" s="5">
        <f t="shared" si="68"/>
        <v>2.13180957136461e-5</v>
      </c>
    </row>
    <row r="130" spans="2:10">
      <c r="B130" s="5">
        <v>127</v>
      </c>
      <c r="C130" s="6">
        <v>77.578537</v>
      </c>
      <c r="D130" s="6">
        <v>125.944046</v>
      </c>
      <c r="E130" s="5">
        <f t="shared" si="77"/>
        <v>77.3857222</v>
      </c>
      <c r="F130" s="5">
        <f t="shared" si="78"/>
        <v>133.0324217</v>
      </c>
      <c r="I130" s="5">
        <f t="shared" si="67"/>
        <v>6.17728390734845e-6</v>
      </c>
      <c r="J130" s="5">
        <f t="shared" si="68"/>
        <v>0.00316765718099944</v>
      </c>
    </row>
    <row r="131" spans="2:10">
      <c r="B131" s="5">
        <v>128</v>
      </c>
      <c r="C131" s="6">
        <v>76.641853</v>
      </c>
      <c r="D131" s="6">
        <v>121.383652</v>
      </c>
      <c r="E131" s="5">
        <f t="shared" si="77"/>
        <v>77.7838149</v>
      </c>
      <c r="F131" s="5">
        <f t="shared" si="78"/>
        <v>129.7651168</v>
      </c>
      <c r="I131" s="5">
        <f t="shared" si="67"/>
        <v>0.000222009335232384</v>
      </c>
      <c r="J131" s="5">
        <f t="shared" si="68"/>
        <v>0.00476781561241972</v>
      </c>
    </row>
    <row r="132" spans="2:10">
      <c r="B132" s="5">
        <v>129</v>
      </c>
      <c r="C132" s="6">
        <v>77.112686</v>
      </c>
      <c r="D132" s="6">
        <v>126.335655</v>
      </c>
      <c r="E132" s="5">
        <f t="shared" si="77"/>
        <v>77.289562</v>
      </c>
      <c r="F132" s="5">
        <f t="shared" si="78"/>
        <v>124.9845918</v>
      </c>
      <c r="I132" s="5">
        <f t="shared" si="67"/>
        <v>5.26121627494059e-6</v>
      </c>
      <c r="J132" s="5">
        <f t="shared" si="68"/>
        <v>0.000114366665037301</v>
      </c>
    </row>
    <row r="133" spans="2:10">
      <c r="B133" s="5">
        <v>130</v>
      </c>
      <c r="C133" s="6">
        <v>76.656792</v>
      </c>
      <c r="D133" s="6">
        <v>124.70488</v>
      </c>
      <c r="E133" s="5">
        <f t="shared" si="77"/>
        <v>77.0646063</v>
      </c>
      <c r="F133" s="5">
        <f t="shared" si="78"/>
        <v>124.7717323</v>
      </c>
      <c r="I133" s="5">
        <f t="shared" si="67"/>
        <v>2.83024231186135e-5</v>
      </c>
      <c r="J133" s="5">
        <f t="shared" si="68"/>
        <v>2.87386133381163e-7</v>
      </c>
    </row>
    <row r="134" spans="2:10">
      <c r="B134" s="5">
        <v>131</v>
      </c>
      <c r="C134" s="6">
        <v>78.462914</v>
      </c>
      <c r="D134" s="6">
        <v>135.275101</v>
      </c>
      <c r="E134" s="5">
        <f t="shared" si="77"/>
        <v>76.7905724</v>
      </c>
      <c r="F134" s="5">
        <f t="shared" si="78"/>
        <v>124.5298669</v>
      </c>
      <c r="I134" s="5">
        <f t="shared" si="67"/>
        <v>0.000454277387851798</v>
      </c>
      <c r="J134" s="5">
        <f t="shared" si="68"/>
        <v>0.00630951576133561</v>
      </c>
    </row>
    <row r="135" spans="2:10">
      <c r="B135" s="5">
        <v>132</v>
      </c>
      <c r="C135" s="6">
        <v>78.009521</v>
      </c>
      <c r="D135" s="6">
        <v>131.208099</v>
      </c>
      <c r="E135" s="5">
        <f t="shared" si="77"/>
        <v>77.6510318</v>
      </c>
      <c r="F135" s="5">
        <f t="shared" si="78"/>
        <v>130.3161455</v>
      </c>
      <c r="I135" s="5">
        <f t="shared" si="67"/>
        <v>2.1118201552328e-5</v>
      </c>
      <c r="J135" s="5">
        <f t="shared" si="68"/>
        <v>4.62128913528868e-5</v>
      </c>
    </row>
    <row r="136" spans="2:10">
      <c r="B136" s="5">
        <v>133</v>
      </c>
      <c r="C136" s="6">
        <v>79.526665</v>
      </c>
      <c r="D136" s="6">
        <v>135.265167</v>
      </c>
      <c r="E136" s="5">
        <f t="shared" si="77"/>
        <v>77.8749931</v>
      </c>
      <c r="F136" s="5">
        <f t="shared" si="78"/>
        <v>131.1275558</v>
      </c>
      <c r="I136" s="5">
        <f t="shared" ref="I136:I160" si="79">POWER(ABS((C136-E136)/C136),2)</f>
        <v>0.000431342269947673</v>
      </c>
      <c r="J136" s="5">
        <f t="shared" ref="J136:J160" si="80">POWER(ABS((D136-F136)/D136),2)</f>
        <v>0.000935680139784103</v>
      </c>
    </row>
    <row r="137" spans="2:10">
      <c r="B137" s="5">
        <v>134</v>
      </c>
      <c r="C137" s="6">
        <v>78.933754</v>
      </c>
      <c r="D137" s="6">
        <v>136.915833</v>
      </c>
      <c r="E137" s="5">
        <f t="shared" si="77"/>
        <v>78.8587716</v>
      </c>
      <c r="F137" s="5">
        <f t="shared" si="78"/>
        <v>134.0500334</v>
      </c>
      <c r="I137" s="5">
        <f t="shared" si="79"/>
        <v>9.02387681838225e-7</v>
      </c>
      <c r="J137" s="5">
        <f t="shared" si="80"/>
        <v>0.000438111133074328</v>
      </c>
    </row>
    <row r="138" spans="2:10">
      <c r="B138" s="5">
        <v>135</v>
      </c>
      <c r="C138" s="6">
        <v>79.441963</v>
      </c>
      <c r="D138" s="6">
        <v>138.397446</v>
      </c>
      <c r="E138" s="5">
        <f t="shared" si="77"/>
        <v>78.9267807</v>
      </c>
      <c r="F138" s="5">
        <f t="shared" si="78"/>
        <v>135.2790864</v>
      </c>
      <c r="I138" s="5">
        <f t="shared" si="79"/>
        <v>4.20554160099322e-5</v>
      </c>
      <c r="J138" s="5">
        <f t="shared" si="80"/>
        <v>0.000507687229550879</v>
      </c>
    </row>
    <row r="139" spans="2:10">
      <c r="B139" s="5">
        <v>136</v>
      </c>
      <c r="C139" s="6">
        <v>78.903862</v>
      </c>
      <c r="D139" s="6">
        <v>144.125061</v>
      </c>
      <c r="E139" s="5">
        <f t="shared" si="77"/>
        <v>79.3064407</v>
      </c>
      <c r="F139" s="5">
        <f t="shared" si="78"/>
        <v>137.3265063</v>
      </c>
      <c r="I139" s="5">
        <f t="shared" si="79"/>
        <v>2.603185191833e-5</v>
      </c>
      <c r="J139" s="5">
        <f t="shared" si="80"/>
        <v>0.00222512382613207</v>
      </c>
    </row>
    <row r="140" spans="2:10">
      <c r="B140" s="5">
        <v>137</v>
      </c>
      <c r="C140" s="6">
        <v>79.247643</v>
      </c>
      <c r="D140" s="6">
        <v>147.754532</v>
      </c>
      <c r="E140" s="5">
        <f t="shared" si="77"/>
        <v>79.0712707</v>
      </c>
      <c r="F140" s="5">
        <f t="shared" si="78"/>
        <v>140.9649309</v>
      </c>
      <c r="I140" s="5">
        <f t="shared" si="79"/>
        <v>4.95322491063869e-6</v>
      </c>
      <c r="J140" s="5">
        <f t="shared" si="80"/>
        <v>0.00211157687786405</v>
      </c>
    </row>
    <row r="141" spans="2:10">
      <c r="B141" s="5">
        <v>138</v>
      </c>
      <c r="C141" s="6">
        <v>79.282524</v>
      </c>
      <c r="D141" s="6">
        <v>146.730331</v>
      </c>
      <c r="E141" s="5">
        <f t="shared" si="77"/>
        <v>79.1833727</v>
      </c>
      <c r="F141" s="5">
        <f t="shared" si="78"/>
        <v>144.7942735</v>
      </c>
      <c r="I141" s="5">
        <f t="shared" si="79"/>
        <v>1.56401851543525e-6</v>
      </c>
      <c r="J141" s="5">
        <f t="shared" si="80"/>
        <v>0.000174099173152569</v>
      </c>
    </row>
    <row r="142" spans="2:10">
      <c r="B142" s="5">
        <v>139</v>
      </c>
      <c r="C142" s="6">
        <v>79.205299</v>
      </c>
      <c r="D142" s="6">
        <v>145.029953</v>
      </c>
      <c r="E142" s="5">
        <f t="shared" si="77"/>
        <v>79.1963273</v>
      </c>
      <c r="F142" s="5">
        <f t="shared" si="78"/>
        <v>146.5165373</v>
      </c>
      <c r="I142" s="5">
        <f t="shared" si="79"/>
        <v>1.28304240581753e-8</v>
      </c>
      <c r="J142" s="5">
        <f t="shared" si="80"/>
        <v>0.000105066356313786</v>
      </c>
    </row>
    <row r="143" spans="2:10">
      <c r="B143" s="5">
        <v>140</v>
      </c>
      <c r="C143" s="6">
        <v>80.179359</v>
      </c>
      <c r="D143" s="6">
        <v>145.358093</v>
      </c>
      <c r="E143" s="5">
        <f t="shared" si="77"/>
        <v>79.2369353</v>
      </c>
      <c r="F143" s="5">
        <f t="shared" si="78"/>
        <v>146.0849822</v>
      </c>
      <c r="I143" s="5">
        <f t="shared" si="79"/>
        <v>0.000138155200832896</v>
      </c>
      <c r="J143" s="5">
        <f t="shared" si="80"/>
        <v>2.50067929968389e-5</v>
      </c>
    </row>
    <row r="144" spans="2:10">
      <c r="B144" s="5">
        <v>141</v>
      </c>
      <c r="C144" s="6">
        <v>80.550545</v>
      </c>
      <c r="D144" s="6">
        <v>147.5159</v>
      </c>
      <c r="E144" s="5">
        <f t="shared" si="77"/>
        <v>79.707774</v>
      </c>
      <c r="F144" s="5">
        <f t="shared" si="78"/>
        <v>145.5340986</v>
      </c>
      <c r="I144" s="5">
        <f t="shared" si="79"/>
        <v>0.00010946674377206</v>
      </c>
      <c r="J144" s="5">
        <f t="shared" si="80"/>
        <v>0.000180485615656794</v>
      </c>
    </row>
    <row r="145" spans="2:10">
      <c r="B145" s="5">
        <v>142</v>
      </c>
      <c r="C145" s="6">
        <v>80.99398</v>
      </c>
      <c r="D145" s="6">
        <v>152.487793</v>
      </c>
      <c r="E145" s="5">
        <f t="shared" ref="E145:E187" si="81">(SUM((0.2*C142),(0.3*C143),(0.5*C144)))</f>
        <v>80.17014</v>
      </c>
      <c r="F145" s="5">
        <f t="shared" ref="F145:F187" si="82">(SUM((0.2*D142),(0.3*D143),(0.5*D144)))</f>
        <v>146.3713685</v>
      </c>
      <c r="I145" s="5">
        <f t="shared" si="79"/>
        <v>0.000103461856727883</v>
      </c>
      <c r="J145" s="5">
        <f t="shared" si="80"/>
        <v>0.0016088852898293</v>
      </c>
    </row>
    <row r="146" spans="2:10">
      <c r="B146" s="5">
        <v>143</v>
      </c>
      <c r="C146" s="6">
        <v>80.296448</v>
      </c>
      <c r="D146" s="6">
        <v>155.033386</v>
      </c>
      <c r="E146" s="5">
        <f t="shared" si="81"/>
        <v>80.6980253</v>
      </c>
      <c r="F146" s="5">
        <f t="shared" si="82"/>
        <v>149.5702851</v>
      </c>
      <c r="I146" s="5">
        <f t="shared" si="79"/>
        <v>2.50118400323016e-5</v>
      </c>
      <c r="J146" s="5">
        <f t="shared" si="80"/>
        <v>0.00124173230186804</v>
      </c>
    </row>
    <row r="147" spans="2:10">
      <c r="B147" s="5">
        <v>144</v>
      </c>
      <c r="C147" s="6">
        <v>82.583374</v>
      </c>
      <c r="D147" s="6">
        <v>160.462677</v>
      </c>
      <c r="E147" s="5">
        <f t="shared" si="81"/>
        <v>80.556527</v>
      </c>
      <c r="F147" s="5">
        <f t="shared" si="82"/>
        <v>152.7662109</v>
      </c>
      <c r="I147" s="5">
        <f t="shared" si="79"/>
        <v>0.000602360781880281</v>
      </c>
      <c r="J147" s="5">
        <f t="shared" si="80"/>
        <v>0.0023005657776244</v>
      </c>
    </row>
    <row r="148" spans="2:10">
      <c r="B148" s="5">
        <v>145</v>
      </c>
      <c r="C148" s="6">
        <v>83.07164</v>
      </c>
      <c r="D148" s="6">
        <v>162.003967</v>
      </c>
      <c r="E148" s="5">
        <f t="shared" si="81"/>
        <v>81.5794174</v>
      </c>
      <c r="F148" s="5">
        <f t="shared" si="82"/>
        <v>157.2389129</v>
      </c>
      <c r="I148" s="5">
        <f t="shared" si="79"/>
        <v>0.000322672279824376</v>
      </c>
      <c r="J148" s="5">
        <f t="shared" si="80"/>
        <v>0.000865135977599408</v>
      </c>
    </row>
    <row r="149" spans="2:10">
      <c r="B149" s="5">
        <v>146</v>
      </c>
      <c r="C149" s="6">
        <v>85.694878</v>
      </c>
      <c r="D149" s="6">
        <v>157.211075</v>
      </c>
      <c r="E149" s="5">
        <f t="shared" si="81"/>
        <v>82.3701218</v>
      </c>
      <c r="F149" s="5">
        <f t="shared" si="82"/>
        <v>160.1474638</v>
      </c>
      <c r="I149" s="5">
        <f t="shared" si="79"/>
        <v>0.00150525431023311</v>
      </c>
      <c r="J149" s="5">
        <f t="shared" si="80"/>
        <v>0.000348867765062993</v>
      </c>
    </row>
    <row r="150" spans="2:10">
      <c r="B150" s="5">
        <v>147</v>
      </c>
      <c r="C150" s="6">
        <v>87.89959</v>
      </c>
      <c r="D150" s="6">
        <v>153.253448</v>
      </c>
      <c r="E150" s="5">
        <f t="shared" si="81"/>
        <v>84.2856058</v>
      </c>
      <c r="F150" s="5">
        <f t="shared" si="82"/>
        <v>159.299263</v>
      </c>
      <c r="I150" s="5">
        <f t="shared" si="79"/>
        <v>0.00169043626222661</v>
      </c>
      <c r="J150" s="5">
        <f t="shared" si="80"/>
        <v>0.00155628524097751</v>
      </c>
    </row>
    <row r="151" spans="2:10">
      <c r="B151" s="5">
        <v>148</v>
      </c>
      <c r="C151" s="6">
        <v>83.679497</v>
      </c>
      <c r="D151" s="6">
        <v>142.633499</v>
      </c>
      <c r="E151" s="5">
        <f t="shared" si="81"/>
        <v>86.2725864</v>
      </c>
      <c r="F151" s="5">
        <f t="shared" si="82"/>
        <v>156.1908399</v>
      </c>
      <c r="I151" s="5">
        <f t="shared" si="79"/>
        <v>0.000960277731395453</v>
      </c>
      <c r="J151" s="5">
        <f t="shared" si="80"/>
        <v>0.00903453824543555</v>
      </c>
    </row>
    <row r="152" spans="2:10">
      <c r="B152" s="5">
        <v>149</v>
      </c>
      <c r="C152" s="6">
        <v>84.401947</v>
      </c>
      <c r="D152" s="6">
        <v>143.697479</v>
      </c>
      <c r="E152" s="5">
        <f t="shared" si="81"/>
        <v>85.3486011</v>
      </c>
      <c r="F152" s="5">
        <f t="shared" si="82"/>
        <v>148.7349989</v>
      </c>
      <c r="I152" s="5">
        <f t="shared" si="79"/>
        <v>0.000125799150994202</v>
      </c>
      <c r="J152" s="5">
        <f t="shared" si="80"/>
        <v>0.00122895293609699</v>
      </c>
    </row>
    <row r="153" spans="2:10">
      <c r="B153" s="5">
        <v>150</v>
      </c>
      <c r="C153" s="6">
        <v>85.445755</v>
      </c>
      <c r="D153" s="6">
        <v>145.805573</v>
      </c>
      <c r="E153" s="5">
        <f t="shared" si="81"/>
        <v>84.8847406</v>
      </c>
      <c r="F153" s="5">
        <f t="shared" si="82"/>
        <v>145.2894788</v>
      </c>
      <c r="I153" s="5">
        <f t="shared" si="79"/>
        <v>4.31089092540394e-5</v>
      </c>
      <c r="J153" s="5">
        <f t="shared" si="80"/>
        <v>1.25288067013155e-5</v>
      </c>
    </row>
    <row r="154" spans="2:10">
      <c r="B154" s="5">
        <v>151</v>
      </c>
      <c r="C154" s="6">
        <v>87.710258</v>
      </c>
      <c r="D154" s="6">
        <v>148.271622</v>
      </c>
      <c r="E154" s="5">
        <f t="shared" si="81"/>
        <v>84.779361</v>
      </c>
      <c r="F154" s="5">
        <f t="shared" si="82"/>
        <v>144.53873</v>
      </c>
      <c r="I154" s="5">
        <f t="shared" si="79"/>
        <v>0.00111660697340008</v>
      </c>
      <c r="J154" s="5">
        <f t="shared" si="80"/>
        <v>0.000633832892843466</v>
      </c>
    </row>
    <row r="155" spans="2:10">
      <c r="B155" s="5">
        <v>152</v>
      </c>
      <c r="C155" s="6">
        <v>87.588196</v>
      </c>
      <c r="D155" s="6">
        <v>147.505951</v>
      </c>
      <c r="E155" s="5">
        <f t="shared" si="81"/>
        <v>86.3692449</v>
      </c>
      <c r="F155" s="5">
        <f t="shared" si="82"/>
        <v>146.6169787</v>
      </c>
      <c r="I155" s="5">
        <f t="shared" si="79"/>
        <v>0.000193678496084142</v>
      </c>
      <c r="J155" s="5">
        <f t="shared" si="80"/>
        <v>3.63209645868769e-5</v>
      </c>
    </row>
    <row r="156" spans="2:10">
      <c r="B156" s="5">
        <v>153</v>
      </c>
      <c r="C156" s="6">
        <v>87.623077</v>
      </c>
      <c r="D156" s="6">
        <v>147.396561</v>
      </c>
      <c r="E156" s="5">
        <f t="shared" si="81"/>
        <v>87.1963264</v>
      </c>
      <c r="F156" s="5">
        <f t="shared" si="82"/>
        <v>147.3955767</v>
      </c>
      <c r="I156" s="5">
        <f t="shared" si="79"/>
        <v>2.37198140957958e-5</v>
      </c>
      <c r="J156" s="5">
        <f t="shared" si="80"/>
        <v>4.45943941956539e-11</v>
      </c>
    </row>
    <row r="157" spans="2:10">
      <c r="B157" s="5">
        <v>154</v>
      </c>
      <c r="C157" s="6">
        <v>87.122337</v>
      </c>
      <c r="D157" s="6">
        <v>144.552643</v>
      </c>
      <c r="E157" s="5">
        <f t="shared" si="81"/>
        <v>87.6300489</v>
      </c>
      <c r="F157" s="5">
        <f t="shared" si="82"/>
        <v>147.6043902</v>
      </c>
      <c r="I157" s="5">
        <f t="shared" si="79"/>
        <v>3.3960623284608e-5</v>
      </c>
      <c r="J157" s="5">
        <f t="shared" si="80"/>
        <v>0.000445702465120935</v>
      </c>
    </row>
    <row r="158" spans="2:10">
      <c r="B158" s="5">
        <v>155</v>
      </c>
      <c r="C158" s="6">
        <v>89.401787</v>
      </c>
      <c r="D158" s="6">
        <v>144.125061</v>
      </c>
      <c r="E158" s="5">
        <f t="shared" si="81"/>
        <v>87.3657308</v>
      </c>
      <c r="F158" s="5">
        <f t="shared" si="82"/>
        <v>145.99648</v>
      </c>
      <c r="I158" s="5">
        <f t="shared" si="79"/>
        <v>0.00051866521606565</v>
      </c>
      <c r="J158" s="5">
        <f t="shared" si="80"/>
        <v>0.000168602131454778</v>
      </c>
    </row>
    <row r="159" spans="2:10">
      <c r="B159" s="5">
        <v>156</v>
      </c>
      <c r="C159" s="6">
        <v>91.310051</v>
      </c>
      <c r="D159" s="6">
        <v>144.045517</v>
      </c>
      <c r="E159" s="5">
        <f t="shared" si="81"/>
        <v>88.36221</v>
      </c>
      <c r="F159" s="5">
        <f t="shared" si="82"/>
        <v>144.9076356</v>
      </c>
      <c r="I159" s="5">
        <f t="shared" si="79"/>
        <v>0.00104224768503648</v>
      </c>
      <c r="J159" s="5">
        <f t="shared" si="80"/>
        <v>3.58207386147526e-5</v>
      </c>
    </row>
    <row r="160" spans="2:10">
      <c r="B160" s="5">
        <v>157</v>
      </c>
      <c r="C160" s="6">
        <v>89.698242</v>
      </c>
      <c r="D160" s="6">
        <v>137.572128</v>
      </c>
      <c r="E160" s="5">
        <f t="shared" si="81"/>
        <v>89.900029</v>
      </c>
      <c r="F160" s="5">
        <f t="shared" si="82"/>
        <v>144.1708054</v>
      </c>
      <c r="I160" s="5">
        <f t="shared" si="79"/>
        <v>5.06079219252028e-6</v>
      </c>
      <c r="J160" s="5">
        <f t="shared" si="80"/>
        <v>0.00230066233983739</v>
      </c>
    </row>
    <row r="161" spans="2:10">
      <c r="B161" s="5">
        <v>158</v>
      </c>
      <c r="C161" s="6">
        <v>90.889038</v>
      </c>
      <c r="D161" s="6">
        <v>141.659012</v>
      </c>
      <c r="E161" s="5">
        <f t="shared" si="81"/>
        <v>90.1224937</v>
      </c>
      <c r="F161" s="5">
        <f t="shared" si="82"/>
        <v>140.8247313</v>
      </c>
      <c r="I161" s="5">
        <f t="shared" ref="I161:I224" si="83">POWER(ABS((C161-E161)/C161),2)</f>
        <v>7.11297862674708e-5</v>
      </c>
      <c r="J161" s="5">
        <f t="shared" ref="J161:J224" si="84">POWER(ABS((D161-F161)/D161),2)</f>
        <v>3.4684543007393e-5</v>
      </c>
    </row>
    <row r="162" spans="2:10">
      <c r="B162" s="5">
        <v>159</v>
      </c>
      <c r="C162" s="6">
        <v>88.096405</v>
      </c>
      <c r="D162" s="6">
        <v>137.432907</v>
      </c>
      <c r="E162" s="5">
        <f t="shared" si="81"/>
        <v>90.6160018</v>
      </c>
      <c r="F162" s="5">
        <f t="shared" si="82"/>
        <v>140.9102478</v>
      </c>
      <c r="I162" s="5">
        <f t="shared" si="83"/>
        <v>0.000817985723072526</v>
      </c>
      <c r="J162" s="5">
        <f t="shared" si="84"/>
        <v>0.00064019613325179</v>
      </c>
    </row>
    <row r="163" spans="2:10">
      <c r="B163" s="5">
        <v>160</v>
      </c>
      <c r="C163" s="6">
        <v>90.126732</v>
      </c>
      <c r="D163" s="6">
        <v>142.434631</v>
      </c>
      <c r="E163" s="5">
        <f t="shared" si="81"/>
        <v>89.2545623</v>
      </c>
      <c r="F163" s="5">
        <f t="shared" si="82"/>
        <v>138.7285827</v>
      </c>
      <c r="I163" s="5">
        <f t="shared" si="83"/>
        <v>9.36471881912253e-5</v>
      </c>
      <c r="J163" s="5">
        <f t="shared" si="84"/>
        <v>0.000677003572658118</v>
      </c>
    </row>
    <row r="164" spans="2:10">
      <c r="B164" s="5">
        <v>161</v>
      </c>
      <c r="C164" s="6">
        <v>90.879066</v>
      </c>
      <c r="D164" s="6">
        <v>143.777023</v>
      </c>
      <c r="E164" s="5">
        <f t="shared" si="81"/>
        <v>89.6700951</v>
      </c>
      <c r="F164" s="5">
        <f t="shared" si="82"/>
        <v>140.77899</v>
      </c>
      <c r="I164" s="5">
        <f t="shared" si="83"/>
        <v>0.000176971766124591</v>
      </c>
      <c r="J164" s="5">
        <f t="shared" si="84"/>
        <v>0.000434804313428196</v>
      </c>
    </row>
    <row r="165" spans="2:10">
      <c r="B165" s="5">
        <v>162</v>
      </c>
      <c r="C165" s="6">
        <v>90.707176</v>
      </c>
      <c r="D165" s="6">
        <v>143.299728</v>
      </c>
      <c r="E165" s="5">
        <f t="shared" si="81"/>
        <v>90.0968336</v>
      </c>
      <c r="F165" s="5">
        <f t="shared" si="82"/>
        <v>142.1054822</v>
      </c>
      <c r="I165" s="5">
        <f t="shared" si="83"/>
        <v>4.52755557376387e-5</v>
      </c>
      <c r="J165" s="5">
        <f t="shared" si="84"/>
        <v>6.94539121030623e-5</v>
      </c>
    </row>
    <row r="166" spans="2:10">
      <c r="B166" s="5">
        <v>163</v>
      </c>
      <c r="C166" s="6">
        <v>90.707176</v>
      </c>
      <c r="D166" s="6">
        <v>144.20462</v>
      </c>
      <c r="E166" s="5">
        <f t="shared" si="81"/>
        <v>90.6426542</v>
      </c>
      <c r="F166" s="5">
        <f t="shared" si="82"/>
        <v>143.2698971</v>
      </c>
      <c r="I166" s="5">
        <f t="shared" si="83"/>
        <v>5.05975696471282e-7</v>
      </c>
      <c r="J166" s="5">
        <f t="shared" si="84"/>
        <v>4.20152949350173e-5</v>
      </c>
    </row>
    <row r="167" spans="2:10">
      <c r="B167" s="5">
        <v>164</v>
      </c>
      <c r="C167" s="6">
        <v>93.133614</v>
      </c>
      <c r="D167" s="6">
        <v>146.392242</v>
      </c>
      <c r="E167" s="5">
        <f t="shared" si="81"/>
        <v>90.741554</v>
      </c>
      <c r="F167" s="5">
        <f t="shared" si="82"/>
        <v>143.847633</v>
      </c>
      <c r="I167" s="5">
        <f t="shared" si="83"/>
        <v>0.000659676823170696</v>
      </c>
      <c r="J167" s="5">
        <f t="shared" si="84"/>
        <v>0.000302138447745486</v>
      </c>
    </row>
    <row r="168" spans="2:10">
      <c r="B168" s="5">
        <v>165</v>
      </c>
      <c r="C168" s="6">
        <v>92.844635</v>
      </c>
      <c r="D168" s="6">
        <v>144.154892</v>
      </c>
      <c r="E168" s="5">
        <f t="shared" si="81"/>
        <v>91.920395</v>
      </c>
      <c r="F168" s="5">
        <f t="shared" si="82"/>
        <v>145.1174526</v>
      </c>
      <c r="I168" s="5">
        <f t="shared" si="83"/>
        <v>9.90959474369788e-5</v>
      </c>
      <c r="J168" s="5">
        <f t="shared" si="84"/>
        <v>4.45858850251046e-5</v>
      </c>
    </row>
    <row r="169" spans="2:10">
      <c r="B169" s="5">
        <v>166</v>
      </c>
      <c r="C169" s="6">
        <v>95.006996</v>
      </c>
      <c r="D169" s="6">
        <v>144.771408</v>
      </c>
      <c r="E169" s="5">
        <f t="shared" si="81"/>
        <v>92.5038369</v>
      </c>
      <c r="F169" s="5">
        <f t="shared" si="82"/>
        <v>144.8360426</v>
      </c>
      <c r="I169" s="5">
        <f t="shared" si="83"/>
        <v>0.000694169831316432</v>
      </c>
      <c r="J169" s="5">
        <f t="shared" si="84"/>
        <v>1.99326267521715e-7</v>
      </c>
    </row>
    <row r="170" spans="2:10">
      <c r="B170" s="5">
        <v>167</v>
      </c>
      <c r="C170" s="6">
        <v>95.415558</v>
      </c>
      <c r="D170" s="6">
        <v>140.575134</v>
      </c>
      <c r="E170" s="5">
        <f t="shared" si="81"/>
        <v>93.9836113</v>
      </c>
      <c r="F170" s="5">
        <f t="shared" si="82"/>
        <v>144.91062</v>
      </c>
      <c r="I170" s="5">
        <f t="shared" si="83"/>
        <v>0.000225224336925007</v>
      </c>
      <c r="J170" s="5">
        <f t="shared" si="84"/>
        <v>0.000951170919527622</v>
      </c>
    </row>
    <row r="171" spans="2:10">
      <c r="B171" s="5">
        <v>168</v>
      </c>
      <c r="C171" s="6">
        <v>95.582466</v>
      </c>
      <c r="D171" s="6">
        <v>141.649063</v>
      </c>
      <c r="E171" s="5">
        <f t="shared" si="81"/>
        <v>94.7788048</v>
      </c>
      <c r="F171" s="5">
        <f t="shared" si="82"/>
        <v>142.5499678</v>
      </c>
      <c r="I171" s="5">
        <f t="shared" si="83"/>
        <v>7.0695137094337e-5</v>
      </c>
      <c r="J171" s="5">
        <f t="shared" si="84"/>
        <v>4.04511049907744e-5</v>
      </c>
    </row>
    <row r="172" spans="2:10">
      <c r="B172" s="5">
        <v>169</v>
      </c>
      <c r="C172" s="6">
        <v>95.141525</v>
      </c>
      <c r="D172" s="6">
        <v>142.683228</v>
      </c>
      <c r="E172" s="5">
        <f t="shared" si="81"/>
        <v>95.4172996</v>
      </c>
      <c r="F172" s="5">
        <f t="shared" si="82"/>
        <v>141.9513533</v>
      </c>
      <c r="I172" s="5">
        <f t="shared" si="83"/>
        <v>8.40172205194348e-6</v>
      </c>
      <c r="J172" s="5">
        <f t="shared" si="84"/>
        <v>2.63104100514472e-5</v>
      </c>
    </row>
    <row r="173" spans="2:10">
      <c r="B173" s="5">
        <v>170</v>
      </c>
      <c r="C173" s="6">
        <v>96.715965</v>
      </c>
      <c r="D173" s="6">
        <v>147.267303</v>
      </c>
      <c r="E173" s="5">
        <f t="shared" si="81"/>
        <v>95.3286139</v>
      </c>
      <c r="F173" s="5">
        <f t="shared" si="82"/>
        <v>141.9513597</v>
      </c>
      <c r="I173" s="5">
        <f t="shared" si="83"/>
        <v>0.000205767332161048</v>
      </c>
      <c r="J173" s="5">
        <f t="shared" si="84"/>
        <v>0.00130301079417835</v>
      </c>
    </row>
    <row r="174" spans="2:10">
      <c r="B174" s="5">
        <v>171</v>
      </c>
      <c r="C174" s="6">
        <v>97.381111</v>
      </c>
      <c r="D174" s="6">
        <v>151.07576</v>
      </c>
      <c r="E174" s="5">
        <f t="shared" si="81"/>
        <v>96.0169332</v>
      </c>
      <c r="F174" s="5">
        <f t="shared" si="82"/>
        <v>144.7684325</v>
      </c>
      <c r="I174" s="5">
        <f t="shared" si="83"/>
        <v>0.00019624224587618</v>
      </c>
      <c r="J174" s="5">
        <f t="shared" si="84"/>
        <v>0.00174301525528228</v>
      </c>
    </row>
    <row r="175" spans="2:10">
      <c r="B175" s="5">
        <v>172</v>
      </c>
      <c r="C175" s="6">
        <v>96.182846</v>
      </c>
      <c r="D175" s="6">
        <v>152.219299</v>
      </c>
      <c r="E175" s="5">
        <f t="shared" si="81"/>
        <v>96.73365</v>
      </c>
      <c r="F175" s="5">
        <f t="shared" si="82"/>
        <v>148.2547165</v>
      </c>
      <c r="I175" s="5">
        <f t="shared" si="83"/>
        <v>3.27943421950587e-5</v>
      </c>
      <c r="J175" s="5">
        <f t="shared" si="84"/>
        <v>0.000678352584605683</v>
      </c>
    </row>
    <row r="176" spans="2:10">
      <c r="B176" s="5">
        <v>173</v>
      </c>
      <c r="C176" s="6">
        <v>95.988533</v>
      </c>
      <c r="D176" s="6">
        <v>154.12851</v>
      </c>
      <c r="E176" s="5">
        <f t="shared" si="81"/>
        <v>96.6489493</v>
      </c>
      <c r="F176" s="5">
        <f t="shared" si="82"/>
        <v>150.8858381</v>
      </c>
      <c r="I176" s="5">
        <f t="shared" si="83"/>
        <v>4.73365779427991e-5</v>
      </c>
      <c r="J176" s="5">
        <f t="shared" si="84"/>
        <v>0.000442629195459281</v>
      </c>
    </row>
    <row r="177" spans="2:10">
      <c r="B177" s="5">
        <v>174</v>
      </c>
      <c r="C177" s="6">
        <v>98.011391</v>
      </c>
      <c r="D177" s="6">
        <v>152.527557</v>
      </c>
      <c r="E177" s="5">
        <f t="shared" si="81"/>
        <v>96.3253425</v>
      </c>
      <c r="F177" s="5">
        <f t="shared" si="82"/>
        <v>152.9451967</v>
      </c>
      <c r="I177" s="5">
        <f t="shared" si="83"/>
        <v>0.000295928655246243</v>
      </c>
      <c r="J177" s="5">
        <f t="shared" si="84"/>
        <v>7.49733508555753e-6</v>
      </c>
    </row>
    <row r="178" spans="2:10">
      <c r="B178" s="5">
        <v>175</v>
      </c>
      <c r="C178" s="6">
        <v>96.658661</v>
      </c>
      <c r="D178" s="6">
        <v>153.889847</v>
      </c>
      <c r="E178" s="5">
        <f t="shared" si="81"/>
        <v>97.0388246</v>
      </c>
      <c r="F178" s="5">
        <f t="shared" si="82"/>
        <v>152.9461913</v>
      </c>
      <c r="I178" s="5">
        <f t="shared" si="83"/>
        <v>1.54689029204992e-5</v>
      </c>
      <c r="J178" s="5">
        <f t="shared" si="84"/>
        <v>3.76016756876924e-5</v>
      </c>
    </row>
    <row r="179" spans="2:10">
      <c r="B179" s="5">
        <v>176</v>
      </c>
      <c r="C179" s="6">
        <v>96.930199</v>
      </c>
      <c r="D179" s="6">
        <v>153.740692</v>
      </c>
      <c r="E179" s="5">
        <f t="shared" si="81"/>
        <v>96.9304544</v>
      </c>
      <c r="F179" s="5">
        <f t="shared" si="82"/>
        <v>153.5288926</v>
      </c>
      <c r="I179" s="5">
        <f t="shared" si="83"/>
        <v>6.9426229106919e-12</v>
      </c>
      <c r="J179" s="5">
        <f t="shared" si="84"/>
        <v>1.89789327918765e-6</v>
      </c>
    </row>
    <row r="180" spans="2:10">
      <c r="B180" s="5">
        <v>177</v>
      </c>
      <c r="C180" s="6">
        <v>92.518288</v>
      </c>
      <c r="D180" s="6">
        <v>152.865631</v>
      </c>
      <c r="E180" s="5">
        <f t="shared" si="81"/>
        <v>97.064976</v>
      </c>
      <c r="F180" s="5">
        <f t="shared" si="82"/>
        <v>153.5428115</v>
      </c>
      <c r="I180" s="5">
        <f t="shared" si="83"/>
        <v>0.00241510007326056</v>
      </c>
      <c r="J180" s="5">
        <f t="shared" si="84"/>
        <v>1.96240743579276e-5</v>
      </c>
    </row>
    <row r="181" spans="2:10">
      <c r="B181" s="5">
        <v>178</v>
      </c>
      <c r="C181" s="6">
        <v>92.289093</v>
      </c>
      <c r="D181" s="6">
        <v>148.589813</v>
      </c>
      <c r="E181" s="5">
        <f t="shared" si="81"/>
        <v>94.6699359</v>
      </c>
      <c r="F181" s="5">
        <f t="shared" si="82"/>
        <v>153.3329925</v>
      </c>
      <c r="I181" s="5">
        <f t="shared" si="83"/>
        <v>0.000665519405197925</v>
      </c>
      <c r="J181" s="5">
        <f t="shared" si="84"/>
        <v>0.00101896917984264</v>
      </c>
    </row>
    <row r="182" spans="2:10">
      <c r="B182" s="5">
        <v>179</v>
      </c>
      <c r="C182" s="6">
        <v>94.476364</v>
      </c>
      <c r="D182" s="6">
        <v>149.912338</v>
      </c>
      <c r="E182" s="5">
        <f t="shared" si="81"/>
        <v>93.2860727</v>
      </c>
      <c r="F182" s="5">
        <f t="shared" si="82"/>
        <v>150.9027342</v>
      </c>
      <c r="I182" s="5">
        <f t="shared" si="83"/>
        <v>0.000158730424273173</v>
      </c>
      <c r="J182" s="5">
        <f t="shared" si="84"/>
        <v>4.36458721291104e-5</v>
      </c>
    </row>
    <row r="183" spans="2:10">
      <c r="B183" s="5">
        <v>180</v>
      </c>
      <c r="C183" s="6">
        <v>92.924355</v>
      </c>
      <c r="D183" s="6">
        <v>151.155304</v>
      </c>
      <c r="E183" s="5">
        <f t="shared" si="81"/>
        <v>93.4285675</v>
      </c>
      <c r="F183" s="5">
        <f t="shared" si="82"/>
        <v>150.1062391</v>
      </c>
      <c r="I183" s="5">
        <f t="shared" si="83"/>
        <v>2.94420540526282e-5</v>
      </c>
      <c r="J183" s="5">
        <f t="shared" si="84"/>
        <v>4.81679242095014e-5</v>
      </c>
    </row>
    <row r="184" spans="2:10">
      <c r="B184" s="5">
        <v>181</v>
      </c>
      <c r="C184" s="6">
        <v>94.705559</v>
      </c>
      <c r="D184" s="6">
        <v>153.710861</v>
      </c>
      <c r="E184" s="5">
        <f t="shared" si="81"/>
        <v>93.2629053</v>
      </c>
      <c r="F184" s="5">
        <f t="shared" si="82"/>
        <v>150.269316</v>
      </c>
      <c r="I184" s="5">
        <f t="shared" si="83"/>
        <v>0.000232045549954037</v>
      </c>
      <c r="J184" s="5">
        <f t="shared" si="84"/>
        <v>0.000501300103902955</v>
      </c>
    </row>
    <row r="185" spans="2:10">
      <c r="B185" s="5">
        <v>182</v>
      </c>
      <c r="C185" s="6">
        <v>95.851517</v>
      </c>
      <c r="D185" s="6">
        <v>148.321335</v>
      </c>
      <c r="E185" s="5">
        <f t="shared" si="81"/>
        <v>94.1253588</v>
      </c>
      <c r="F185" s="5">
        <f t="shared" si="82"/>
        <v>152.1844893</v>
      </c>
      <c r="I185" s="5">
        <f t="shared" si="83"/>
        <v>0.000324312143068628</v>
      </c>
      <c r="J185" s="5">
        <f t="shared" si="84"/>
        <v>0.000678385970959342</v>
      </c>
    </row>
    <row r="186" spans="2:10">
      <c r="B186" s="5">
        <v>183</v>
      </c>
      <c r="C186" s="6">
        <v>105.886086</v>
      </c>
      <c r="D186" s="6">
        <v>148.530151</v>
      </c>
      <c r="E186" s="5">
        <f t="shared" si="81"/>
        <v>94.9222972</v>
      </c>
      <c r="F186" s="5">
        <f t="shared" si="82"/>
        <v>150.5049866</v>
      </c>
      <c r="I186" s="5">
        <f t="shared" si="83"/>
        <v>0.0107212033019591</v>
      </c>
      <c r="J186" s="5">
        <f t="shared" si="84"/>
        <v>0.000176779804791588</v>
      </c>
    </row>
    <row r="187" spans="2:10">
      <c r="B187" s="5">
        <v>184</v>
      </c>
      <c r="C187" s="6">
        <v>108.554153</v>
      </c>
      <c r="D187" s="6">
        <v>147.694885</v>
      </c>
      <c r="E187" s="5">
        <f t="shared" si="81"/>
        <v>100.6396099</v>
      </c>
      <c r="F187" s="5">
        <f t="shared" si="82"/>
        <v>149.5036482</v>
      </c>
      <c r="I187" s="5">
        <f t="shared" si="83"/>
        <v>0.00531567977844054</v>
      </c>
      <c r="J187" s="5">
        <f t="shared" si="84"/>
        <v>0.000149979712611961</v>
      </c>
    </row>
    <row r="188" spans="2:10">
      <c r="B188" s="5">
        <v>185</v>
      </c>
      <c r="C188" s="6">
        <v>109.279099</v>
      </c>
      <c r="D188" s="6">
        <v>146.501633</v>
      </c>
      <c r="E188" s="5">
        <f t="shared" ref="E188:E238" si="85">(SUM((0.2*C185),(0.3*C186),(0.5*C187)))</f>
        <v>105.2132057</v>
      </c>
      <c r="F188" s="5">
        <f t="shared" ref="F188:F238" si="86">(SUM((0.2*D185),(0.3*D186),(0.5*D187)))</f>
        <v>148.0707548</v>
      </c>
      <c r="I188" s="5">
        <f t="shared" si="83"/>
        <v>0.00138432398480357</v>
      </c>
      <c r="J188" s="5">
        <f t="shared" si="84"/>
        <v>0.000114717158467786</v>
      </c>
    </row>
    <row r="189" spans="2:10">
      <c r="B189" s="5">
        <v>186</v>
      </c>
      <c r="C189" s="6">
        <v>109.675194</v>
      </c>
      <c r="D189" s="6">
        <v>149.972015</v>
      </c>
      <c r="E189" s="5">
        <f t="shared" si="85"/>
        <v>108.3830126</v>
      </c>
      <c r="F189" s="5">
        <f t="shared" si="86"/>
        <v>147.2653122</v>
      </c>
      <c r="I189" s="5">
        <f t="shared" si="83"/>
        <v>0.000138813002564137</v>
      </c>
      <c r="J189" s="5">
        <f t="shared" si="84"/>
        <v>0.000325732198982399</v>
      </c>
    </row>
    <row r="190" spans="2:10">
      <c r="B190" s="5">
        <v>187</v>
      </c>
      <c r="C190" s="6">
        <v>113.501678</v>
      </c>
      <c r="D190" s="6">
        <v>151.722107</v>
      </c>
      <c r="E190" s="5">
        <f t="shared" si="85"/>
        <v>109.3321573</v>
      </c>
      <c r="F190" s="5">
        <f t="shared" si="86"/>
        <v>148.4754744</v>
      </c>
      <c r="I190" s="5">
        <f t="shared" si="83"/>
        <v>0.00134948388964802</v>
      </c>
      <c r="J190" s="5">
        <f t="shared" si="84"/>
        <v>0.000457897803111225</v>
      </c>
    </row>
    <row r="191" spans="2:10">
      <c r="B191" s="5">
        <v>188</v>
      </c>
      <c r="C191" s="6">
        <v>110.921135</v>
      </c>
      <c r="D191" s="6">
        <v>154.237885</v>
      </c>
      <c r="E191" s="5">
        <f t="shared" si="85"/>
        <v>111.509217</v>
      </c>
      <c r="F191" s="5">
        <f t="shared" si="86"/>
        <v>150.1529846</v>
      </c>
      <c r="I191" s="5">
        <f t="shared" si="83"/>
        <v>2.81091144479425e-5</v>
      </c>
      <c r="J191" s="5">
        <f t="shared" si="84"/>
        <v>0.000701424322009468</v>
      </c>
    </row>
    <row r="192" spans="2:10">
      <c r="B192" s="5">
        <v>189</v>
      </c>
      <c r="C192" s="6">
        <v>112.533356</v>
      </c>
      <c r="D192" s="6">
        <v>158.533585</v>
      </c>
      <c r="E192" s="5">
        <f t="shared" si="85"/>
        <v>111.4461097</v>
      </c>
      <c r="F192" s="5">
        <f t="shared" si="86"/>
        <v>152.6299776</v>
      </c>
      <c r="I192" s="5">
        <f t="shared" si="83"/>
        <v>9.33454890489303e-5</v>
      </c>
      <c r="J192" s="5">
        <f t="shared" si="84"/>
        <v>0.0013867314833942</v>
      </c>
    </row>
    <row r="193" spans="2:10">
      <c r="B193" s="5">
        <v>190</v>
      </c>
      <c r="C193" s="6">
        <v>109.186623</v>
      </c>
      <c r="D193" s="6">
        <v>159.378815</v>
      </c>
      <c r="E193" s="5">
        <f t="shared" si="85"/>
        <v>112.2433541</v>
      </c>
      <c r="F193" s="5">
        <f t="shared" si="86"/>
        <v>155.8825794</v>
      </c>
      <c r="I193" s="5">
        <f t="shared" si="83"/>
        <v>0.000783746479696052</v>
      </c>
      <c r="J193" s="5">
        <f t="shared" si="84"/>
        <v>0.000481216150187731</v>
      </c>
    </row>
    <row r="194" spans="2:10">
      <c r="B194" s="5">
        <v>191</v>
      </c>
      <c r="C194" s="6">
        <v>112.815369</v>
      </c>
      <c r="D194" s="6">
        <v>159.169998</v>
      </c>
      <c r="E194" s="5">
        <f t="shared" si="85"/>
        <v>110.5375453</v>
      </c>
      <c r="F194" s="5">
        <f t="shared" si="86"/>
        <v>158.09706</v>
      </c>
      <c r="I194" s="5">
        <f t="shared" si="83"/>
        <v>0.000407665235979609</v>
      </c>
      <c r="J194" s="5">
        <f t="shared" si="84"/>
        <v>4.54387977606015e-5</v>
      </c>
    </row>
    <row r="195" spans="2:10">
      <c r="B195" s="5">
        <v>192</v>
      </c>
      <c r="C195" s="6">
        <v>114.81192</v>
      </c>
      <c r="D195" s="6">
        <v>158.979996</v>
      </c>
      <c r="E195" s="5">
        <f t="shared" si="85"/>
        <v>111.6703426</v>
      </c>
      <c r="F195" s="5">
        <f t="shared" si="86"/>
        <v>159.1053605</v>
      </c>
      <c r="I195" s="5">
        <f t="shared" si="83"/>
        <v>0.000748723679636888</v>
      </c>
      <c r="J195" s="5">
        <f t="shared" si="84"/>
        <v>6.21819278232304e-7</v>
      </c>
    </row>
    <row r="196" spans="2:10">
      <c r="B196" s="5">
        <v>193</v>
      </c>
      <c r="C196" s="6">
        <v>114.709602</v>
      </c>
      <c r="D196" s="6">
        <v>160.279999</v>
      </c>
      <c r="E196" s="5">
        <f t="shared" si="85"/>
        <v>113.0878953</v>
      </c>
      <c r="F196" s="5">
        <f t="shared" si="86"/>
        <v>159.1167604</v>
      </c>
      <c r="I196" s="5">
        <f t="shared" si="83"/>
        <v>0.000199868832727604</v>
      </c>
      <c r="J196" s="5">
        <f t="shared" si="84"/>
        <v>5.2671895550645e-5</v>
      </c>
    </row>
    <row r="197" spans="2:10">
      <c r="B197" s="5">
        <v>194</v>
      </c>
      <c r="C197" s="6">
        <v>114.41011</v>
      </c>
      <c r="D197" s="6">
        <v>158.759995</v>
      </c>
      <c r="E197" s="5">
        <f t="shared" si="85"/>
        <v>114.3614508</v>
      </c>
      <c r="F197" s="5">
        <f t="shared" si="86"/>
        <v>159.6679979</v>
      </c>
      <c r="I197" s="5">
        <f t="shared" si="83"/>
        <v>1.80884403740501e-7</v>
      </c>
      <c r="J197" s="5">
        <f t="shared" si="84"/>
        <v>3.27108867953534e-5</v>
      </c>
    </row>
    <row r="198" spans="2:10">
      <c r="B198" s="5">
        <v>195</v>
      </c>
      <c r="C198" s="6">
        <v>115.363472</v>
      </c>
      <c r="D198" s="6">
        <v>157.380005</v>
      </c>
      <c r="E198" s="5">
        <f t="shared" si="85"/>
        <v>114.5803196</v>
      </c>
      <c r="F198" s="5">
        <f t="shared" si="86"/>
        <v>159.2599964</v>
      </c>
      <c r="I198" s="5">
        <f t="shared" si="83"/>
        <v>4.60846114288711e-5</v>
      </c>
      <c r="J198" s="5">
        <f t="shared" si="84"/>
        <v>0.000142696268223174</v>
      </c>
    </row>
    <row r="199" spans="2:10">
      <c r="B199" s="5">
        <v>196</v>
      </c>
      <c r="C199" s="6">
        <v>115.508217</v>
      </c>
      <c r="D199" s="6">
        <v>156.850006</v>
      </c>
      <c r="E199" s="5">
        <f t="shared" si="85"/>
        <v>114.9466894</v>
      </c>
      <c r="F199" s="5">
        <f t="shared" si="86"/>
        <v>158.3740008</v>
      </c>
      <c r="I199" s="5">
        <f t="shared" si="83"/>
        <v>2.36328693824054e-5</v>
      </c>
      <c r="J199" s="5">
        <f t="shared" si="84"/>
        <v>9.44056291835222e-5</v>
      </c>
    </row>
    <row r="200" spans="2:10">
      <c r="B200" s="5">
        <v>197</v>
      </c>
      <c r="C200" s="6">
        <v>118.071297</v>
      </c>
      <c r="D200" s="6">
        <v>156.169998</v>
      </c>
      <c r="E200" s="5">
        <f t="shared" si="85"/>
        <v>115.2451721</v>
      </c>
      <c r="F200" s="5">
        <f t="shared" si="86"/>
        <v>157.3910035</v>
      </c>
      <c r="I200" s="5">
        <f t="shared" si="83"/>
        <v>0.000572920068393968</v>
      </c>
      <c r="J200" s="5">
        <f t="shared" si="84"/>
        <v>6.11279780843015e-5</v>
      </c>
    </row>
    <row r="201" spans="2:10">
      <c r="B201" s="5">
        <v>198</v>
      </c>
      <c r="C201" s="6">
        <v>124.1558</v>
      </c>
      <c r="D201" s="6">
        <v>157.5</v>
      </c>
      <c r="E201" s="5">
        <f t="shared" si="85"/>
        <v>116.760808</v>
      </c>
      <c r="F201" s="5">
        <f t="shared" si="86"/>
        <v>156.6160018</v>
      </c>
      <c r="I201" s="5">
        <f t="shared" si="83"/>
        <v>0.00354765510202051</v>
      </c>
      <c r="J201" s="5">
        <f t="shared" si="84"/>
        <v>3.1502255181789e-5</v>
      </c>
    </row>
    <row r="202" spans="2:10">
      <c r="B202" s="5">
        <v>199</v>
      </c>
      <c r="C202" s="6">
        <v>125.640739</v>
      </c>
      <c r="D202" s="6">
        <v>159.369995</v>
      </c>
      <c r="E202" s="5">
        <f t="shared" si="85"/>
        <v>120.6009325</v>
      </c>
      <c r="F202" s="5">
        <f t="shared" si="86"/>
        <v>156.9710006</v>
      </c>
      <c r="I202" s="5">
        <f t="shared" si="83"/>
        <v>0.00160903970236259</v>
      </c>
      <c r="J202" s="5">
        <f t="shared" si="84"/>
        <v>0.000226592405735235</v>
      </c>
    </row>
    <row r="203" spans="2:10">
      <c r="B203" s="5">
        <v>200</v>
      </c>
      <c r="C203" s="6">
        <v>124.610016</v>
      </c>
      <c r="D203" s="6">
        <v>164.529999</v>
      </c>
      <c r="E203" s="5">
        <f t="shared" si="85"/>
        <v>123.6813689</v>
      </c>
      <c r="F203" s="5">
        <f t="shared" si="86"/>
        <v>158.1689971</v>
      </c>
      <c r="I203" s="5">
        <f t="shared" si="83"/>
        <v>5.55386744449814e-5</v>
      </c>
      <c r="J203" s="5">
        <f t="shared" si="84"/>
        <v>0.00149472349285508</v>
      </c>
    </row>
    <row r="204" spans="2:10">
      <c r="B204" s="5">
        <v>201</v>
      </c>
      <c r="C204" s="6">
        <v>126.304596</v>
      </c>
      <c r="D204" s="6">
        <v>165.309998</v>
      </c>
      <c r="E204" s="5">
        <f t="shared" si="85"/>
        <v>124.8283897</v>
      </c>
      <c r="F204" s="5">
        <f t="shared" si="86"/>
        <v>161.575998</v>
      </c>
      <c r="I204" s="5">
        <f t="shared" si="83"/>
        <v>0.000136601604575818</v>
      </c>
      <c r="J204" s="5">
        <f t="shared" si="84"/>
        <v>0.000510211667674127</v>
      </c>
    </row>
    <row r="205" spans="2:10">
      <c r="B205" s="5">
        <v>202</v>
      </c>
      <c r="C205" s="6">
        <v>124.794701</v>
      </c>
      <c r="D205" s="6">
        <v>165.990005</v>
      </c>
      <c r="E205" s="5">
        <f t="shared" si="85"/>
        <v>125.6634506</v>
      </c>
      <c r="F205" s="5">
        <f t="shared" si="86"/>
        <v>163.8879977</v>
      </c>
      <c r="I205" s="5">
        <f t="shared" si="83"/>
        <v>4.84615103913868e-5</v>
      </c>
      <c r="J205" s="5">
        <f t="shared" si="84"/>
        <v>0.000160363144602637</v>
      </c>
    </row>
    <row r="206" spans="2:10">
      <c r="B206" s="5">
        <v>203</v>
      </c>
      <c r="C206" s="6">
        <v>124.592552</v>
      </c>
      <c r="D206" s="6">
        <v>168.380005</v>
      </c>
      <c r="E206" s="5">
        <f t="shared" si="85"/>
        <v>125.2107325</v>
      </c>
      <c r="F206" s="5">
        <f t="shared" si="86"/>
        <v>165.4940017</v>
      </c>
      <c r="I206" s="5">
        <f t="shared" si="83"/>
        <v>2.46176413370985e-5</v>
      </c>
      <c r="J206" s="5">
        <f t="shared" si="84"/>
        <v>0.00029377349532946</v>
      </c>
    </row>
    <row r="207" spans="2:10">
      <c r="B207" s="5">
        <v>204</v>
      </c>
      <c r="C207" s="6">
        <v>128.817749</v>
      </c>
      <c r="D207" s="6">
        <v>165.550003</v>
      </c>
      <c r="E207" s="5">
        <f t="shared" si="85"/>
        <v>124.9956055</v>
      </c>
      <c r="F207" s="5">
        <f t="shared" si="86"/>
        <v>167.0490036</v>
      </c>
      <c r="I207" s="5">
        <f t="shared" si="83"/>
        <v>0.000880364587653039</v>
      </c>
      <c r="J207" s="5">
        <f t="shared" si="84"/>
        <v>8.19870438137609e-5</v>
      </c>
    </row>
    <row r="208" spans="2:10">
      <c r="B208" s="5">
        <v>205</v>
      </c>
      <c r="C208" s="6">
        <v>133.948898</v>
      </c>
      <c r="D208" s="6">
        <v>167.970001</v>
      </c>
      <c r="E208" s="5">
        <f t="shared" si="85"/>
        <v>126.7455803</v>
      </c>
      <c r="F208" s="5">
        <f t="shared" si="86"/>
        <v>166.487004</v>
      </c>
      <c r="I208" s="5">
        <f t="shared" si="83"/>
        <v>0.00289192382510543</v>
      </c>
      <c r="J208" s="5">
        <f t="shared" si="84"/>
        <v>7.79501751499689e-5</v>
      </c>
    </row>
    <row r="209" spans="2:10">
      <c r="B209" s="5">
        <v>206</v>
      </c>
      <c r="C209" s="6">
        <v>131.173691</v>
      </c>
      <c r="D209" s="6">
        <v>172.470001</v>
      </c>
      <c r="E209" s="5">
        <f t="shared" si="85"/>
        <v>130.5382841</v>
      </c>
      <c r="F209" s="5">
        <f t="shared" si="86"/>
        <v>167.3260024</v>
      </c>
      <c r="I209" s="5">
        <f t="shared" si="83"/>
        <v>2.34644497975882e-5</v>
      </c>
      <c r="J209" s="5">
        <f t="shared" si="84"/>
        <v>0.000889558577462942</v>
      </c>
    </row>
    <row r="210" spans="2:10">
      <c r="B210" s="5">
        <v>207</v>
      </c>
      <c r="C210" s="6">
        <v>120.671806</v>
      </c>
      <c r="D210" s="6">
        <v>166.300003</v>
      </c>
      <c r="E210" s="5">
        <f t="shared" si="85"/>
        <v>131.5350647</v>
      </c>
      <c r="F210" s="5">
        <f t="shared" si="86"/>
        <v>169.7360014</v>
      </c>
      <c r="I210" s="5">
        <f t="shared" si="83"/>
        <v>0.0081041714266838</v>
      </c>
      <c r="J210" s="5">
        <f t="shared" si="84"/>
        <v>0.000426895318064613</v>
      </c>
    </row>
    <row r="211" spans="2:10">
      <c r="B211" s="5">
        <v>208</v>
      </c>
      <c r="C211" s="6">
        <v>120.751671</v>
      </c>
      <c r="D211" s="6">
        <v>166.690002</v>
      </c>
      <c r="E211" s="5">
        <f t="shared" si="85"/>
        <v>126.4777899</v>
      </c>
      <c r="F211" s="5">
        <f t="shared" si="86"/>
        <v>168.485002</v>
      </c>
      <c r="I211" s="5">
        <f t="shared" si="83"/>
        <v>0.00224871504028561</v>
      </c>
      <c r="J211" s="5">
        <f t="shared" si="84"/>
        <v>0.000115960426024451</v>
      </c>
    </row>
    <row r="212" spans="2:10">
      <c r="B212" s="5">
        <v>209</v>
      </c>
      <c r="C212" s="6">
        <v>112.625694</v>
      </c>
      <c r="D212" s="6">
        <v>164.270004</v>
      </c>
      <c r="E212" s="5">
        <f t="shared" si="85"/>
        <v>122.8121155</v>
      </c>
      <c r="F212" s="5">
        <f t="shared" si="86"/>
        <v>167.7290021</v>
      </c>
      <c r="I212" s="5">
        <f t="shared" si="83"/>
        <v>0.0081802829374204</v>
      </c>
      <c r="J212" s="5">
        <f t="shared" si="84"/>
        <v>0.000443388180134205</v>
      </c>
    </row>
    <row r="213" spans="2:10">
      <c r="B213" s="5">
        <v>210</v>
      </c>
      <c r="C213" s="6">
        <v>117.117943</v>
      </c>
      <c r="D213" s="6">
        <v>165.75</v>
      </c>
      <c r="E213" s="5">
        <f t="shared" si="85"/>
        <v>116.6727095</v>
      </c>
      <c r="F213" s="5">
        <f t="shared" si="86"/>
        <v>165.4020032</v>
      </c>
      <c r="I213" s="5">
        <f t="shared" si="83"/>
        <v>1.44520280407234e-5</v>
      </c>
      <c r="J213" s="5">
        <f t="shared" si="84"/>
        <v>4.40801868412825e-6</v>
      </c>
    </row>
    <row r="214" spans="2:10">
      <c r="B214" s="5">
        <v>211</v>
      </c>
      <c r="C214" s="6">
        <v>113.29454</v>
      </c>
      <c r="D214" s="6">
        <v>164.270004</v>
      </c>
      <c r="E214" s="5">
        <f t="shared" si="85"/>
        <v>116.4970139</v>
      </c>
      <c r="F214" s="5">
        <f t="shared" si="86"/>
        <v>165.4940016</v>
      </c>
      <c r="I214" s="5">
        <f t="shared" si="83"/>
        <v>0.00079901188080795</v>
      </c>
      <c r="J214" s="5">
        <f t="shared" si="84"/>
        <v>5.55193786551155e-5</v>
      </c>
    </row>
    <row r="215" spans="2:10">
      <c r="B215" s="5">
        <v>212</v>
      </c>
      <c r="C215" s="6">
        <v>111.807106</v>
      </c>
      <c r="D215" s="6">
        <v>166.449997</v>
      </c>
      <c r="E215" s="5">
        <f t="shared" si="85"/>
        <v>114.3077917</v>
      </c>
      <c r="F215" s="5">
        <f t="shared" si="86"/>
        <v>164.7140028</v>
      </c>
      <c r="I215" s="5">
        <f t="shared" si="83"/>
        <v>0.000500241143539231</v>
      </c>
      <c r="J215" s="5">
        <f t="shared" si="84"/>
        <v>0.000108774966040431</v>
      </c>
    </row>
    <row r="216" spans="2:10">
      <c r="B216" s="5">
        <v>213</v>
      </c>
      <c r="C216" s="6">
        <v>115.161316</v>
      </c>
      <c r="D216" s="6">
        <v>168.470001</v>
      </c>
      <c r="E216" s="5">
        <f t="shared" si="85"/>
        <v>113.3155036</v>
      </c>
      <c r="F216" s="5">
        <f t="shared" si="86"/>
        <v>165.6559997</v>
      </c>
      <c r="I216" s="5">
        <f t="shared" si="83"/>
        <v>0.000256898684391528</v>
      </c>
      <c r="J216" s="5">
        <f t="shared" si="84"/>
        <v>0.000278999503606707</v>
      </c>
    </row>
    <row r="217" spans="2:10">
      <c r="B217" s="5">
        <v>214</v>
      </c>
      <c r="C217" s="6">
        <v>115.341011</v>
      </c>
      <c r="D217" s="6">
        <v>168.300003</v>
      </c>
      <c r="E217" s="5">
        <f t="shared" si="85"/>
        <v>113.7816978</v>
      </c>
      <c r="F217" s="5">
        <f t="shared" si="86"/>
        <v>167.0240004</v>
      </c>
      <c r="I217" s="5">
        <f t="shared" si="83"/>
        <v>0.000182767597493432</v>
      </c>
      <c r="J217" s="5">
        <f t="shared" si="84"/>
        <v>5.74823971835761e-5</v>
      </c>
    </row>
    <row r="218" spans="2:10">
      <c r="B218" s="5">
        <v>215</v>
      </c>
      <c r="C218" s="6">
        <v>111.936882</v>
      </c>
      <c r="D218" s="6">
        <v>170</v>
      </c>
      <c r="E218" s="5">
        <f t="shared" si="85"/>
        <v>114.5803215</v>
      </c>
      <c r="F218" s="5">
        <f t="shared" si="86"/>
        <v>167.9810012</v>
      </c>
      <c r="I218" s="5">
        <f t="shared" si="83"/>
        <v>0.000557689335230793</v>
      </c>
      <c r="J218" s="5">
        <f t="shared" si="84"/>
        <v>0.000141050385965447</v>
      </c>
    </row>
    <row r="219" spans="2:10">
      <c r="B219" s="5">
        <v>216</v>
      </c>
      <c r="C219" s="6">
        <v>110.149963</v>
      </c>
      <c r="D219" s="6">
        <v>170.339996</v>
      </c>
      <c r="E219" s="5">
        <f t="shared" si="85"/>
        <v>113.6030075</v>
      </c>
      <c r="F219" s="5">
        <f t="shared" si="86"/>
        <v>169.1840011</v>
      </c>
      <c r="I219" s="5">
        <f t="shared" si="83"/>
        <v>0.000982733224910415</v>
      </c>
      <c r="J219" s="5">
        <f t="shared" si="84"/>
        <v>4.60551891950028e-5</v>
      </c>
    </row>
    <row r="220" spans="2:10">
      <c r="B220" s="5">
        <v>217</v>
      </c>
      <c r="C220" s="6">
        <v>106.655991</v>
      </c>
      <c r="D220" s="6">
        <v>168.699997</v>
      </c>
      <c r="E220" s="5">
        <f t="shared" si="85"/>
        <v>111.7242483</v>
      </c>
      <c r="F220" s="5">
        <f t="shared" si="86"/>
        <v>169.8299986</v>
      </c>
      <c r="I220" s="5">
        <f t="shared" si="83"/>
        <v>0.00225811886239656</v>
      </c>
      <c r="J220" s="5">
        <f t="shared" si="84"/>
        <v>4.48670966344703e-5</v>
      </c>
    </row>
    <row r="221" spans="2:10">
      <c r="B221" s="5">
        <v>218</v>
      </c>
      <c r="C221" s="6">
        <v>109.890411</v>
      </c>
      <c r="D221" s="6">
        <v>161.369995</v>
      </c>
      <c r="E221" s="5">
        <f t="shared" si="85"/>
        <v>108.7603608</v>
      </c>
      <c r="F221" s="5">
        <f t="shared" si="86"/>
        <v>169.4519973</v>
      </c>
      <c r="I221" s="5">
        <f t="shared" si="83"/>
        <v>0.000105748904642863</v>
      </c>
      <c r="J221" s="5">
        <f t="shared" si="84"/>
        <v>0.00250837444915839</v>
      </c>
    </row>
    <row r="222" spans="2:10">
      <c r="B222" s="5">
        <v>219</v>
      </c>
      <c r="C222" s="6">
        <v>111.617432</v>
      </c>
      <c r="D222" s="6">
        <v>162.679993</v>
      </c>
      <c r="E222" s="5">
        <f t="shared" si="85"/>
        <v>108.9719954</v>
      </c>
      <c r="F222" s="5">
        <f t="shared" si="86"/>
        <v>165.3629958</v>
      </c>
      <c r="I222" s="5">
        <f t="shared" si="83"/>
        <v>0.000561733937364027</v>
      </c>
      <c r="J222" s="5">
        <f t="shared" si="84"/>
        <v>0.000272003167662564</v>
      </c>
    </row>
    <row r="223" spans="2:10">
      <c r="B223" s="5">
        <v>220</v>
      </c>
      <c r="C223" s="6">
        <v>106.935509</v>
      </c>
      <c r="D223" s="6">
        <v>158.789993</v>
      </c>
      <c r="E223" s="5">
        <f t="shared" si="85"/>
        <v>110.1070375</v>
      </c>
      <c r="F223" s="5">
        <f t="shared" si="86"/>
        <v>163.4909944</v>
      </c>
      <c r="I223" s="5">
        <f t="shared" si="83"/>
        <v>0.000879616474798607</v>
      </c>
      <c r="J223" s="5">
        <f t="shared" si="84"/>
        <v>0.000876464846389689</v>
      </c>
    </row>
    <row r="224" spans="2:10">
      <c r="B224" s="5">
        <v>221</v>
      </c>
      <c r="C224" s="6">
        <v>108.033615</v>
      </c>
      <c r="D224" s="6">
        <v>158.759995</v>
      </c>
      <c r="E224" s="5">
        <f t="shared" si="85"/>
        <v>108.9310663</v>
      </c>
      <c r="F224" s="5">
        <f t="shared" si="86"/>
        <v>160.4729934</v>
      </c>
      <c r="I224" s="5">
        <f t="shared" si="83"/>
        <v>6.90087188466975e-5</v>
      </c>
      <c r="J224" s="5">
        <f t="shared" si="84"/>
        <v>0.000116421116926555</v>
      </c>
    </row>
    <row r="225" spans="2:10">
      <c r="B225" s="5">
        <v>222</v>
      </c>
      <c r="C225" s="6">
        <v>112.086624</v>
      </c>
      <c r="D225" s="6">
        <v>161.490005</v>
      </c>
      <c r="E225" s="5">
        <f t="shared" si="85"/>
        <v>108.4209466</v>
      </c>
      <c r="F225" s="5">
        <f t="shared" si="86"/>
        <v>159.552994</v>
      </c>
      <c r="I225" s="5">
        <f t="shared" ref="I225:I253" si="87">POWER(ABS((C225-E225)/C225),2)</f>
        <v>0.00106954954364696</v>
      </c>
      <c r="J225" s="5">
        <f t="shared" ref="J225:J253" si="88">POWER(ABS((D225-F225)/D225),2)</f>
        <v>0.000143870872732057</v>
      </c>
    </row>
    <row r="226" spans="2:10">
      <c r="B226" s="5">
        <v>223</v>
      </c>
      <c r="C226" s="6">
        <v>114.762009</v>
      </c>
      <c r="D226" s="6">
        <v>164.639999</v>
      </c>
      <c r="E226" s="5">
        <f t="shared" si="85"/>
        <v>109.8404983</v>
      </c>
      <c r="F226" s="5">
        <f t="shared" si="86"/>
        <v>160.1309996</v>
      </c>
      <c r="I226" s="5">
        <f t="shared" si="87"/>
        <v>0.00183907983580883</v>
      </c>
      <c r="J226" s="5">
        <f t="shared" si="88"/>
        <v>0.000750049015716847</v>
      </c>
    </row>
    <row r="227" spans="2:10">
      <c r="B227" s="5">
        <v>224</v>
      </c>
      <c r="C227" s="6">
        <v>113.893501</v>
      </c>
      <c r="D227" s="6">
        <v>164.509995</v>
      </c>
      <c r="E227" s="5">
        <f t="shared" si="85"/>
        <v>112.6137147</v>
      </c>
      <c r="F227" s="5">
        <f t="shared" si="86"/>
        <v>162.519</v>
      </c>
      <c r="I227" s="5">
        <f t="shared" si="87"/>
        <v>0.000126263268504372</v>
      </c>
      <c r="J227" s="5">
        <f t="shared" si="88"/>
        <v>0.000146472387438579</v>
      </c>
    </row>
    <row r="228" spans="2:10">
      <c r="B228" s="5">
        <v>225</v>
      </c>
      <c r="C228" s="6">
        <v>115.610542</v>
      </c>
      <c r="D228" s="6">
        <v>164.610001</v>
      </c>
      <c r="E228" s="5">
        <f t="shared" si="85"/>
        <v>113.792678</v>
      </c>
      <c r="F228" s="5">
        <f t="shared" si="86"/>
        <v>163.9449982</v>
      </c>
      <c r="I228" s="5">
        <f t="shared" si="87"/>
        <v>0.000247245219890276</v>
      </c>
      <c r="J228" s="5">
        <f t="shared" si="88"/>
        <v>1.63205395674227e-5</v>
      </c>
    </row>
    <row r="229" spans="2:10">
      <c r="B229" s="5">
        <v>226</v>
      </c>
      <c r="C229" s="6">
        <v>116.58886</v>
      </c>
      <c r="D229" s="6">
        <v>163.679993</v>
      </c>
      <c r="E229" s="5">
        <f t="shared" si="85"/>
        <v>114.9257231</v>
      </c>
      <c r="F229" s="5">
        <f t="shared" si="86"/>
        <v>164.5859988</v>
      </c>
      <c r="I229" s="5">
        <f t="shared" si="87"/>
        <v>0.000203489444902314</v>
      </c>
      <c r="J229" s="5">
        <f t="shared" si="88"/>
        <v>3.06387300544118e-5</v>
      </c>
    </row>
    <row r="230" spans="2:10">
      <c r="B230" s="5">
        <v>227</v>
      </c>
      <c r="C230" s="6">
        <v>112.825348</v>
      </c>
      <c r="D230" s="6">
        <v>165.610001</v>
      </c>
      <c r="E230" s="5">
        <f t="shared" si="85"/>
        <v>115.7562928</v>
      </c>
      <c r="F230" s="5">
        <f t="shared" si="86"/>
        <v>164.1249958</v>
      </c>
      <c r="I230" s="5">
        <f t="shared" si="87"/>
        <v>0.000674841706498175</v>
      </c>
      <c r="J230" s="5">
        <f t="shared" si="88"/>
        <v>8.04049579677323e-5</v>
      </c>
    </row>
    <row r="231" spans="2:10">
      <c r="B231" s="5">
        <v>228</v>
      </c>
      <c r="C231" s="6">
        <v>116.299355</v>
      </c>
      <c r="D231" s="6">
        <v>168.720001</v>
      </c>
      <c r="E231" s="5">
        <f t="shared" si="85"/>
        <v>114.5114404</v>
      </c>
      <c r="F231" s="5">
        <f t="shared" si="86"/>
        <v>164.8309986</v>
      </c>
      <c r="I231" s="5">
        <f t="shared" si="87"/>
        <v>0.000236340924146176</v>
      </c>
      <c r="J231" s="5">
        <f t="shared" si="88"/>
        <v>0.000531304242399439</v>
      </c>
    </row>
    <row r="232" spans="2:10">
      <c r="B232" s="5">
        <v>229</v>
      </c>
      <c r="C232" s="6">
        <v>112.965111</v>
      </c>
      <c r="D232" s="6">
        <v>166.889999</v>
      </c>
      <c r="E232" s="5">
        <f t="shared" si="85"/>
        <v>115.3150539</v>
      </c>
      <c r="F232" s="5">
        <f t="shared" si="86"/>
        <v>166.7789994</v>
      </c>
      <c r="I232" s="5">
        <f t="shared" si="87"/>
        <v>0.000432738915784147</v>
      </c>
      <c r="J232" s="5">
        <f t="shared" si="88"/>
        <v>4.42366472062788e-7</v>
      </c>
    </row>
    <row r="233" spans="2:10">
      <c r="B233" s="5">
        <v>230</v>
      </c>
      <c r="C233" s="6">
        <v>114.881805</v>
      </c>
      <c r="D233" s="6">
        <v>171.550003</v>
      </c>
      <c r="E233" s="5">
        <f t="shared" si="85"/>
        <v>113.9374316</v>
      </c>
      <c r="F233" s="5">
        <f t="shared" si="86"/>
        <v>167.183</v>
      </c>
      <c r="I233" s="5">
        <f t="shared" si="87"/>
        <v>6.75748345060893e-5</v>
      </c>
      <c r="J233" s="5">
        <f t="shared" si="88"/>
        <v>0.000648015688901823</v>
      </c>
    </row>
    <row r="234" spans="2:10">
      <c r="B234" s="5">
        <v>231</v>
      </c>
      <c r="C234" s="6">
        <v>114.771988</v>
      </c>
      <c r="D234" s="6">
        <v>173.779999</v>
      </c>
      <c r="E234" s="5">
        <f t="shared" si="85"/>
        <v>114.5903068</v>
      </c>
      <c r="F234" s="5">
        <f t="shared" si="86"/>
        <v>169.5860014</v>
      </c>
      <c r="I234" s="5">
        <f t="shared" si="87"/>
        <v>2.50581018979772e-6</v>
      </c>
      <c r="J234" s="5">
        <f t="shared" si="88"/>
        <v>0.000582447485144859</v>
      </c>
    </row>
    <row r="235" spans="2:10">
      <c r="B235" s="5">
        <v>232</v>
      </c>
      <c r="C235" s="6">
        <v>116.768547</v>
      </c>
      <c r="D235" s="6">
        <v>174.380005</v>
      </c>
      <c r="E235" s="5">
        <f t="shared" si="85"/>
        <v>114.4435577</v>
      </c>
      <c r="F235" s="5">
        <f t="shared" si="86"/>
        <v>171.7330002</v>
      </c>
      <c r="I235" s="5">
        <f t="shared" si="87"/>
        <v>0.000396451590763148</v>
      </c>
      <c r="J235" s="5">
        <f t="shared" si="88"/>
        <v>0.000230417832044392</v>
      </c>
    </row>
    <row r="236" spans="2:10">
      <c r="B236" s="5">
        <v>233</v>
      </c>
      <c r="C236" s="6">
        <v>124.185753</v>
      </c>
      <c r="D236" s="6">
        <v>175.360001</v>
      </c>
      <c r="E236" s="5">
        <f t="shared" si="85"/>
        <v>115.7922309</v>
      </c>
      <c r="F236" s="5">
        <f t="shared" si="86"/>
        <v>173.6340028</v>
      </c>
      <c r="I236" s="5">
        <f t="shared" si="87"/>
        <v>0.00456819807557134</v>
      </c>
      <c r="J236" s="5">
        <f t="shared" si="88"/>
        <v>9.68767583883031e-5</v>
      </c>
    </row>
    <row r="237" spans="2:10">
      <c r="B237" s="5">
        <v>234</v>
      </c>
      <c r="C237" s="6">
        <v>120.891434</v>
      </c>
      <c r="D237" s="6">
        <v>171.550003</v>
      </c>
      <c r="E237" s="5">
        <f t="shared" si="85"/>
        <v>120.0778382</v>
      </c>
      <c r="F237" s="5">
        <f t="shared" si="86"/>
        <v>174.7500018</v>
      </c>
      <c r="I237" s="5">
        <f t="shared" si="87"/>
        <v>4.52925046540991e-5</v>
      </c>
      <c r="J237" s="5">
        <f t="shared" si="88"/>
        <v>0.000347951065668269</v>
      </c>
    </row>
    <row r="238" spans="2:10">
      <c r="B238" s="5">
        <v>235</v>
      </c>
      <c r="C238" s="6">
        <v>120.981277</v>
      </c>
      <c r="D238" s="6">
        <v>173.470001</v>
      </c>
      <c r="E238" s="5">
        <f t="shared" si="85"/>
        <v>121.0551523</v>
      </c>
      <c r="F238" s="5">
        <f t="shared" si="86"/>
        <v>173.2590028</v>
      </c>
      <c r="I238" s="5">
        <f t="shared" si="87"/>
        <v>3.7287407274942e-7</v>
      </c>
      <c r="J238" s="5">
        <f t="shared" si="88"/>
        <v>1.47947877425938e-6</v>
      </c>
    </row>
    <row r="239" spans="2:10">
      <c r="B239" s="5">
        <v>236</v>
      </c>
      <c r="C239" s="6">
        <v>120.502106</v>
      </c>
      <c r="D239" s="6">
        <v>172.610001</v>
      </c>
      <c r="E239" s="5">
        <f t="shared" ref="E239:E253" si="89">(SUM((0.2*C236),(0.3*C237),(0.5*C238)))</f>
        <v>121.5952193</v>
      </c>
      <c r="F239" s="5">
        <f t="shared" ref="F239:F253" si="90">(SUM((0.2*D236),(0.3*D237),(0.5*D238)))</f>
        <v>173.2720016</v>
      </c>
      <c r="I239" s="5">
        <f t="shared" si="87"/>
        <v>8.22888669882841e-5</v>
      </c>
      <c r="J239" s="5">
        <f t="shared" si="88"/>
        <v>1.4709057848269e-5</v>
      </c>
    </row>
    <row r="240" spans="2:10">
      <c r="B240" s="5">
        <v>237</v>
      </c>
      <c r="C240" s="6">
        <v>118.81501</v>
      </c>
      <c r="D240" s="6">
        <v>174.860001</v>
      </c>
      <c r="E240" s="5">
        <f t="shared" si="89"/>
        <v>120.7237229</v>
      </c>
      <c r="F240" s="5">
        <f t="shared" si="90"/>
        <v>172.6560014</v>
      </c>
      <c r="I240" s="5">
        <f t="shared" si="87"/>
        <v>0.000258070640435266</v>
      </c>
      <c r="J240" s="5">
        <f t="shared" si="88"/>
        <v>0.000158870063690047</v>
      </c>
    </row>
    <row r="241" spans="2:10">
      <c r="B241" s="5">
        <v>238</v>
      </c>
      <c r="C241" s="6">
        <v>115.780251</v>
      </c>
      <c r="D241" s="6">
        <v>171.589996</v>
      </c>
      <c r="E241" s="5">
        <f t="shared" si="89"/>
        <v>119.7543922</v>
      </c>
      <c r="F241" s="5">
        <f t="shared" si="90"/>
        <v>173.907001</v>
      </c>
      <c r="I241" s="5">
        <f t="shared" si="87"/>
        <v>0.00117819618813985</v>
      </c>
      <c r="J241" s="5">
        <f t="shared" si="88"/>
        <v>0.000182334988391395</v>
      </c>
    </row>
    <row r="242" spans="2:10">
      <c r="B242" s="5">
        <v>239</v>
      </c>
      <c r="C242" s="6">
        <v>117.307617</v>
      </c>
      <c r="D242" s="6">
        <v>173.259995</v>
      </c>
      <c r="E242" s="5">
        <f t="shared" si="89"/>
        <v>117.6350497</v>
      </c>
      <c r="F242" s="5">
        <f t="shared" si="90"/>
        <v>172.7749985</v>
      </c>
      <c r="I242" s="5">
        <f t="shared" si="87"/>
        <v>7.79097253658578e-6</v>
      </c>
      <c r="J242" s="5">
        <f t="shared" si="88"/>
        <v>7.83575076857139e-6</v>
      </c>
    </row>
    <row r="243" spans="2:10">
      <c r="B243" s="5">
        <v>240</v>
      </c>
      <c r="C243" s="6">
        <v>116.668724</v>
      </c>
      <c r="D243" s="6">
        <v>172.869995</v>
      </c>
      <c r="E243" s="5">
        <f t="shared" si="89"/>
        <v>117.1508858</v>
      </c>
      <c r="F243" s="5">
        <f t="shared" si="90"/>
        <v>173.0789965</v>
      </c>
      <c r="I243" s="5">
        <f t="shared" si="87"/>
        <v>1.70795609896101e-5</v>
      </c>
      <c r="J243" s="5">
        <f t="shared" si="88"/>
        <v>1.46170444358908e-6</v>
      </c>
    </row>
    <row r="244" spans="2:10">
      <c r="B244" s="5">
        <v>241</v>
      </c>
      <c r="C244" s="6">
        <v>115.550644</v>
      </c>
      <c r="D244" s="6">
        <v>176.850006</v>
      </c>
      <c r="E244" s="5">
        <f t="shared" si="89"/>
        <v>116.6826973</v>
      </c>
      <c r="F244" s="5">
        <f t="shared" si="90"/>
        <v>172.7309952</v>
      </c>
      <c r="I244" s="5">
        <f t="shared" si="87"/>
        <v>9.59818263623527e-5</v>
      </c>
      <c r="J244" s="5">
        <f t="shared" si="88"/>
        <v>0.000542469972525573</v>
      </c>
    </row>
    <row r="245" spans="2:10">
      <c r="B245" s="5">
        <v>242</v>
      </c>
      <c r="C245" s="6">
        <v>114.841873</v>
      </c>
      <c r="D245" s="6">
        <v>175.539993</v>
      </c>
      <c r="E245" s="5">
        <f t="shared" si="89"/>
        <v>116.2374626</v>
      </c>
      <c r="F245" s="5">
        <f t="shared" si="90"/>
        <v>174.9380005</v>
      </c>
      <c r="I245" s="5">
        <f t="shared" si="87"/>
        <v>0.000147677698321032</v>
      </c>
      <c r="J245" s="5">
        <f t="shared" si="88"/>
        <v>1.17606143169844e-5</v>
      </c>
    </row>
    <row r="246" spans="2:10">
      <c r="B246" s="5">
        <v>243</v>
      </c>
      <c r="C246" s="6">
        <v>114.851852</v>
      </c>
      <c r="D246" s="6">
        <v>170.169998</v>
      </c>
      <c r="E246" s="5">
        <f t="shared" si="89"/>
        <v>115.4198745</v>
      </c>
      <c r="F246" s="5">
        <f t="shared" si="90"/>
        <v>175.3989973</v>
      </c>
      <c r="I246" s="5">
        <f t="shared" si="87"/>
        <v>2.44599222709938e-5</v>
      </c>
      <c r="J246" s="5">
        <f t="shared" si="88"/>
        <v>0.000944215618392215</v>
      </c>
    </row>
    <row r="247" spans="2:10">
      <c r="B247" s="5">
        <v>244</v>
      </c>
      <c r="C247" s="6">
        <v>116.399178</v>
      </c>
      <c r="D247" s="6">
        <v>166.75</v>
      </c>
      <c r="E247" s="5">
        <f t="shared" si="89"/>
        <v>114.9886167</v>
      </c>
      <c r="F247" s="5">
        <f t="shared" si="90"/>
        <v>173.1169981</v>
      </c>
      <c r="I247" s="5">
        <f t="shared" si="87"/>
        <v>0.000146853432519272</v>
      </c>
      <c r="J247" s="5">
        <f t="shared" si="88"/>
        <v>0.00145793363487624</v>
      </c>
    </row>
    <row r="248" spans="2:10">
      <c r="B248" s="5">
        <v>245</v>
      </c>
      <c r="C248" s="6">
        <v>111.008476</v>
      </c>
      <c r="D248" s="6">
        <v>161.160004</v>
      </c>
      <c r="E248" s="5">
        <f t="shared" si="89"/>
        <v>115.6235192</v>
      </c>
      <c r="F248" s="5">
        <f t="shared" si="90"/>
        <v>169.533998</v>
      </c>
      <c r="I248" s="5">
        <f t="shared" si="87"/>
        <v>0.00172838011275314</v>
      </c>
      <c r="J248" s="5">
        <f t="shared" si="88"/>
        <v>0.0026999191034661</v>
      </c>
    </row>
    <row r="249" spans="2:10">
      <c r="B249" s="5">
        <v>246</v>
      </c>
      <c r="C249" s="6">
        <v>115.121384</v>
      </c>
      <c r="D249" s="6">
        <v>164.600006</v>
      </c>
      <c r="E249" s="5">
        <f t="shared" si="89"/>
        <v>113.3943618</v>
      </c>
      <c r="F249" s="5">
        <f t="shared" si="90"/>
        <v>164.6390016</v>
      </c>
      <c r="I249" s="5">
        <f t="shared" si="87"/>
        <v>0.00022505249721877</v>
      </c>
      <c r="J249" s="5">
        <f t="shared" si="88"/>
        <v>5.61269600332792e-8</v>
      </c>
    </row>
    <row r="250" spans="2:10">
      <c r="B250" s="5">
        <v>247</v>
      </c>
      <c r="C250" s="6">
        <v>108.672516</v>
      </c>
      <c r="D250" s="6">
        <v>164.949997</v>
      </c>
      <c r="E250" s="5">
        <f t="shared" si="89"/>
        <v>114.1430704</v>
      </c>
      <c r="F250" s="5">
        <f t="shared" si="90"/>
        <v>163.9980042</v>
      </c>
      <c r="I250" s="5">
        <f t="shared" si="87"/>
        <v>0.00253409701960753</v>
      </c>
      <c r="J250" s="5">
        <f t="shared" si="88"/>
        <v>3.33090850633121e-5</v>
      </c>
    </row>
    <row r="251" spans="2:10">
      <c r="B251" s="5">
        <v>248</v>
      </c>
      <c r="C251" s="6">
        <v>108.582664</v>
      </c>
      <c r="D251" s="6">
        <v>173.610001</v>
      </c>
      <c r="E251" s="5">
        <f t="shared" si="89"/>
        <v>111.0743684</v>
      </c>
      <c r="F251" s="5">
        <f t="shared" si="90"/>
        <v>164.0870011</v>
      </c>
      <c r="I251" s="5">
        <f t="shared" si="87"/>
        <v>0.000526589327691571</v>
      </c>
      <c r="J251" s="5">
        <f t="shared" si="88"/>
        <v>0.00300883297723768</v>
      </c>
    </row>
    <row r="252" spans="2:10">
      <c r="B252" s="5">
        <v>249</v>
      </c>
      <c r="C252" s="6">
        <v>110.249794</v>
      </c>
      <c r="D252" s="6">
        <v>179.210007</v>
      </c>
      <c r="E252" s="5">
        <f t="shared" si="89"/>
        <v>109.9173636</v>
      </c>
      <c r="F252" s="5">
        <f t="shared" si="90"/>
        <v>169.2100008</v>
      </c>
      <c r="I252" s="5">
        <f t="shared" si="87"/>
        <v>9.09171662562933e-6</v>
      </c>
      <c r="J252" s="5">
        <f t="shared" si="88"/>
        <v>0.00311369468205838</v>
      </c>
    </row>
    <row r="253" spans="2:10">
      <c r="B253" s="5">
        <v>250</v>
      </c>
      <c r="C253" s="6">
        <v>114.752022</v>
      </c>
      <c r="D253" s="6">
        <v>178.910004</v>
      </c>
      <c r="E253" s="5">
        <f t="shared" si="89"/>
        <v>109.4341994</v>
      </c>
      <c r="F253" s="5">
        <f t="shared" si="90"/>
        <v>174.6780032</v>
      </c>
      <c r="I253" s="5">
        <f t="shared" si="87"/>
        <v>0.00214756836121645</v>
      </c>
      <c r="J253" s="5">
        <f t="shared" si="88"/>
        <v>0.000559528524304196</v>
      </c>
    </row>
    <row r="254" spans="2:10">
      <c r="B254" s="5">
        <v>251</v>
      </c>
      <c r="C254" s="6">
        <v>118.824997</v>
      </c>
      <c r="D254" s="6">
        <v>183.279999</v>
      </c>
      <c r="E254" s="5">
        <f>(SUM((0.2*C241),(0.3*C242),(0.5*C243)))</f>
        <v>116.6826973</v>
      </c>
      <c r="F254" s="5">
        <f>(SUM((0.2*D241),(0.3*D242),(0.5*D243)))</f>
        <v>172.7309952</v>
      </c>
      <c r="G254" s="31" t="s">
        <v>52</v>
      </c>
      <c r="H254" s="28"/>
      <c r="I254" s="5">
        <f>POWER(ABS((C254-E264)/C254),2)</f>
        <v>1</v>
      </c>
      <c r="J254" s="5">
        <f>POWER(ABS((D254-F264)/D254),2)</f>
        <v>1</v>
      </c>
    </row>
    <row r="255" spans="2:10">
      <c r="B255" s="5">
        <v>252</v>
      </c>
      <c r="C255" s="6">
        <v>118.690002</v>
      </c>
      <c r="D255" s="6">
        <v>184.270004</v>
      </c>
      <c r="E255" s="5">
        <f>(SUM((0.2*C242),(0.3*C243),(0.5*C244)))</f>
        <v>116.2374626</v>
      </c>
      <c r="F255" s="5">
        <f>(SUM((0.2*D242),(0.3*D243),(0.5*D244)))</f>
        <v>174.9380005</v>
      </c>
      <c r="G255" s="32" t="s">
        <v>29</v>
      </c>
      <c r="H255" s="32" t="s">
        <v>30</v>
      </c>
      <c r="I255" s="5">
        <f>POWER(ABS((C255-E265)/C255),2)</f>
        <v>1</v>
      </c>
      <c r="J255" s="5">
        <f>POWER(ABS((D255-F265)/D255),2)</f>
        <v>1</v>
      </c>
    </row>
    <row r="256" spans="2:8">
      <c r="B256" s="11">
        <v>253</v>
      </c>
      <c r="C256" s="5"/>
      <c r="D256" s="5"/>
      <c r="E256" s="33">
        <f>_xlfn.FORECAST.LINEAR(B256,$C$107:$C$258,$B$107:$B$258)</f>
        <v>127.802194178759</v>
      </c>
      <c r="F256" s="33">
        <f>_xlfn.FORECAST.LINEAR(B256,$D$107:$D$258,$B$107:$B$258)</f>
        <v>176.065469891439</v>
      </c>
      <c r="G256" s="34">
        <v>116.32</v>
      </c>
      <c r="H256" s="34">
        <v>196.99</v>
      </c>
    </row>
    <row r="257" spans="2:8">
      <c r="B257" s="11">
        <v>254</v>
      </c>
      <c r="C257" s="5"/>
      <c r="D257" s="5"/>
      <c r="E257" s="33">
        <f>_xlfn.FORECAST.LINEAR(B257,$C$107:$C$258,$B$107:$B$258)</f>
        <v>128.196866544901</v>
      </c>
      <c r="F257" s="35">
        <f>_xlfn.FORECAST.LINEAR(B257,$D$107:$D$258,$B$107:$B$258)</f>
        <v>176.370097540192</v>
      </c>
      <c r="G257" s="36">
        <v>115.97</v>
      </c>
      <c r="H257" s="36">
        <v>201.98</v>
      </c>
    </row>
    <row r="258" spans="2:8">
      <c r="B258" s="11">
        <v>255</v>
      </c>
      <c r="C258" s="5"/>
      <c r="D258" s="5"/>
      <c r="E258" s="34">
        <f>_xlfn.FORECAST.LINEAR(B258,$C$107:$C$258,$B$107:$B$258)</f>
        <v>128.591538911043</v>
      </c>
      <c r="F258" s="37">
        <f>_xlfn.FORECAST.LINEAR(B258,$D$107:$D$258,$B$107:$B$258)</f>
        <v>176.674725188946</v>
      </c>
      <c r="G258" s="36">
        <v>119.49</v>
      </c>
      <c r="H258" s="36">
        <v>199.29</v>
      </c>
    </row>
    <row r="259" spans="2:8">
      <c r="B259" s="11">
        <v>256</v>
      </c>
      <c r="C259" s="5"/>
      <c r="D259" s="5"/>
      <c r="E259" s="36">
        <f>_xlfn.FORECAST.LINEAR(B259,$C$107:$C$258,$B$107:$B$258)</f>
        <v>128.986211277185</v>
      </c>
      <c r="F259" s="36">
        <f>_xlfn.FORECAST.LINEAR(B259,$D$107:$D$258,$B$107:$B$258)</f>
        <v>176.9793528377</v>
      </c>
      <c r="G259" s="38">
        <v>119.21</v>
      </c>
      <c r="H259" s="36">
        <v>197.24</v>
      </c>
    </row>
    <row r="260" spans="2:8">
      <c r="B260" s="11">
        <v>257</v>
      </c>
      <c r="C260" s="5"/>
      <c r="D260" s="5"/>
      <c r="E260" s="36">
        <f>_xlfn.FORECAST.LINEAR(B260,$C$107:$C$258,$B$107:$B$258)</f>
        <v>129.380883643327</v>
      </c>
      <c r="F260" s="36">
        <f>_xlfn.FORECAST.LINEAR(B260,$D$107:$D$258,$B$107:$B$258)</f>
        <v>177.283980486454</v>
      </c>
      <c r="G260" s="38">
        <v>119.26</v>
      </c>
      <c r="H260" s="36">
        <v>201.54</v>
      </c>
    </row>
    <row r="262" ht="16.35"/>
    <row r="263" ht="17.1" spans="7:9">
      <c r="G263" s="39" t="s">
        <v>21</v>
      </c>
      <c r="H263" s="40" t="s">
        <v>44</v>
      </c>
      <c r="I263" s="40">
        <f>(SUM(I7:I255)/(COUNT(I7:I255))*100)</f>
        <v>0.89037207942649</v>
      </c>
    </row>
    <row r="264" ht="17.1" spans="5:9">
      <c r="E264" s="5"/>
      <c r="F264" s="5"/>
      <c r="G264" s="41"/>
      <c r="H264" s="40" t="s">
        <v>45</v>
      </c>
      <c r="I264" s="40">
        <f>(SUM(J7:J255)/(COUNT(J7:J255))*100)</f>
        <v>0.902288331198323</v>
      </c>
    </row>
    <row r="265" ht="16.35" spans="5:6">
      <c r="E265" s="5"/>
      <c r="F265" s="5"/>
    </row>
    <row r="268" spans="5:8">
      <c r="E268" t="s">
        <v>50</v>
      </c>
      <c r="F268" t="s">
        <v>51</v>
      </c>
      <c r="G268" s="32" t="s">
        <v>52</v>
      </c>
      <c r="H268" s="5"/>
    </row>
    <row r="269" spans="5:8">
      <c r="E269" s="32" t="s">
        <v>29</v>
      </c>
      <c r="F269" s="32" t="s">
        <v>30</v>
      </c>
      <c r="G269" s="32" t="s">
        <v>29</v>
      </c>
      <c r="H269" s="32" t="s">
        <v>30</v>
      </c>
    </row>
    <row r="270" spans="5:8">
      <c r="E270" s="33">
        <f>_xlfn.FORECAST.LINEAR(B270,$C$107:$C$258,$B$107:$B$258)</f>
        <v>27.9500855448722</v>
      </c>
      <c r="F270" s="33">
        <f>_xlfn.FORECAST.LINEAR(B270,$D$107:$D$258,$B$107:$B$258)</f>
        <v>98.9946747567134</v>
      </c>
      <c r="G270" s="34">
        <v>116.32</v>
      </c>
      <c r="H270" s="34">
        <v>196.99</v>
      </c>
    </row>
    <row r="271" spans="5:8">
      <c r="E271" s="33">
        <f>_xlfn.FORECAST.LINEAR(B271,$C$107:$C$258,$B$107:$B$258)</f>
        <v>27.9500855448722</v>
      </c>
      <c r="F271" s="35">
        <f>_xlfn.FORECAST.LINEAR(B271,$D$107:$D$258,$B$107:$B$258)</f>
        <v>98.9946747567134</v>
      </c>
      <c r="G271" s="36">
        <v>115.97</v>
      </c>
      <c r="H271" s="36">
        <v>201.98</v>
      </c>
    </row>
    <row r="272" spans="5:8">
      <c r="E272" s="34">
        <f>_xlfn.FORECAST.LINEAR(B272,$C$107:$C$258,$B$107:$B$258)</f>
        <v>27.9500855448722</v>
      </c>
      <c r="F272" s="37">
        <f>_xlfn.FORECAST.LINEAR(B272,$D$107:$D$258,$B$107:$B$258)</f>
        <v>98.9946747567134</v>
      </c>
      <c r="G272" s="36">
        <v>119.49</v>
      </c>
      <c r="H272" s="36">
        <v>199.29</v>
      </c>
    </row>
    <row r="273" spans="5:8">
      <c r="E273" s="36">
        <f>_xlfn.FORECAST.LINEAR(B273,$C$107:$C$258,$B$107:$B$258)</f>
        <v>27.9500855448722</v>
      </c>
      <c r="F273" s="36">
        <f>_xlfn.FORECAST.LINEAR(B273,$D$107:$D$258,$B$107:$B$258)</f>
        <v>98.9946747567134</v>
      </c>
      <c r="G273" s="38">
        <v>119.21</v>
      </c>
      <c r="H273" s="36">
        <v>197.24</v>
      </c>
    </row>
    <row r="274" spans="5:8">
      <c r="E274" s="36">
        <f>_xlfn.FORECAST.LINEAR(B274,$C$107:$C$258,$B$107:$B$258)</f>
        <v>27.9500855448722</v>
      </c>
      <c r="F274" s="36">
        <f>_xlfn.FORECAST.LINEAR(B274,$D$107:$D$258,$B$107:$B$258)</f>
        <v>98.9946747567134</v>
      </c>
      <c r="G274" s="38">
        <v>119.26</v>
      </c>
      <c r="H274" s="36">
        <v>201.54</v>
      </c>
    </row>
  </sheetData>
  <mergeCells count="3">
    <mergeCell ref="G254:H254"/>
    <mergeCell ref="G268:H268"/>
    <mergeCell ref="G263:G26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AH553"/>
  <sheetViews>
    <sheetView topLeftCell="A277" workbookViewId="0">
      <selection activeCell="H290" sqref="H290:H291"/>
    </sheetView>
  </sheetViews>
  <sheetFormatPr defaultColWidth="11" defaultRowHeight="15.6"/>
  <cols>
    <col min="7" max="7" width="37.375" customWidth="1"/>
    <col min="8" max="8" width="33" customWidth="1"/>
    <col min="14" max="14" width="29" customWidth="1"/>
    <col min="15" max="15" width="14.875" customWidth="1"/>
    <col min="26" max="26" width="17.375" customWidth="1"/>
    <col min="29" max="29" width="20.5" customWidth="1"/>
    <col min="30" max="30" width="14.5" customWidth="1"/>
    <col min="31" max="31" width="32.125" customWidth="1"/>
  </cols>
  <sheetData>
    <row r="1" spans="2:2">
      <c r="B1" t="s">
        <v>53</v>
      </c>
    </row>
    <row r="2" ht="46.8" spans="1:12">
      <c r="A2" s="1" t="s">
        <v>6</v>
      </c>
      <c r="B2" s="2" t="s">
        <v>1</v>
      </c>
      <c r="C2" s="2" t="s">
        <v>29</v>
      </c>
      <c r="D2" s="2" t="s">
        <v>30</v>
      </c>
      <c r="E2" s="2" t="s">
        <v>32</v>
      </c>
      <c r="F2" s="2" t="s">
        <v>33</v>
      </c>
      <c r="G2" s="3" t="s">
        <v>54</v>
      </c>
      <c r="H2" s="4" t="s">
        <v>55</v>
      </c>
      <c r="J2" t="s">
        <v>56</v>
      </c>
      <c r="K2">
        <f t="array" ref="K2:L2">LINEST($C$3:$C$254,$B$3:$B$254)</f>
        <v>0.243712932769205</v>
      </c>
      <c r="L2">
        <v>55.8042734372351</v>
      </c>
    </row>
    <row r="3" spans="2:18">
      <c r="B3" s="5">
        <v>1</v>
      </c>
      <c r="C3" s="6">
        <v>63.954544</v>
      </c>
      <c r="D3" s="6">
        <v>177.029373</v>
      </c>
      <c r="E3">
        <v>56.0436665542482</v>
      </c>
      <c r="F3">
        <v>159.899352184417</v>
      </c>
      <c r="G3" s="7">
        <f>(ABS(C3-E3)/C3)*100</f>
        <v>12.3695314687128</v>
      </c>
      <c r="H3" s="7">
        <f>(ABS(D3-F3)/D3)*100</f>
        <v>9.67637207616557</v>
      </c>
      <c r="J3" t="s">
        <v>56</v>
      </c>
      <c r="K3">
        <f t="array" ref="K3:L3">LINEST($D$3:$D$254,$B$3:$B$254)</f>
        <v>-0.0313892572945559</v>
      </c>
      <c r="L3">
        <v>161.64969350411</v>
      </c>
      <c r="P3" s="6"/>
      <c r="Q3" s="9"/>
      <c r="R3" s="10"/>
    </row>
    <row r="4" spans="2:18">
      <c r="B4" s="5">
        <v>2</v>
      </c>
      <c r="C4" s="6">
        <v>64.460991</v>
      </c>
      <c r="D4" s="6">
        <v>176.658142</v>
      </c>
      <c r="E4">
        <v>56.287428272164</v>
      </c>
      <c r="F4">
        <v>159.888347883213</v>
      </c>
      <c r="G4" s="7">
        <f t="shared" ref="G4:G67" si="0">(ABS(C4-E4)/C4)*100</f>
        <v>12.6798589364473</v>
      </c>
      <c r="H4" s="7">
        <f t="shared" ref="H4:H67" si="1">(ABS(D4-F4)/D4)*100</f>
        <v>9.49279434671458</v>
      </c>
      <c r="P4" s="6"/>
      <c r="Q4" s="9"/>
      <c r="R4" s="10"/>
    </row>
    <row r="5" spans="2:26">
      <c r="B5" s="5">
        <v>3</v>
      </c>
      <c r="C5" s="6">
        <v>64.401978</v>
      </c>
      <c r="D5" s="6">
        <v>177.810913</v>
      </c>
      <c r="E5">
        <v>56.5311899900798</v>
      </c>
      <c r="F5">
        <v>159.87734358201</v>
      </c>
      <c r="G5" s="7">
        <f t="shared" si="0"/>
        <v>12.2213451424119</v>
      </c>
      <c r="H5" s="7">
        <f t="shared" si="1"/>
        <v>10.0857529582506</v>
      </c>
      <c r="J5" t="s">
        <v>57</v>
      </c>
      <c r="P5" s="6"/>
      <c r="Q5" s="9"/>
      <c r="R5" s="10"/>
      <c r="Z5" t="s">
        <v>58</v>
      </c>
    </row>
    <row r="6" spans="2:18">
      <c r="B6" s="5">
        <v>4</v>
      </c>
      <c r="C6" s="6">
        <v>65.019051</v>
      </c>
      <c r="D6" s="6">
        <v>177.752319</v>
      </c>
      <c r="E6">
        <v>56.7749517079956</v>
      </c>
      <c r="F6">
        <v>159.866339280806</v>
      </c>
      <c r="G6" s="7">
        <f t="shared" si="0"/>
        <v>12.6795134121604</v>
      </c>
      <c r="H6" s="7">
        <f t="shared" si="1"/>
        <v>10.0623045706616</v>
      </c>
      <c r="P6" s="6"/>
      <c r="Q6" s="9"/>
      <c r="R6" s="10"/>
    </row>
    <row r="7" spans="2:26">
      <c r="B7" s="5">
        <v>5</v>
      </c>
      <c r="C7" s="6">
        <v>64.56916</v>
      </c>
      <c r="D7" s="6">
        <v>176.377808</v>
      </c>
      <c r="E7">
        <v>57.0187134259114</v>
      </c>
      <c r="F7">
        <v>159.855334979602</v>
      </c>
      <c r="G7" s="7">
        <f t="shared" si="0"/>
        <v>11.6935803007018</v>
      </c>
      <c r="H7" s="7">
        <f t="shared" si="1"/>
        <v>9.36765980241573</v>
      </c>
      <c r="J7" t="s">
        <v>59</v>
      </c>
      <c r="P7" s="6"/>
      <c r="Q7" s="9"/>
      <c r="R7" s="10"/>
      <c r="Z7" t="s">
        <v>59</v>
      </c>
    </row>
    <row r="8" spans="2:27">
      <c r="B8" s="5">
        <v>6</v>
      </c>
      <c r="C8" s="6">
        <v>65.336212</v>
      </c>
      <c r="D8" s="6">
        <v>178.43956</v>
      </c>
      <c r="E8">
        <v>57.2624751438272</v>
      </c>
      <c r="F8">
        <v>159.844330678399</v>
      </c>
      <c r="G8" s="7">
        <f t="shared" si="0"/>
        <v>12.3572160200729</v>
      </c>
      <c r="H8" s="7">
        <f t="shared" si="1"/>
        <v>10.4210239711424</v>
      </c>
      <c r="J8" t="s">
        <v>60</v>
      </c>
      <c r="K8">
        <v>0.878696445160905</v>
      </c>
      <c r="P8" s="6"/>
      <c r="Q8" s="9"/>
      <c r="R8" s="10"/>
      <c r="Z8" t="s">
        <v>60</v>
      </c>
      <c r="AA8">
        <v>0.0454624411364234</v>
      </c>
    </row>
    <row r="9" spans="2:27">
      <c r="B9" s="5">
        <v>7</v>
      </c>
      <c r="C9" s="6">
        <v>65.665634</v>
      </c>
      <c r="D9" s="6">
        <v>176.52507</v>
      </c>
      <c r="E9">
        <v>57.506236861743</v>
      </c>
      <c r="F9">
        <v>159.833326377195</v>
      </c>
      <c r="G9" s="7">
        <f t="shared" si="0"/>
        <v>12.4256732802686</v>
      </c>
      <c r="H9" s="7">
        <f t="shared" si="1"/>
        <v>9.45573545038391</v>
      </c>
      <c r="J9" t="s">
        <v>61</v>
      </c>
      <c r="K9">
        <v>0.772107442738412</v>
      </c>
      <c r="P9" s="6"/>
      <c r="Q9" s="9"/>
      <c r="R9" s="10"/>
      <c r="Z9" t="s">
        <v>61</v>
      </c>
      <c r="AA9">
        <v>0.00206683355408277</v>
      </c>
    </row>
    <row r="10" spans="2:27">
      <c r="B10" s="5">
        <v>8</v>
      </c>
      <c r="C10" s="6">
        <v>65.466507</v>
      </c>
      <c r="D10" s="6">
        <v>176.839249</v>
      </c>
      <c r="E10">
        <v>57.7499985796588</v>
      </c>
      <c r="F10">
        <v>159.822322075991</v>
      </c>
      <c r="G10" s="7">
        <f t="shared" si="0"/>
        <v>11.786956069523</v>
      </c>
      <c r="H10" s="7">
        <f t="shared" si="1"/>
        <v>9.6228224335023</v>
      </c>
      <c r="J10" t="s">
        <v>62</v>
      </c>
      <c r="K10">
        <v>0.771213746435425</v>
      </c>
      <c r="P10" s="6"/>
      <c r="Q10" s="9"/>
      <c r="R10" s="10"/>
      <c r="Z10" t="s">
        <v>62</v>
      </c>
      <c r="AA10">
        <v>-0.00184662984374428</v>
      </c>
    </row>
    <row r="11" spans="2:27">
      <c r="B11" s="5">
        <v>9</v>
      </c>
      <c r="C11" s="6">
        <v>64.704376</v>
      </c>
      <c r="D11" s="6">
        <v>173.992081</v>
      </c>
      <c r="E11">
        <v>57.9937602975746</v>
      </c>
      <c r="F11">
        <v>159.811317774788</v>
      </c>
      <c r="G11" s="7">
        <f t="shared" si="0"/>
        <v>10.3711929814846</v>
      </c>
      <c r="H11" s="7">
        <f t="shared" si="1"/>
        <v>8.15023485190227</v>
      </c>
      <c r="J11" t="s">
        <v>63</v>
      </c>
      <c r="K11">
        <v>9.86341684296312</v>
      </c>
      <c r="P11" s="6"/>
      <c r="Q11" s="9"/>
      <c r="R11" s="10"/>
      <c r="Z11" t="s">
        <v>63</v>
      </c>
      <c r="AA11">
        <v>18.0092708552417</v>
      </c>
    </row>
    <row r="12" spans="2:27">
      <c r="B12" s="5">
        <v>10</v>
      </c>
      <c r="C12" s="6">
        <v>64.414268</v>
      </c>
      <c r="D12" s="6">
        <v>173.314636</v>
      </c>
      <c r="E12">
        <v>58.2375220154904</v>
      </c>
      <c r="F12">
        <v>159.800313473584</v>
      </c>
      <c r="G12" s="7">
        <f t="shared" si="0"/>
        <v>9.58909598182441</v>
      </c>
      <c r="H12" s="7">
        <f t="shared" si="1"/>
        <v>7.79756565187952</v>
      </c>
      <c r="J12" t="s">
        <v>64</v>
      </c>
      <c r="K12">
        <v>257</v>
      </c>
      <c r="P12" s="6"/>
      <c r="Q12" s="9"/>
      <c r="R12" s="10"/>
      <c r="Z12" t="s">
        <v>64</v>
      </c>
      <c r="AA12">
        <v>257</v>
      </c>
    </row>
    <row r="13" spans="2:18">
      <c r="B13" s="5">
        <v>11</v>
      </c>
      <c r="C13" s="6">
        <v>64.357727</v>
      </c>
      <c r="D13" s="6">
        <v>173.569901</v>
      </c>
      <c r="E13">
        <v>58.4812837334062</v>
      </c>
      <c r="F13">
        <v>159.789309172381</v>
      </c>
      <c r="G13" s="7">
        <f t="shared" si="0"/>
        <v>9.13090555015064</v>
      </c>
      <c r="H13" s="7">
        <f t="shared" si="1"/>
        <v>7.93950549503338</v>
      </c>
      <c r="P13" s="6"/>
      <c r="Q13" s="9"/>
      <c r="R13" s="10"/>
    </row>
    <row r="14" spans="2:26">
      <c r="B14" s="5">
        <v>12</v>
      </c>
      <c r="C14" s="6">
        <v>65.486168</v>
      </c>
      <c r="D14" s="6">
        <v>173.294998</v>
      </c>
      <c r="E14">
        <v>58.725045451322</v>
      </c>
      <c r="F14">
        <v>159.778304871177</v>
      </c>
      <c r="G14" s="7">
        <f t="shared" si="0"/>
        <v>10.3245047850074</v>
      </c>
      <c r="H14" s="7">
        <f t="shared" si="1"/>
        <v>7.79981723928523</v>
      </c>
      <c r="J14" t="s">
        <v>65</v>
      </c>
      <c r="P14" s="6"/>
      <c r="Q14" s="9"/>
      <c r="R14" s="10"/>
      <c r="Z14" t="s">
        <v>65</v>
      </c>
    </row>
    <row r="15" spans="2:31">
      <c r="B15" s="5">
        <v>13</v>
      </c>
      <c r="C15" s="6">
        <v>64.974815</v>
      </c>
      <c r="D15" s="6">
        <v>175.268387</v>
      </c>
      <c r="E15">
        <v>58.9688071692378</v>
      </c>
      <c r="F15">
        <v>159.767300569973</v>
      </c>
      <c r="G15" s="7">
        <f t="shared" si="0"/>
        <v>9.24359358431757</v>
      </c>
      <c r="H15" s="7">
        <f t="shared" si="1"/>
        <v>8.84419985563454</v>
      </c>
      <c r="K15" t="s">
        <v>66</v>
      </c>
      <c r="L15" t="s">
        <v>67</v>
      </c>
      <c r="M15" t="s">
        <v>68</v>
      </c>
      <c r="N15" t="s">
        <v>69</v>
      </c>
      <c r="O15" t="s">
        <v>70</v>
      </c>
      <c r="P15" s="6"/>
      <c r="Q15" s="9"/>
      <c r="R15" s="10"/>
      <c r="AA15" t="s">
        <v>66</v>
      </c>
      <c r="AB15" t="s">
        <v>67</v>
      </c>
      <c r="AC15" t="s">
        <v>68</v>
      </c>
      <c r="AD15" t="s">
        <v>69</v>
      </c>
      <c r="AE15" t="s">
        <v>70</v>
      </c>
    </row>
    <row r="16" spans="2:31">
      <c r="B16" s="5">
        <v>14</v>
      </c>
      <c r="C16" s="6">
        <v>65.847565</v>
      </c>
      <c r="D16" s="6">
        <v>176.151993</v>
      </c>
      <c r="E16">
        <v>59.2125688871536</v>
      </c>
      <c r="F16">
        <v>159.75629626877</v>
      </c>
      <c r="G16" s="7">
        <f t="shared" si="0"/>
        <v>10.0762968423303</v>
      </c>
      <c r="H16" s="7">
        <f t="shared" si="1"/>
        <v>9.30769868225675</v>
      </c>
      <c r="J16" t="s">
        <v>71</v>
      </c>
      <c r="K16">
        <v>1</v>
      </c>
      <c r="L16">
        <v>84050.9356627281</v>
      </c>
      <c r="M16">
        <v>84050.9356627281</v>
      </c>
      <c r="N16">
        <v>863.94834594048</v>
      </c>
      <c r="O16">
        <v>0</v>
      </c>
      <c r="P16" s="6"/>
      <c r="Q16" s="9"/>
      <c r="R16" s="10"/>
      <c r="Z16" t="s">
        <v>71</v>
      </c>
      <c r="AA16">
        <v>1</v>
      </c>
      <c r="AB16">
        <v>171.291765975271</v>
      </c>
      <c r="AC16">
        <v>171.291765975271</v>
      </c>
      <c r="AD16">
        <v>0.528134121614723</v>
      </c>
      <c r="AE16">
        <v>0.468058959928897</v>
      </c>
    </row>
    <row r="17" spans="2:29">
      <c r="B17" s="5">
        <v>15</v>
      </c>
      <c r="C17" s="6">
        <v>65.702515</v>
      </c>
      <c r="D17" s="6">
        <v>175.297852</v>
      </c>
      <c r="E17">
        <v>59.4563306050694</v>
      </c>
      <c r="F17">
        <v>159.745291967566</v>
      </c>
      <c r="G17" s="7">
        <f t="shared" si="0"/>
        <v>9.50676605747985</v>
      </c>
      <c r="H17" s="7">
        <f t="shared" si="1"/>
        <v>8.8720767853071</v>
      </c>
      <c r="J17" t="s">
        <v>72</v>
      </c>
      <c r="K17">
        <v>255</v>
      </c>
      <c r="L17">
        <v>24808.1829136024</v>
      </c>
      <c r="M17">
        <v>97.2869918180486</v>
      </c>
      <c r="P17" s="6"/>
      <c r="Q17" s="9"/>
      <c r="R17" s="10"/>
      <c r="Z17" t="s">
        <v>72</v>
      </c>
      <c r="AA17">
        <v>255</v>
      </c>
      <c r="AB17">
        <v>82705.1283680521</v>
      </c>
      <c r="AC17">
        <v>324.333836737459</v>
      </c>
    </row>
    <row r="18" spans="2:28">
      <c r="B18" s="5">
        <v>16</v>
      </c>
      <c r="C18" s="6">
        <v>64.942841</v>
      </c>
      <c r="D18" s="6">
        <v>171.144913</v>
      </c>
      <c r="E18">
        <v>59.7000923229852</v>
      </c>
      <c r="F18">
        <v>159.734287666362</v>
      </c>
      <c r="G18" s="7">
        <f t="shared" si="0"/>
        <v>8.07286622557027</v>
      </c>
      <c r="H18" s="7">
        <f t="shared" si="1"/>
        <v>6.66723020487205</v>
      </c>
      <c r="J18" t="s">
        <v>73</v>
      </c>
      <c r="K18">
        <v>256</v>
      </c>
      <c r="L18">
        <v>108859.11857633</v>
      </c>
      <c r="M18" s="8"/>
      <c r="P18" s="6"/>
      <c r="Q18" s="9"/>
      <c r="R18" s="10"/>
      <c r="Z18" t="s">
        <v>73</v>
      </c>
      <c r="AA18">
        <v>256</v>
      </c>
      <c r="AB18">
        <v>82876.4201340274</v>
      </c>
    </row>
    <row r="19" spans="2:18">
      <c r="B19" s="5">
        <v>17</v>
      </c>
      <c r="C19" s="6">
        <v>63.784916</v>
      </c>
      <c r="D19" s="6">
        <v>169.407135</v>
      </c>
      <c r="E19">
        <v>59.943854040901</v>
      </c>
      <c r="F19">
        <v>159.723283365159</v>
      </c>
      <c r="G19" s="7">
        <f t="shared" si="0"/>
        <v>6.0218970251509</v>
      </c>
      <c r="H19" s="7">
        <f t="shared" si="1"/>
        <v>5.71631863961397</v>
      </c>
      <c r="M19" s="8"/>
      <c r="P19" s="6"/>
      <c r="Q19" s="9"/>
      <c r="R19" s="10"/>
    </row>
    <row r="20" spans="2:34">
      <c r="B20" s="5">
        <v>18</v>
      </c>
      <c r="C20" s="6">
        <v>64.347893</v>
      </c>
      <c r="D20" s="6">
        <v>170.055115</v>
      </c>
      <c r="E20">
        <v>60.1876157588168</v>
      </c>
      <c r="F20">
        <v>159.712279063955</v>
      </c>
      <c r="G20" s="7">
        <f t="shared" si="0"/>
        <v>6.46528898962271</v>
      </c>
      <c r="H20" s="7">
        <f t="shared" si="1"/>
        <v>6.0820493026893</v>
      </c>
      <c r="K20" t="s">
        <v>74</v>
      </c>
      <c r="L20" t="s">
        <v>63</v>
      </c>
      <c r="M20" t="s">
        <v>75</v>
      </c>
      <c r="N20" t="s">
        <v>76</v>
      </c>
      <c r="O20" t="s">
        <v>77</v>
      </c>
      <c r="P20" s="6" t="s">
        <v>78</v>
      </c>
      <c r="Q20" s="60" t="s">
        <v>77</v>
      </c>
      <c r="R20" s="61" t="s">
        <v>78</v>
      </c>
      <c r="AA20" t="s">
        <v>74</v>
      </c>
      <c r="AB20" t="s">
        <v>63</v>
      </c>
      <c r="AC20" t="s">
        <v>75</v>
      </c>
      <c r="AD20" t="s">
        <v>76</v>
      </c>
      <c r="AE20" t="s">
        <v>77</v>
      </c>
      <c r="AF20" t="s">
        <v>78</v>
      </c>
      <c r="AG20" t="s">
        <v>77</v>
      </c>
      <c r="AH20" t="s">
        <v>78</v>
      </c>
    </row>
    <row r="21" spans="2:34">
      <c r="B21" s="5">
        <v>19</v>
      </c>
      <c r="C21" s="6">
        <v>65.291946</v>
      </c>
      <c r="D21" s="6">
        <v>170.84053</v>
      </c>
      <c r="E21">
        <v>60.4313774767326</v>
      </c>
      <c r="F21">
        <v>159.701274762751</v>
      </c>
      <c r="G21" s="7">
        <f t="shared" si="0"/>
        <v>7.44436154999484</v>
      </c>
      <c r="H21" s="7">
        <f t="shared" si="1"/>
        <v>6.52026497298328</v>
      </c>
      <c r="J21" t="s">
        <v>79</v>
      </c>
      <c r="K21">
        <v>55.7999048363324</v>
      </c>
      <c r="L21">
        <v>1.23412586803117</v>
      </c>
      <c r="M21">
        <v>45.2141116897186</v>
      </c>
      <c r="N21" s="8">
        <v>8.98680173988925e-124</v>
      </c>
      <c r="O21">
        <v>53.3695277901903</v>
      </c>
      <c r="P21" s="6">
        <v>58.2302818824745</v>
      </c>
      <c r="Q21" s="9">
        <v>53.3695277901903</v>
      </c>
      <c r="R21" s="10">
        <v>58.2302818824745</v>
      </c>
      <c r="Z21" s="8" t="s">
        <v>79</v>
      </c>
      <c r="AA21">
        <v>159.910356485621</v>
      </c>
      <c r="AB21">
        <v>2.2533476360872</v>
      </c>
      <c r="AC21" s="8">
        <v>70.9656840891603</v>
      </c>
      <c r="AD21" s="8">
        <v>6.17092041687417e-170</v>
      </c>
      <c r="AE21">
        <v>155.47281529668</v>
      </c>
      <c r="AF21">
        <v>164.347897674561</v>
      </c>
      <c r="AG21">
        <v>155.47281529668</v>
      </c>
      <c r="AH21">
        <v>164.347897674561</v>
      </c>
    </row>
    <row r="22" spans="2:34">
      <c r="B22" s="5">
        <v>20</v>
      </c>
      <c r="C22" s="6">
        <v>66.553131</v>
      </c>
      <c r="D22" s="6">
        <v>172.264145</v>
      </c>
      <c r="E22">
        <v>60.6751391946484</v>
      </c>
      <c r="F22">
        <v>159.690270461548</v>
      </c>
      <c r="G22" s="7">
        <f t="shared" si="0"/>
        <v>8.83202896247149</v>
      </c>
      <c r="H22" s="7">
        <f t="shared" si="1"/>
        <v>7.29918262355292</v>
      </c>
      <c r="J22" t="s">
        <v>1</v>
      </c>
      <c r="K22">
        <v>0.2437617179158</v>
      </c>
      <c r="L22">
        <v>0.00829318995865827</v>
      </c>
      <c r="M22">
        <v>29.3929982468697</v>
      </c>
      <c r="N22" s="8">
        <v>7.31983076651141e-84</v>
      </c>
      <c r="O22">
        <v>0.227429851744829</v>
      </c>
      <c r="P22" s="6">
        <v>0.260093584086772</v>
      </c>
      <c r="Q22" s="9">
        <v>0.227429851744829</v>
      </c>
      <c r="R22" s="10">
        <v>0.260093584086772</v>
      </c>
      <c r="Z22" s="8" t="s">
        <v>1</v>
      </c>
      <c r="AA22">
        <v>-0.0110043012036511</v>
      </c>
      <c r="AB22">
        <v>0.0151422480259467</v>
      </c>
      <c r="AC22">
        <v>-0.726728368521961</v>
      </c>
      <c r="AD22">
        <v>0.468058951405784</v>
      </c>
      <c r="AE22">
        <v>-0.040824089429921</v>
      </c>
      <c r="AF22">
        <v>0.0188154870226187</v>
      </c>
      <c r="AG22">
        <v>-0.040824089429921</v>
      </c>
      <c r="AH22">
        <v>0.0188154870226187</v>
      </c>
    </row>
    <row r="23" spans="2:18">
      <c r="B23" s="5">
        <v>21</v>
      </c>
      <c r="C23" s="6">
        <v>65.621384</v>
      </c>
      <c r="D23" s="6">
        <v>171.311798</v>
      </c>
      <c r="E23">
        <v>60.9189009125642</v>
      </c>
      <c r="F23">
        <v>159.679266160344</v>
      </c>
      <c r="G23" s="7">
        <f t="shared" si="0"/>
        <v>7.16608337220655</v>
      </c>
      <c r="H23" s="7">
        <f t="shared" si="1"/>
        <v>6.79026895722383</v>
      </c>
      <c r="P23" s="6"/>
      <c r="Q23" s="9"/>
      <c r="R23" s="10"/>
    </row>
    <row r="24" spans="2:18">
      <c r="B24" s="5">
        <v>22</v>
      </c>
      <c r="C24" s="6">
        <v>66.004898</v>
      </c>
      <c r="D24" s="6">
        <v>170.86998</v>
      </c>
      <c r="E24">
        <v>61.16266263048</v>
      </c>
      <c r="F24">
        <v>159.66826185914</v>
      </c>
      <c r="G24" s="7">
        <f t="shared" si="0"/>
        <v>7.33617582367902</v>
      </c>
      <c r="H24" s="7">
        <f t="shared" si="1"/>
        <v>6.5556969930353</v>
      </c>
      <c r="P24" s="6"/>
      <c r="Q24" s="9"/>
      <c r="R24" s="10"/>
    </row>
    <row r="25" spans="2:18">
      <c r="B25" s="5">
        <v>23</v>
      </c>
      <c r="C25" s="6">
        <v>66.567886</v>
      </c>
      <c r="D25" s="6">
        <v>172.804092</v>
      </c>
      <c r="E25">
        <v>61.4064243483958</v>
      </c>
      <c r="F25">
        <v>159.657257557937</v>
      </c>
      <c r="G25" s="7">
        <f t="shared" si="0"/>
        <v>7.75368118435397</v>
      </c>
      <c r="H25" s="7">
        <f t="shared" si="1"/>
        <v>7.60794162331701</v>
      </c>
      <c r="P25" s="6"/>
      <c r="Q25" s="9"/>
      <c r="R25" s="10"/>
    </row>
    <row r="26" spans="2:31">
      <c r="B26" s="5">
        <v>24</v>
      </c>
      <c r="C26" s="6">
        <v>66.737518</v>
      </c>
      <c r="D26" s="6">
        <v>174.158981</v>
      </c>
      <c r="E26">
        <v>61.6501860663116</v>
      </c>
      <c r="F26">
        <v>159.646253256733</v>
      </c>
      <c r="G26" s="7">
        <f t="shared" si="0"/>
        <v>7.62289651480356</v>
      </c>
      <c r="H26" s="7">
        <f t="shared" si="1"/>
        <v>8.33303436890631</v>
      </c>
      <c r="I26" s="1" t="s">
        <v>9</v>
      </c>
      <c r="J26" t="s">
        <v>80</v>
      </c>
      <c r="N26" t="s">
        <v>81</v>
      </c>
      <c r="O26" s="6"/>
      <c r="Q26" s="9"/>
      <c r="R26" s="10"/>
      <c r="Z26" t="s">
        <v>80</v>
      </c>
      <c r="AE26" t="s">
        <v>81</v>
      </c>
    </row>
    <row r="27" spans="2:18">
      <c r="B27" s="5">
        <v>25</v>
      </c>
      <c r="C27" s="6">
        <v>67.644707</v>
      </c>
      <c r="D27" s="6">
        <v>173.756439</v>
      </c>
      <c r="E27">
        <v>61.8939477842274</v>
      </c>
      <c r="F27">
        <v>159.635248955529</v>
      </c>
      <c r="G27" s="7">
        <f t="shared" si="0"/>
        <v>8.50141788000146</v>
      </c>
      <c r="H27" s="7">
        <f t="shared" si="1"/>
        <v>8.12700244419202</v>
      </c>
      <c r="O27" s="6"/>
      <c r="Q27" s="9"/>
      <c r="R27" s="10"/>
    </row>
    <row r="28" spans="2:32">
      <c r="B28" s="5">
        <v>26</v>
      </c>
      <c r="C28" s="6">
        <v>68.802635</v>
      </c>
      <c r="D28" s="6">
        <v>173.186996</v>
      </c>
      <c r="E28">
        <v>62.1377095021432</v>
      </c>
      <c r="F28">
        <v>159.624244654326</v>
      </c>
      <c r="G28" s="7">
        <f t="shared" si="0"/>
        <v>9.68702070474015</v>
      </c>
      <c r="H28" s="7">
        <f t="shared" si="1"/>
        <v>7.83127582262239</v>
      </c>
      <c r="J28" t="s">
        <v>82</v>
      </c>
      <c r="K28" t="s">
        <v>83</v>
      </c>
      <c r="L28" t="s">
        <v>84</v>
      </c>
      <c r="M28" t="s">
        <v>85</v>
      </c>
      <c r="N28" t="s">
        <v>86</v>
      </c>
      <c r="O28" s="6" t="s">
        <v>29</v>
      </c>
      <c r="Q28" s="9"/>
      <c r="R28" s="10"/>
      <c r="Z28" t="s">
        <v>82</v>
      </c>
      <c r="AA28" t="s">
        <v>87</v>
      </c>
      <c r="AB28" t="s">
        <v>84</v>
      </c>
      <c r="AC28" t="s">
        <v>85</v>
      </c>
      <c r="AE28" t="s">
        <v>86</v>
      </c>
      <c r="AF28" t="s">
        <v>30</v>
      </c>
    </row>
    <row r="29" spans="2:32">
      <c r="B29" s="5">
        <v>27</v>
      </c>
      <c r="C29" s="6">
        <v>68.937851</v>
      </c>
      <c r="D29" s="6">
        <v>173.481537</v>
      </c>
      <c r="E29">
        <v>62.381471220059</v>
      </c>
      <c r="F29">
        <v>159.613240353122</v>
      </c>
      <c r="G29" s="7">
        <f t="shared" si="0"/>
        <v>9.51056594430395</v>
      </c>
      <c r="H29" s="7">
        <f t="shared" si="1"/>
        <v>7.99410524410906</v>
      </c>
      <c r="J29">
        <v>1</v>
      </c>
      <c r="K29">
        <v>56.0436665542482</v>
      </c>
      <c r="L29">
        <v>7.91087744575172</v>
      </c>
      <c r="M29">
        <v>0.803613384562442</v>
      </c>
      <c r="N29">
        <v>0.194552529182879</v>
      </c>
      <c r="O29" s="6">
        <v>55.291519</v>
      </c>
      <c r="Q29" s="9"/>
      <c r="R29" s="10"/>
      <c r="Z29">
        <v>1</v>
      </c>
      <c r="AA29">
        <v>159.899352184417</v>
      </c>
      <c r="AB29">
        <v>17.1300208155824</v>
      </c>
      <c r="AC29">
        <v>0.953041151103772</v>
      </c>
      <c r="AE29">
        <v>0.194552529182879</v>
      </c>
      <c r="AF29">
        <v>102.520172</v>
      </c>
    </row>
    <row r="30" spans="2:32">
      <c r="B30" s="5">
        <v>28</v>
      </c>
      <c r="C30" s="6">
        <v>68.773132</v>
      </c>
      <c r="D30" s="6">
        <v>171.459061</v>
      </c>
      <c r="E30">
        <v>62.6252329379748</v>
      </c>
      <c r="F30">
        <v>159.602236051918</v>
      </c>
      <c r="G30" s="7">
        <f t="shared" si="0"/>
        <v>8.93939083947086</v>
      </c>
      <c r="H30" s="7">
        <f t="shared" si="1"/>
        <v>6.91525130193148</v>
      </c>
      <c r="J30">
        <v>2</v>
      </c>
      <c r="K30">
        <v>56.287428272164</v>
      </c>
      <c r="L30">
        <v>8.17356272783592</v>
      </c>
      <c r="M30">
        <v>0.830297833924477</v>
      </c>
      <c r="N30">
        <v>0.583657587548638</v>
      </c>
      <c r="O30" s="6">
        <v>56.491634</v>
      </c>
      <c r="Q30" s="9"/>
      <c r="R30" s="10"/>
      <c r="Z30">
        <v>2</v>
      </c>
      <c r="AA30">
        <v>159.888347883213</v>
      </c>
      <c r="AB30">
        <v>16.7697941167861</v>
      </c>
      <c r="AC30">
        <v>0.932999677052154</v>
      </c>
      <c r="AE30">
        <v>0.583657587548638</v>
      </c>
      <c r="AF30">
        <v>111.048721</v>
      </c>
    </row>
    <row r="31" spans="2:32">
      <c r="B31" s="5">
        <v>29</v>
      </c>
      <c r="C31" s="6">
        <v>68.841965</v>
      </c>
      <c r="D31" s="6">
        <v>173.285187</v>
      </c>
      <c r="E31">
        <v>62.8689946558906</v>
      </c>
      <c r="F31">
        <v>159.591231750715</v>
      </c>
      <c r="G31" s="7">
        <f t="shared" si="0"/>
        <v>8.67635074639342</v>
      </c>
      <c r="H31" s="7">
        <f t="shared" si="1"/>
        <v>7.90255386877645</v>
      </c>
      <c r="J31">
        <v>3</v>
      </c>
      <c r="K31">
        <v>56.5311899900798</v>
      </c>
      <c r="L31">
        <v>7.87078800992012</v>
      </c>
      <c r="M31">
        <v>0.799540965613375</v>
      </c>
      <c r="N31">
        <v>0.972762645914396</v>
      </c>
      <c r="O31" s="6">
        <v>59.367474</v>
      </c>
      <c r="Q31" s="9"/>
      <c r="R31" s="10"/>
      <c r="Z31">
        <v>3</v>
      </c>
      <c r="AA31">
        <v>159.87734358201</v>
      </c>
      <c r="AB31">
        <v>17.9335694179898</v>
      </c>
      <c r="AC31">
        <v>0.997747161286169</v>
      </c>
      <c r="AE31">
        <v>0.972762645914396</v>
      </c>
      <c r="AF31">
        <v>117.425385</v>
      </c>
    </row>
    <row r="32" spans="2:32">
      <c r="B32" s="5">
        <v>30</v>
      </c>
      <c r="C32" s="6">
        <v>68.699387</v>
      </c>
      <c r="D32" s="6">
        <v>173.196823</v>
      </c>
      <c r="E32">
        <v>63.1127563738064</v>
      </c>
      <c r="F32">
        <v>159.580227449511</v>
      </c>
      <c r="G32" s="7">
        <f t="shared" si="0"/>
        <v>8.13199486946456</v>
      </c>
      <c r="H32" s="7">
        <f t="shared" si="1"/>
        <v>7.86191993284368</v>
      </c>
      <c r="J32">
        <v>4</v>
      </c>
      <c r="K32">
        <v>56.7749517079956</v>
      </c>
      <c r="L32">
        <v>8.24409929200432</v>
      </c>
      <c r="M32">
        <v>0.837463173983842</v>
      </c>
      <c r="N32">
        <v>1.36186770428015</v>
      </c>
      <c r="O32" s="6">
        <v>59.490692</v>
      </c>
      <c r="Q32" s="9"/>
      <c r="R32" s="10"/>
      <c r="Z32">
        <v>4</v>
      </c>
      <c r="AA32">
        <v>159.866339280806</v>
      </c>
      <c r="AB32">
        <v>17.8859797191934</v>
      </c>
      <c r="AC32">
        <v>0.995099473825082</v>
      </c>
      <c r="AE32">
        <v>1.36186770428015</v>
      </c>
      <c r="AF32">
        <v>117.968285</v>
      </c>
    </row>
    <row r="33" spans="2:32">
      <c r="B33" s="5">
        <v>31</v>
      </c>
      <c r="C33" s="6">
        <v>69.820442</v>
      </c>
      <c r="D33" s="6">
        <v>173.216461</v>
      </c>
      <c r="E33">
        <v>63.3565180917222</v>
      </c>
      <c r="F33">
        <v>159.569223148307</v>
      </c>
      <c r="G33" s="7">
        <f t="shared" si="0"/>
        <v>9.25792464659247</v>
      </c>
      <c r="H33" s="7">
        <f t="shared" si="1"/>
        <v>7.87871878510034</v>
      </c>
      <c r="J33">
        <v>5</v>
      </c>
      <c r="K33">
        <v>57.0187134259114</v>
      </c>
      <c r="L33">
        <v>7.55044657408851</v>
      </c>
      <c r="M33">
        <v>0.76699961135406</v>
      </c>
      <c r="N33">
        <v>1.75097276264591</v>
      </c>
      <c r="O33" s="6">
        <v>59.687832</v>
      </c>
      <c r="Q33" s="9"/>
      <c r="R33" s="10"/>
      <c r="Z33">
        <v>5</v>
      </c>
      <c r="AA33">
        <v>159.855334979602</v>
      </c>
      <c r="AB33">
        <v>16.522473020397</v>
      </c>
      <c r="AC33">
        <v>0.919239788203655</v>
      </c>
      <c r="AE33">
        <v>1.75097276264591</v>
      </c>
      <c r="AF33">
        <v>118.067001</v>
      </c>
    </row>
    <row r="34" spans="2:32">
      <c r="B34" s="5">
        <v>32</v>
      </c>
      <c r="C34" s="6">
        <v>69.886818</v>
      </c>
      <c r="D34" s="6">
        <v>173.098648</v>
      </c>
      <c r="E34">
        <v>63.600279809638</v>
      </c>
      <c r="F34">
        <v>159.558218847104</v>
      </c>
      <c r="G34" s="7">
        <f t="shared" si="0"/>
        <v>8.99531323684246</v>
      </c>
      <c r="H34" s="7">
        <f t="shared" si="1"/>
        <v>7.82237718742667</v>
      </c>
      <c r="J34">
        <v>6</v>
      </c>
      <c r="K34">
        <v>57.2624751438272</v>
      </c>
      <c r="L34">
        <v>8.07373685617273</v>
      </c>
      <c r="M34">
        <v>0.820157188067646</v>
      </c>
      <c r="N34">
        <v>2.14007782101167</v>
      </c>
      <c r="O34" s="6">
        <v>60.321156</v>
      </c>
      <c r="Q34" s="9"/>
      <c r="R34" s="10"/>
      <c r="Z34">
        <v>6</v>
      </c>
      <c r="AA34">
        <v>159.844330678399</v>
      </c>
      <c r="AB34">
        <v>18.5952293216007</v>
      </c>
      <c r="AC34">
        <v>1.03455909064488</v>
      </c>
      <c r="AE34">
        <v>2.14007782101167</v>
      </c>
      <c r="AF34">
        <v>121.383652</v>
      </c>
    </row>
    <row r="35" spans="2:32">
      <c r="B35" s="5">
        <v>33</v>
      </c>
      <c r="C35" s="6">
        <v>71.273392</v>
      </c>
      <c r="D35" s="6">
        <v>173.658264</v>
      </c>
      <c r="E35">
        <v>63.8440415275539</v>
      </c>
      <c r="F35">
        <v>159.5472145459</v>
      </c>
      <c r="G35" s="7">
        <f t="shared" si="0"/>
        <v>10.4237363537379</v>
      </c>
      <c r="H35" s="7">
        <f t="shared" si="1"/>
        <v>8.12575752461743</v>
      </c>
      <c r="J35">
        <v>7</v>
      </c>
      <c r="K35">
        <v>57.506236861743</v>
      </c>
      <c r="L35">
        <v>8.15939713825692</v>
      </c>
      <c r="M35">
        <v>0.828858845965939</v>
      </c>
      <c r="N35">
        <v>2.52918287937743</v>
      </c>
      <c r="O35" s="6">
        <v>60.35812</v>
      </c>
      <c r="Q35" s="9"/>
      <c r="R35" s="10"/>
      <c r="Z35">
        <v>7</v>
      </c>
      <c r="AA35">
        <v>159.833326377195</v>
      </c>
      <c r="AB35">
        <v>16.6917436228044</v>
      </c>
      <c r="AC35">
        <v>0.928657281124595</v>
      </c>
      <c r="AE35">
        <v>2.52918287937743</v>
      </c>
      <c r="AF35">
        <v>124.70488</v>
      </c>
    </row>
    <row r="36" spans="2:32">
      <c r="B36" s="5">
        <v>34</v>
      </c>
      <c r="C36" s="6">
        <v>71.246353</v>
      </c>
      <c r="D36" s="6">
        <v>173.265564</v>
      </c>
      <c r="E36">
        <v>64.0878032454697</v>
      </c>
      <c r="F36">
        <v>159.536210244697</v>
      </c>
      <c r="G36" s="7">
        <f t="shared" si="0"/>
        <v>10.0476016709659</v>
      </c>
      <c r="H36" s="7">
        <f t="shared" si="1"/>
        <v>7.92387906653108</v>
      </c>
      <c r="J36">
        <v>8</v>
      </c>
      <c r="K36">
        <v>57.7499985796588</v>
      </c>
      <c r="L36">
        <v>7.71650842034111</v>
      </c>
      <c r="M36">
        <v>0.78386872899984</v>
      </c>
      <c r="N36">
        <v>2.91828793774319</v>
      </c>
      <c r="O36" s="6">
        <v>60.503517</v>
      </c>
      <c r="Q36" s="9"/>
      <c r="R36" s="10"/>
      <c r="Z36">
        <v>8</v>
      </c>
      <c r="AA36">
        <v>159.822322075991</v>
      </c>
      <c r="AB36">
        <v>17.016926924008</v>
      </c>
      <c r="AC36">
        <v>0.946749090296067</v>
      </c>
      <c r="AE36">
        <v>2.91828793774319</v>
      </c>
      <c r="AF36">
        <v>125.805862</v>
      </c>
    </row>
    <row r="37" spans="2:32">
      <c r="B37" s="5">
        <v>35</v>
      </c>
      <c r="C37" s="6">
        <v>71.669212</v>
      </c>
      <c r="D37" s="6">
        <v>173.206619</v>
      </c>
      <c r="E37">
        <v>64.3315649633855</v>
      </c>
      <c r="F37">
        <v>159.525205943493</v>
      </c>
      <c r="G37" s="7">
        <f t="shared" si="0"/>
        <v>10.2382136371396</v>
      </c>
      <c r="H37" s="7">
        <f t="shared" si="1"/>
        <v>7.89889736056044</v>
      </c>
      <c r="J37">
        <v>9</v>
      </c>
      <c r="K37">
        <v>57.9937602975746</v>
      </c>
      <c r="L37">
        <v>6.71061570242531</v>
      </c>
      <c r="M37">
        <v>0.68168678305336</v>
      </c>
      <c r="N37">
        <v>3.30739299610894</v>
      </c>
      <c r="O37" s="6">
        <v>60.786911</v>
      </c>
      <c r="Q37" s="9"/>
      <c r="R37" s="10"/>
      <c r="Z37">
        <v>9</v>
      </c>
      <c r="AA37">
        <v>159.811317774788</v>
      </c>
      <c r="AB37">
        <v>14.1807632252117</v>
      </c>
      <c r="AC37">
        <v>0.788957062760362</v>
      </c>
      <c r="AE37">
        <v>3.30739299610894</v>
      </c>
      <c r="AF37">
        <v>125.944046</v>
      </c>
    </row>
    <row r="38" spans="2:32">
      <c r="B38" s="5">
        <v>36</v>
      </c>
      <c r="C38" s="6">
        <v>72.192863</v>
      </c>
      <c r="D38" s="6">
        <v>173.776062</v>
      </c>
      <c r="E38">
        <v>64.5753266813013</v>
      </c>
      <c r="F38">
        <v>159.514201642289</v>
      </c>
      <c r="G38" s="7">
        <f t="shared" si="0"/>
        <v>10.5516473542526</v>
      </c>
      <c r="H38" s="7">
        <f t="shared" si="1"/>
        <v>8.20703392260724</v>
      </c>
      <c r="J38">
        <v>10</v>
      </c>
      <c r="K38">
        <v>58.2375220154904</v>
      </c>
      <c r="L38">
        <v>6.17674598450952</v>
      </c>
      <c r="M38">
        <v>0.627454511870838</v>
      </c>
      <c r="N38">
        <v>3.6964980544747</v>
      </c>
      <c r="O38" s="6">
        <v>60.838661</v>
      </c>
      <c r="Q38" s="9"/>
      <c r="R38" s="10"/>
      <c r="Z38">
        <v>10</v>
      </c>
      <c r="AA38">
        <v>159.800313473584</v>
      </c>
      <c r="AB38">
        <v>13.5143225264153</v>
      </c>
      <c r="AC38">
        <v>0.751879150388794</v>
      </c>
      <c r="AE38">
        <v>3.6964980544747</v>
      </c>
      <c r="AF38">
        <v>126.335655</v>
      </c>
    </row>
    <row r="39" spans="2:32">
      <c r="B39" s="5">
        <v>37</v>
      </c>
      <c r="C39" s="6">
        <v>73.840042</v>
      </c>
      <c r="D39" s="6">
        <v>177.49704</v>
      </c>
      <c r="E39">
        <v>64.8190883992171</v>
      </c>
      <c r="F39">
        <v>159.503197341086</v>
      </c>
      <c r="G39" s="7">
        <f t="shared" si="0"/>
        <v>12.2168857931892</v>
      </c>
      <c r="H39" s="7">
        <f t="shared" si="1"/>
        <v>10.1375452001419</v>
      </c>
      <c r="J39">
        <v>11</v>
      </c>
      <c r="K39">
        <v>58.4812837334062</v>
      </c>
      <c r="L39">
        <v>5.87644326659371</v>
      </c>
      <c r="M39">
        <v>0.596948757585993</v>
      </c>
      <c r="N39">
        <v>4.08560311284046</v>
      </c>
      <c r="O39" s="6">
        <v>61.050594</v>
      </c>
      <c r="Q39" s="9"/>
      <c r="R39" s="10"/>
      <c r="Z39">
        <v>11</v>
      </c>
      <c r="AA39">
        <v>159.789309172381</v>
      </c>
      <c r="AB39">
        <v>13.7805918276189</v>
      </c>
      <c r="AC39">
        <v>0.766693236375886</v>
      </c>
      <c r="AE39">
        <v>4.08560311284046</v>
      </c>
      <c r="AF39">
        <v>127.977478</v>
      </c>
    </row>
    <row r="40" spans="2:32">
      <c r="B40" s="5">
        <v>38</v>
      </c>
      <c r="C40" s="6">
        <v>73.122154</v>
      </c>
      <c r="D40" s="6">
        <v>175.602203</v>
      </c>
      <c r="E40">
        <v>65.0628501171329</v>
      </c>
      <c r="F40">
        <v>159.492193039882</v>
      </c>
      <c r="G40" s="7">
        <f t="shared" si="0"/>
        <v>11.0216992279345</v>
      </c>
      <c r="H40" s="7">
        <f t="shared" si="1"/>
        <v>9.1741502583074</v>
      </c>
      <c r="J40">
        <v>12</v>
      </c>
      <c r="K40">
        <v>58.725045451322</v>
      </c>
      <c r="L40">
        <v>6.76112254867792</v>
      </c>
      <c r="M40">
        <v>0.686817437388352</v>
      </c>
      <c r="N40">
        <v>4.47470817120622</v>
      </c>
      <c r="O40" s="6">
        <v>61.171341</v>
      </c>
      <c r="Q40" s="9"/>
      <c r="R40" s="10"/>
      <c r="Z40">
        <v>12</v>
      </c>
      <c r="AA40">
        <v>159.778304871177</v>
      </c>
      <c r="AB40">
        <v>13.5166931288226</v>
      </c>
      <c r="AC40">
        <v>0.7520110405757</v>
      </c>
      <c r="AE40">
        <v>4.47470817120622</v>
      </c>
      <c r="AF40">
        <v>128.036713</v>
      </c>
    </row>
    <row r="41" spans="2:32">
      <c r="B41" s="5">
        <v>39</v>
      </c>
      <c r="C41" s="6">
        <v>73.704819</v>
      </c>
      <c r="D41" s="6">
        <v>174.276794</v>
      </c>
      <c r="E41">
        <v>65.3066118350487</v>
      </c>
      <c r="F41">
        <v>159.481188738678</v>
      </c>
      <c r="G41" s="7">
        <f t="shared" si="0"/>
        <v>11.3943800132679</v>
      </c>
      <c r="H41" s="7">
        <f t="shared" si="1"/>
        <v>8.48971622769352</v>
      </c>
      <c r="J41">
        <v>13</v>
      </c>
      <c r="K41">
        <v>58.9688071692378</v>
      </c>
      <c r="L41">
        <v>6.00600783076212</v>
      </c>
      <c r="M41">
        <v>0.610110359272371</v>
      </c>
      <c r="N41">
        <v>4.86381322957198</v>
      </c>
      <c r="O41" s="6">
        <v>62.312309</v>
      </c>
      <c r="Q41" s="9"/>
      <c r="R41" s="10"/>
      <c r="Z41">
        <v>13</v>
      </c>
      <c r="AA41">
        <v>159.767300569973</v>
      </c>
      <c r="AB41">
        <v>15.5010864300263</v>
      </c>
      <c r="AC41">
        <v>0.862414203326173</v>
      </c>
      <c r="AE41">
        <v>4.86381322957198</v>
      </c>
      <c r="AF41">
        <v>129.576599</v>
      </c>
    </row>
    <row r="42" spans="2:32">
      <c r="B42" s="5">
        <v>40</v>
      </c>
      <c r="C42" s="6">
        <v>73.358185</v>
      </c>
      <c r="D42" s="6">
        <v>174.374969</v>
      </c>
      <c r="E42">
        <v>65.5503735529645</v>
      </c>
      <c r="F42">
        <v>159.470184437475</v>
      </c>
      <c r="G42" s="7">
        <f t="shared" si="0"/>
        <v>10.6434087035216</v>
      </c>
      <c r="H42" s="7">
        <f t="shared" si="1"/>
        <v>8.54754822208742</v>
      </c>
      <c r="J42">
        <v>14</v>
      </c>
      <c r="K42">
        <v>59.2125688871536</v>
      </c>
      <c r="L42">
        <v>6.63499611284632</v>
      </c>
      <c r="M42">
        <v>0.674005092275376</v>
      </c>
      <c r="N42">
        <v>5.25291828793774</v>
      </c>
      <c r="O42" s="6">
        <v>62.664707</v>
      </c>
      <c r="Q42" s="9"/>
      <c r="R42" s="10"/>
      <c r="Z42">
        <v>14</v>
      </c>
      <c r="AA42">
        <v>159.75629626877</v>
      </c>
      <c r="AB42">
        <v>16.3956967312299</v>
      </c>
      <c r="AC42">
        <v>0.912186497267162</v>
      </c>
      <c r="AE42">
        <v>5.25291828793774</v>
      </c>
      <c r="AF42">
        <v>130.050385</v>
      </c>
    </row>
    <row r="43" spans="2:32">
      <c r="B43" s="5">
        <v>41</v>
      </c>
      <c r="C43" s="6">
        <v>74.538239</v>
      </c>
      <c r="D43" s="6">
        <v>174.522232</v>
      </c>
      <c r="E43">
        <v>65.7941352708803</v>
      </c>
      <c r="F43">
        <v>159.459180136271</v>
      </c>
      <c r="G43" s="7">
        <f t="shared" si="0"/>
        <v>11.7310307386249</v>
      </c>
      <c r="H43" s="7">
        <f t="shared" si="1"/>
        <v>8.63102178508066</v>
      </c>
      <c r="J43">
        <v>15</v>
      </c>
      <c r="K43">
        <v>59.4563306050694</v>
      </c>
      <c r="L43">
        <v>6.24618439493052</v>
      </c>
      <c r="M43">
        <v>0.634508297800365</v>
      </c>
      <c r="N43">
        <v>5.6420233463035</v>
      </c>
      <c r="O43" s="6">
        <v>62.79285</v>
      </c>
      <c r="Q43" s="9"/>
      <c r="R43" s="10"/>
      <c r="Z43">
        <v>15</v>
      </c>
      <c r="AA43">
        <v>159.745291967566</v>
      </c>
      <c r="AB43">
        <v>15.5525600324336</v>
      </c>
      <c r="AC43">
        <v>0.865277974585873</v>
      </c>
      <c r="AE43">
        <v>5.6420233463035</v>
      </c>
      <c r="AF43">
        <v>130.099747</v>
      </c>
    </row>
    <row r="44" spans="2:32">
      <c r="B44" s="5">
        <v>42</v>
      </c>
      <c r="C44" s="6">
        <v>76.121498</v>
      </c>
      <c r="D44" s="6">
        <v>175.80838</v>
      </c>
      <c r="E44">
        <v>66.0378969887961</v>
      </c>
      <c r="F44">
        <v>159.448175835067</v>
      </c>
      <c r="G44" s="7">
        <f t="shared" si="0"/>
        <v>13.2467190953125</v>
      </c>
      <c r="H44" s="7">
        <f t="shared" si="1"/>
        <v>9.30570213145301</v>
      </c>
      <c r="J44">
        <v>16</v>
      </c>
      <c r="K44">
        <v>59.7000923229852</v>
      </c>
      <c r="L44">
        <v>5.24274867701471</v>
      </c>
      <c r="M44">
        <v>0.532575942129983</v>
      </c>
      <c r="N44">
        <v>6.03112840466926</v>
      </c>
      <c r="O44" s="6">
        <v>63.687393</v>
      </c>
      <c r="Q44" s="9"/>
      <c r="R44" s="10"/>
      <c r="Z44">
        <v>16</v>
      </c>
      <c r="AA44">
        <v>159.734287666362</v>
      </c>
      <c r="AB44">
        <v>11.4106253336372</v>
      </c>
      <c r="AC44">
        <v>0.634838428969752</v>
      </c>
      <c r="AE44">
        <v>6.03112840466926</v>
      </c>
      <c r="AF44">
        <v>130.297165</v>
      </c>
    </row>
    <row r="45" spans="2:32">
      <c r="B45" s="5">
        <v>43</v>
      </c>
      <c r="C45" s="6">
        <v>76.293579</v>
      </c>
      <c r="D45" s="6">
        <v>175.425461</v>
      </c>
      <c r="E45">
        <v>66.2816587067119</v>
      </c>
      <c r="F45">
        <v>159.437171533864</v>
      </c>
      <c r="G45" s="7">
        <f t="shared" si="0"/>
        <v>13.1228871741462</v>
      </c>
      <c r="H45" s="7">
        <f t="shared" si="1"/>
        <v>9.11400738239247</v>
      </c>
      <c r="J45">
        <v>17</v>
      </c>
      <c r="K45">
        <v>59.943854040901</v>
      </c>
      <c r="L45">
        <v>3.84106195909891</v>
      </c>
      <c r="M45">
        <v>0.390187918145938</v>
      </c>
      <c r="N45">
        <v>6.42023346303502</v>
      </c>
      <c r="O45" s="6">
        <v>63.784916</v>
      </c>
      <c r="Q45" s="9"/>
      <c r="R45" s="10"/>
      <c r="Z45">
        <v>17</v>
      </c>
      <c r="AA45">
        <v>159.723283365159</v>
      </c>
      <c r="AB45">
        <v>9.68385163484092</v>
      </c>
      <c r="AC45">
        <v>0.538768119930805</v>
      </c>
      <c r="AE45">
        <v>6.42023346303502</v>
      </c>
      <c r="AF45">
        <v>130.62291</v>
      </c>
    </row>
    <row r="46" spans="2:32">
      <c r="B46" s="5">
        <v>44</v>
      </c>
      <c r="C46" s="6">
        <v>77.923538</v>
      </c>
      <c r="D46" s="6">
        <v>177.968292</v>
      </c>
      <c r="E46">
        <v>66.5254204246277</v>
      </c>
      <c r="F46">
        <v>159.42616723266</v>
      </c>
      <c r="G46" s="7">
        <f t="shared" si="0"/>
        <v>14.6273101400661</v>
      </c>
      <c r="H46" s="7">
        <f t="shared" si="1"/>
        <v>10.4187799742102</v>
      </c>
      <c r="J46">
        <v>18</v>
      </c>
      <c r="K46">
        <v>60.1876157588168</v>
      </c>
      <c r="L46">
        <v>4.16027724118311</v>
      </c>
      <c r="M46">
        <v>0.422614873941783</v>
      </c>
      <c r="N46">
        <v>6.80933852140077</v>
      </c>
      <c r="O46" s="6">
        <v>63.931355</v>
      </c>
      <c r="Q46" s="9"/>
      <c r="R46" s="10"/>
      <c r="Z46">
        <v>18</v>
      </c>
      <c r="AA46">
        <v>159.712279063955</v>
      </c>
      <c r="AB46">
        <v>10.3428359360445</v>
      </c>
      <c r="AC46">
        <v>0.575431190206069</v>
      </c>
      <c r="AE46">
        <v>6.80933852140077</v>
      </c>
      <c r="AF46">
        <v>131.076965</v>
      </c>
    </row>
    <row r="47" spans="2:32">
      <c r="B47" s="5">
        <v>45</v>
      </c>
      <c r="C47" s="6">
        <v>76.871323</v>
      </c>
      <c r="D47" s="6">
        <v>177.163223</v>
      </c>
      <c r="E47">
        <v>66.7691821425435</v>
      </c>
      <c r="F47">
        <v>159.415162931456</v>
      </c>
      <c r="G47" s="7">
        <f t="shared" si="0"/>
        <v>13.1416248130093</v>
      </c>
      <c r="H47" s="7">
        <f t="shared" si="1"/>
        <v>10.0179144226474</v>
      </c>
      <c r="J47">
        <v>19</v>
      </c>
      <c r="K47">
        <v>60.4313774767326</v>
      </c>
      <c r="L47">
        <v>4.86056852326731</v>
      </c>
      <c r="M47">
        <v>0.493752804118854</v>
      </c>
      <c r="N47">
        <v>7.19844357976653</v>
      </c>
      <c r="O47" s="6">
        <v>63.954544</v>
      </c>
      <c r="Q47" s="9"/>
      <c r="R47" s="10"/>
      <c r="Z47">
        <v>19</v>
      </c>
      <c r="AA47">
        <v>159.701274762751</v>
      </c>
      <c r="AB47">
        <v>11.1392552372482</v>
      </c>
      <c r="AC47">
        <v>0.619740556537366</v>
      </c>
      <c r="AE47">
        <v>7.19844357976653</v>
      </c>
      <c r="AF47">
        <v>131.09671</v>
      </c>
    </row>
    <row r="48" spans="2:32">
      <c r="B48" s="5">
        <v>46</v>
      </c>
      <c r="C48" s="6">
        <v>76.541885</v>
      </c>
      <c r="D48" s="6">
        <v>177.438126</v>
      </c>
      <c r="E48">
        <v>67.0129438604593</v>
      </c>
      <c r="F48">
        <v>159.404158630253</v>
      </c>
      <c r="G48" s="7">
        <f t="shared" si="0"/>
        <v>12.4493160046172</v>
      </c>
      <c r="H48" s="7">
        <f t="shared" si="1"/>
        <v>10.1635244782438</v>
      </c>
      <c r="J48">
        <v>20</v>
      </c>
      <c r="K48">
        <v>60.6751391946484</v>
      </c>
      <c r="L48">
        <v>5.8779918053515</v>
      </c>
      <c r="M48">
        <v>0.597106063331254</v>
      </c>
      <c r="N48">
        <v>7.58754863813229</v>
      </c>
      <c r="O48" s="6">
        <v>64.347893</v>
      </c>
      <c r="Q48" s="9"/>
      <c r="R48" s="10"/>
      <c r="Z48">
        <v>20</v>
      </c>
      <c r="AA48">
        <v>159.690270461548</v>
      </c>
      <c r="AB48">
        <v>12.5738745384518</v>
      </c>
      <c r="AC48">
        <v>0.699556643449012</v>
      </c>
      <c r="AE48">
        <v>7.58754863813229</v>
      </c>
      <c r="AF48">
        <v>131.208099</v>
      </c>
    </row>
    <row r="49" spans="2:32">
      <c r="B49" s="5">
        <v>47</v>
      </c>
      <c r="C49" s="6">
        <v>77.500694</v>
      </c>
      <c r="D49" s="6">
        <v>178.940262</v>
      </c>
      <c r="E49">
        <v>67.2567055783751</v>
      </c>
      <c r="F49">
        <v>159.393154329049</v>
      </c>
      <c r="G49" s="7">
        <f t="shared" si="0"/>
        <v>13.2179312118481</v>
      </c>
      <c r="H49" s="7">
        <f t="shared" si="1"/>
        <v>10.923817508969</v>
      </c>
      <c r="J49">
        <v>21</v>
      </c>
      <c r="K49">
        <v>60.9189009125642</v>
      </c>
      <c r="L49">
        <v>4.70248308743571</v>
      </c>
      <c r="M49">
        <v>0.477693956916401</v>
      </c>
      <c r="N49">
        <v>7.97665369649805</v>
      </c>
      <c r="O49" s="6">
        <v>64.357727</v>
      </c>
      <c r="Q49" s="9"/>
      <c r="R49" s="10"/>
      <c r="Z49">
        <v>21</v>
      </c>
      <c r="AA49">
        <v>159.679266160344</v>
      </c>
      <c r="AB49">
        <v>11.6325318396555</v>
      </c>
      <c r="AC49">
        <v>0.647184358622136</v>
      </c>
      <c r="AE49">
        <v>7.97665369649805</v>
      </c>
      <c r="AF49">
        <v>131.313873</v>
      </c>
    </row>
    <row r="50" spans="2:32">
      <c r="B50" s="5">
        <v>48</v>
      </c>
      <c r="C50" s="6">
        <v>78.358696</v>
      </c>
      <c r="D50" s="6">
        <v>179.892593</v>
      </c>
      <c r="E50">
        <v>67.5004672962909</v>
      </c>
      <c r="F50">
        <v>159.382150027845</v>
      </c>
      <c r="G50" s="7">
        <f t="shared" si="0"/>
        <v>13.8570819296292</v>
      </c>
      <c r="H50" s="7">
        <f t="shared" si="1"/>
        <v>11.4014938748229</v>
      </c>
      <c r="J50">
        <v>22</v>
      </c>
      <c r="K50">
        <v>61.16266263048</v>
      </c>
      <c r="L50">
        <v>4.84223536951991</v>
      </c>
      <c r="M50">
        <v>0.491890461055941</v>
      </c>
      <c r="N50">
        <v>8.36575875486381</v>
      </c>
      <c r="O50" s="6">
        <v>64.401978</v>
      </c>
      <c r="Q50" s="9"/>
      <c r="R50" s="10"/>
      <c r="Z50">
        <v>22</v>
      </c>
      <c r="AA50">
        <v>159.66826185914</v>
      </c>
      <c r="AB50">
        <v>11.2017181408591</v>
      </c>
      <c r="AC50">
        <v>0.623215725552019</v>
      </c>
      <c r="AE50">
        <v>8.36575875486381</v>
      </c>
      <c r="AF50">
        <v>131.323746</v>
      </c>
    </row>
    <row r="51" spans="2:32">
      <c r="B51" s="5">
        <v>49</v>
      </c>
      <c r="C51" s="6">
        <v>77.827667</v>
      </c>
      <c r="D51" s="6">
        <v>177.634491</v>
      </c>
      <c r="E51">
        <v>67.7442290142067</v>
      </c>
      <c r="F51">
        <v>159.371145726642</v>
      </c>
      <c r="G51" s="7">
        <f t="shared" si="0"/>
        <v>12.9561097929266</v>
      </c>
      <c r="H51" s="7">
        <f t="shared" si="1"/>
        <v>10.2814184174165</v>
      </c>
      <c r="J51">
        <v>23</v>
      </c>
      <c r="K51">
        <v>61.4064243483958</v>
      </c>
      <c r="L51">
        <v>5.16146165160411</v>
      </c>
      <c r="M51">
        <v>0.52431853426857</v>
      </c>
      <c r="N51">
        <v>8.75486381322957</v>
      </c>
      <c r="O51" s="6">
        <v>64.414268</v>
      </c>
      <c r="Q51" s="9"/>
      <c r="R51" s="10"/>
      <c r="Z51">
        <v>23</v>
      </c>
      <c r="AA51">
        <v>159.657257557937</v>
      </c>
      <c r="AB51">
        <v>13.1468344420628</v>
      </c>
      <c r="AC51">
        <v>0.731433683877179</v>
      </c>
      <c r="AE51">
        <v>8.75486381322957</v>
      </c>
      <c r="AF51">
        <v>132.064072</v>
      </c>
    </row>
    <row r="52" spans="2:32">
      <c r="B52" s="5">
        <v>50</v>
      </c>
      <c r="C52" s="6">
        <v>78.105476</v>
      </c>
      <c r="D52" s="6">
        <v>176.770523</v>
      </c>
      <c r="E52">
        <v>67.9879907321225</v>
      </c>
      <c r="F52">
        <v>159.360141425438</v>
      </c>
      <c r="G52" s="7">
        <f t="shared" si="0"/>
        <v>12.9536183453738</v>
      </c>
      <c r="H52" s="7">
        <f t="shared" si="1"/>
        <v>9.84914299006854</v>
      </c>
      <c r="J52">
        <v>24</v>
      </c>
      <c r="K52">
        <v>61.6501860663116</v>
      </c>
      <c r="L52">
        <v>5.0873319336883</v>
      </c>
      <c r="M52">
        <v>0.516788189636196</v>
      </c>
      <c r="N52">
        <v>9.14396887159533</v>
      </c>
      <c r="O52" s="6">
        <v>64.460991</v>
      </c>
      <c r="Q52" s="9"/>
      <c r="R52" s="10"/>
      <c r="Z52">
        <v>24</v>
      </c>
      <c r="AA52">
        <v>159.646253256733</v>
      </c>
      <c r="AB52">
        <v>14.5127277432664</v>
      </c>
      <c r="AC52">
        <v>0.807426149857134</v>
      </c>
      <c r="AE52">
        <v>9.14396887159533</v>
      </c>
      <c r="AF52">
        <v>132.271362</v>
      </c>
    </row>
    <row r="53" spans="2:32">
      <c r="B53" s="5">
        <v>51</v>
      </c>
      <c r="C53" s="6">
        <v>78.481621</v>
      </c>
      <c r="D53" s="6">
        <v>176.309097</v>
      </c>
      <c r="E53">
        <v>68.2317524500383</v>
      </c>
      <c r="F53">
        <v>159.349137124234</v>
      </c>
      <c r="G53" s="7">
        <f t="shared" si="0"/>
        <v>13.0602151425513</v>
      </c>
      <c r="H53" s="7">
        <f t="shared" si="1"/>
        <v>9.6194468489428</v>
      </c>
      <c r="J53">
        <v>25</v>
      </c>
      <c r="K53">
        <v>61.8939477842274</v>
      </c>
      <c r="L53">
        <v>5.7507592157725</v>
      </c>
      <c r="M53">
        <v>0.584181351421688</v>
      </c>
      <c r="N53">
        <v>9.53307392996109</v>
      </c>
      <c r="O53" s="6">
        <v>64.56916</v>
      </c>
      <c r="Q53" s="9"/>
      <c r="R53" s="10"/>
      <c r="Z53">
        <v>25</v>
      </c>
      <c r="AA53">
        <v>159.635248955529</v>
      </c>
      <c r="AB53">
        <v>14.1211900444701</v>
      </c>
      <c r="AC53">
        <v>0.785642665576603</v>
      </c>
      <c r="AE53">
        <v>9.53307392996109</v>
      </c>
      <c r="AF53">
        <v>132.54776</v>
      </c>
    </row>
    <row r="54" spans="2:32">
      <c r="B54" s="5">
        <v>52</v>
      </c>
      <c r="C54" s="6">
        <v>78.25544</v>
      </c>
      <c r="D54" s="6">
        <v>173.903717</v>
      </c>
      <c r="E54">
        <v>68.4755141679541</v>
      </c>
      <c r="F54">
        <v>159.338132823031</v>
      </c>
      <c r="G54" s="7">
        <f t="shared" si="0"/>
        <v>12.4974389410447</v>
      </c>
      <c r="H54" s="7">
        <f t="shared" si="1"/>
        <v>8.37566006537341</v>
      </c>
      <c r="J54">
        <v>26</v>
      </c>
      <c r="K54">
        <v>62.1377095021432</v>
      </c>
      <c r="L54">
        <v>6.6649254978567</v>
      </c>
      <c r="M54">
        <v>0.677045419287264</v>
      </c>
      <c r="N54">
        <v>9.92217898832684</v>
      </c>
      <c r="O54" s="6">
        <v>64.680504</v>
      </c>
      <c r="Q54" s="9"/>
      <c r="R54" s="10"/>
      <c r="Z54">
        <v>26</v>
      </c>
      <c r="AA54">
        <v>159.624244654326</v>
      </c>
      <c r="AB54">
        <v>13.5627513456737</v>
      </c>
      <c r="AC54">
        <v>0.754573522926314</v>
      </c>
      <c r="AE54">
        <v>9.92217898832684</v>
      </c>
      <c r="AF54">
        <v>132.942581</v>
      </c>
    </row>
    <row r="55" spans="2:32">
      <c r="B55" s="5">
        <v>53</v>
      </c>
      <c r="C55" s="6">
        <v>75.954315</v>
      </c>
      <c r="D55" s="6">
        <v>170.379089</v>
      </c>
      <c r="E55">
        <v>68.7192758858699</v>
      </c>
      <c r="F55">
        <v>159.327128521827</v>
      </c>
      <c r="G55" s="7">
        <f t="shared" si="0"/>
        <v>9.5255142701637</v>
      </c>
      <c r="H55" s="7">
        <f t="shared" si="1"/>
        <v>6.48668832721191</v>
      </c>
      <c r="J55">
        <v>27</v>
      </c>
      <c r="K55">
        <v>62.381471220059</v>
      </c>
      <c r="L55">
        <v>6.5563797799409</v>
      </c>
      <c r="M55">
        <v>0.666018982289316</v>
      </c>
      <c r="N55">
        <v>10.3112840466926</v>
      </c>
      <c r="O55" s="6">
        <v>64.704376</v>
      </c>
      <c r="Q55" s="9"/>
      <c r="R55" s="10"/>
      <c r="Z55">
        <v>27</v>
      </c>
      <c r="AA55">
        <v>159.613240353122</v>
      </c>
      <c r="AB55">
        <v>13.8682966468774</v>
      </c>
      <c r="AC55">
        <v>0.771572757702993</v>
      </c>
      <c r="AE55">
        <v>10.3112840466926</v>
      </c>
      <c r="AF55">
        <v>133.100525</v>
      </c>
    </row>
    <row r="56" spans="2:32">
      <c r="B56" s="5">
        <v>54</v>
      </c>
      <c r="C56" s="6">
        <v>78.103012</v>
      </c>
      <c r="D56" s="6">
        <v>172.264145</v>
      </c>
      <c r="E56">
        <v>68.9630376037857</v>
      </c>
      <c r="F56">
        <v>159.316124220623</v>
      </c>
      <c r="G56" s="7">
        <f t="shared" si="0"/>
        <v>11.7024608426296</v>
      </c>
      <c r="H56" s="7">
        <f t="shared" si="1"/>
        <v>7.51637595819896</v>
      </c>
      <c r="J56">
        <v>28</v>
      </c>
      <c r="K56">
        <v>62.6252329379748</v>
      </c>
      <c r="L56">
        <v>6.14789906202511</v>
      </c>
      <c r="M56">
        <v>0.624524145022043</v>
      </c>
      <c r="N56">
        <v>10.7003891050583</v>
      </c>
      <c r="O56" s="6">
        <v>64.942841</v>
      </c>
      <c r="Q56" s="9"/>
      <c r="R56" s="10"/>
      <c r="Z56">
        <v>28</v>
      </c>
      <c r="AA56">
        <v>159.602236051918</v>
      </c>
      <c r="AB56">
        <v>11.856824948081</v>
      </c>
      <c r="AC56">
        <v>0.659663068633047</v>
      </c>
      <c r="AE56">
        <v>10.7003891050583</v>
      </c>
      <c r="AF56">
        <v>133.110397</v>
      </c>
    </row>
    <row r="57" spans="2:32">
      <c r="B57" s="5">
        <v>55</v>
      </c>
      <c r="C57" s="6">
        <v>79.7379</v>
      </c>
      <c r="D57" s="6">
        <v>172.470306</v>
      </c>
      <c r="E57">
        <v>69.2067993217015</v>
      </c>
      <c r="F57">
        <v>159.30511991942</v>
      </c>
      <c r="G57" s="7">
        <f t="shared" si="0"/>
        <v>13.2071457591666</v>
      </c>
      <c r="H57" s="7">
        <f t="shared" si="1"/>
        <v>7.63330592141466</v>
      </c>
      <c r="J57">
        <v>29</v>
      </c>
      <c r="K57">
        <v>62.8689946558906</v>
      </c>
      <c r="L57">
        <v>5.9729703441093</v>
      </c>
      <c r="M57">
        <v>0.606754300902289</v>
      </c>
      <c r="N57">
        <v>11.0894941634241</v>
      </c>
      <c r="O57" s="6">
        <v>64.974815</v>
      </c>
      <c r="Q57" s="9"/>
      <c r="R57" s="10"/>
      <c r="Z57">
        <v>29</v>
      </c>
      <c r="AA57">
        <v>159.591231750715</v>
      </c>
      <c r="AB57">
        <v>13.6939552492847</v>
      </c>
      <c r="AC57">
        <v>0.761873147408553</v>
      </c>
      <c r="AE57">
        <v>11.0894941634241</v>
      </c>
      <c r="AF57">
        <v>133.130142</v>
      </c>
    </row>
    <row r="58" spans="2:32">
      <c r="B58" s="5">
        <v>56</v>
      </c>
      <c r="C58" s="6">
        <v>79.622337</v>
      </c>
      <c r="D58" s="6">
        <v>175.09166</v>
      </c>
      <c r="E58">
        <v>69.4505610396173</v>
      </c>
      <c r="F58">
        <v>159.294115618216</v>
      </c>
      <c r="G58" s="7">
        <f t="shared" si="0"/>
        <v>12.7750281436511</v>
      </c>
      <c r="H58" s="7">
        <f t="shared" si="1"/>
        <v>9.02244252055408</v>
      </c>
      <c r="J58">
        <v>30</v>
      </c>
      <c r="K58">
        <v>63.1127563738064</v>
      </c>
      <c r="L58">
        <v>5.58663062619351</v>
      </c>
      <c r="M58">
        <v>0.567508620453537</v>
      </c>
      <c r="N58">
        <v>11.4785992217898</v>
      </c>
      <c r="O58" s="6">
        <v>65.019051</v>
      </c>
      <c r="Q58" s="9"/>
      <c r="R58" s="10"/>
      <c r="Z58">
        <v>30</v>
      </c>
      <c r="AA58">
        <v>159.580227449511</v>
      </c>
      <c r="AB58">
        <v>13.6165955504883</v>
      </c>
      <c r="AC58">
        <v>0.757569184372918</v>
      </c>
      <c r="AE58">
        <v>11.4785992217898</v>
      </c>
      <c r="AF58">
        <v>133.455887</v>
      </c>
    </row>
    <row r="59" spans="2:32">
      <c r="B59" s="5">
        <v>57</v>
      </c>
      <c r="C59" s="6">
        <v>76.091995</v>
      </c>
      <c r="D59" s="6">
        <v>170.064926</v>
      </c>
      <c r="E59">
        <v>69.6943227575331</v>
      </c>
      <c r="F59">
        <v>159.283111317013</v>
      </c>
      <c r="G59" s="7">
        <f t="shared" si="0"/>
        <v>8.40781246761489</v>
      </c>
      <c r="H59" s="7">
        <f t="shared" si="1"/>
        <v>6.339822641023</v>
      </c>
      <c r="J59">
        <v>31</v>
      </c>
      <c r="K59">
        <v>63.3565180917222</v>
      </c>
      <c r="L59">
        <v>6.4639239082777</v>
      </c>
      <c r="M59">
        <v>0.656627005677438</v>
      </c>
      <c r="N59">
        <v>11.8677042801556</v>
      </c>
      <c r="O59" s="6">
        <v>65.291946</v>
      </c>
      <c r="Q59" s="9"/>
      <c r="R59" s="10"/>
      <c r="Z59">
        <v>31</v>
      </c>
      <c r="AA59">
        <v>159.569223148307</v>
      </c>
      <c r="AB59">
        <v>13.647237851692</v>
      </c>
      <c r="AC59">
        <v>0.759273991058561</v>
      </c>
      <c r="AE59">
        <v>11.8677042801556</v>
      </c>
      <c r="AF59">
        <v>133.495361</v>
      </c>
    </row>
    <row r="60" spans="2:32">
      <c r="B60" s="5">
        <v>58</v>
      </c>
      <c r="C60" s="6">
        <v>75.883018</v>
      </c>
      <c r="D60" s="6">
        <v>168.199554</v>
      </c>
      <c r="E60">
        <v>69.9380844754489</v>
      </c>
      <c r="F60">
        <v>159.272107015809</v>
      </c>
      <c r="G60" s="7">
        <f t="shared" si="0"/>
        <v>7.83433985789957</v>
      </c>
      <c r="H60" s="7">
        <f t="shared" si="1"/>
        <v>5.30765199543335</v>
      </c>
      <c r="J60">
        <v>32</v>
      </c>
      <c r="K60">
        <v>63.600279809638</v>
      </c>
      <c r="L60">
        <v>6.2865381903619</v>
      </c>
      <c r="M60">
        <v>0.638607571281586</v>
      </c>
      <c r="N60">
        <v>12.2568093385214</v>
      </c>
      <c r="O60" s="6">
        <v>65.336212</v>
      </c>
      <c r="Q60" s="9"/>
      <c r="R60" s="10"/>
      <c r="Z60">
        <v>32</v>
      </c>
      <c r="AA60">
        <v>159.558218847104</v>
      </c>
      <c r="AB60">
        <v>13.5404291528956</v>
      </c>
      <c r="AC60">
        <v>0.753331611516548</v>
      </c>
      <c r="AE60">
        <v>12.2568093385214</v>
      </c>
      <c r="AF60">
        <v>133.524979</v>
      </c>
    </row>
    <row r="61" spans="2:32">
      <c r="B61" s="5">
        <v>59</v>
      </c>
      <c r="C61" s="6">
        <v>78.388199</v>
      </c>
      <c r="D61" s="6">
        <v>172.018692</v>
      </c>
      <c r="E61">
        <v>70.1818461933647</v>
      </c>
      <c r="F61">
        <v>159.261102714605</v>
      </c>
      <c r="G61" s="7">
        <f t="shared" si="0"/>
        <v>10.4688625473272</v>
      </c>
      <c r="H61" s="7">
        <f t="shared" si="1"/>
        <v>7.41639710026106</v>
      </c>
      <c r="J61">
        <v>33</v>
      </c>
      <c r="K61">
        <v>63.8440415275539</v>
      </c>
      <c r="L61">
        <v>7.4293504724461</v>
      </c>
      <c r="M61">
        <v>0.754698264409235</v>
      </c>
      <c r="N61">
        <v>12.6459143968871</v>
      </c>
      <c r="O61" s="6">
        <v>65.466507</v>
      </c>
      <c r="Q61" s="9"/>
      <c r="R61" s="10"/>
      <c r="Z61">
        <v>33</v>
      </c>
      <c r="AA61">
        <v>159.5472145459</v>
      </c>
      <c r="AB61">
        <v>14.1110494540993</v>
      </c>
      <c r="AC61">
        <v>0.785078486465329</v>
      </c>
      <c r="AE61">
        <v>12.6459143968871</v>
      </c>
      <c r="AF61">
        <v>133.771759</v>
      </c>
    </row>
    <row r="62" spans="2:32">
      <c r="B62" s="5">
        <v>60</v>
      </c>
      <c r="C62" s="6">
        <v>79.027405</v>
      </c>
      <c r="D62" s="6">
        <v>173.677887</v>
      </c>
      <c r="E62">
        <v>70.4256079112805</v>
      </c>
      <c r="F62">
        <v>159.250098413402</v>
      </c>
      <c r="G62" s="7">
        <f t="shared" si="0"/>
        <v>10.8845748999597</v>
      </c>
      <c r="H62" s="7">
        <f t="shared" si="1"/>
        <v>8.3072110306121</v>
      </c>
      <c r="J62">
        <v>34</v>
      </c>
      <c r="K62">
        <v>64.0878032454697</v>
      </c>
      <c r="L62">
        <v>7.15854975453029</v>
      </c>
      <c r="M62">
        <v>0.727189421937769</v>
      </c>
      <c r="N62">
        <v>13.0350194552529</v>
      </c>
      <c r="O62" s="6">
        <v>65.486168</v>
      </c>
      <c r="Q62" s="9"/>
      <c r="R62" s="10"/>
      <c r="Z62">
        <v>34</v>
      </c>
      <c r="AA62">
        <v>159.536210244697</v>
      </c>
      <c r="AB62">
        <v>13.729353755303</v>
      </c>
      <c r="AC62">
        <v>0.763842569003903</v>
      </c>
      <c r="AE62">
        <v>13.0350194552529</v>
      </c>
      <c r="AF62">
        <v>133.949432</v>
      </c>
    </row>
    <row r="63" spans="2:32">
      <c r="B63" s="5">
        <v>61</v>
      </c>
      <c r="C63" s="6">
        <v>79.951775</v>
      </c>
      <c r="D63" s="6">
        <v>173.137924</v>
      </c>
      <c r="E63">
        <v>70.6693696291963</v>
      </c>
      <c r="F63">
        <v>159.239094112198</v>
      </c>
      <c r="G63" s="7">
        <f t="shared" si="0"/>
        <v>11.6100053698666</v>
      </c>
      <c r="H63" s="7">
        <f t="shared" si="1"/>
        <v>8.02760571843405</v>
      </c>
      <c r="J63">
        <v>35</v>
      </c>
      <c r="K63">
        <v>64.3315649633855</v>
      </c>
      <c r="L63">
        <v>7.33764703661449</v>
      </c>
      <c r="M63">
        <v>0.745382722745242</v>
      </c>
      <c r="N63">
        <v>13.4241245136186</v>
      </c>
      <c r="O63" s="6">
        <v>65.567657</v>
      </c>
      <c r="Q63" s="9"/>
      <c r="R63" s="10"/>
      <c r="Z63">
        <v>35</v>
      </c>
      <c r="AA63">
        <v>159.525205943493</v>
      </c>
      <c r="AB63">
        <v>13.6814130565066</v>
      </c>
      <c r="AC63">
        <v>0.761175353402855</v>
      </c>
      <c r="AE63">
        <v>13.4241245136186</v>
      </c>
      <c r="AF63">
        <v>135.143829</v>
      </c>
    </row>
    <row r="64" spans="2:32">
      <c r="B64" s="5">
        <v>62</v>
      </c>
      <c r="C64" s="6">
        <v>78.865021</v>
      </c>
      <c r="D64" s="6">
        <v>172.087387</v>
      </c>
      <c r="E64">
        <v>70.9131313471121</v>
      </c>
      <c r="F64">
        <v>159.228089810994</v>
      </c>
      <c r="G64" s="7">
        <f t="shared" si="0"/>
        <v>10.0829107151165</v>
      </c>
      <c r="H64" s="7">
        <f t="shared" si="1"/>
        <v>7.47253904727254</v>
      </c>
      <c r="J64">
        <v>36</v>
      </c>
      <c r="K64">
        <v>64.5753266813013</v>
      </c>
      <c r="L64">
        <v>7.61753631869869</v>
      </c>
      <c r="M64">
        <v>0.773814811956689</v>
      </c>
      <c r="N64">
        <v>13.8132295719844</v>
      </c>
      <c r="O64" s="6">
        <v>65.592308</v>
      </c>
      <c r="Q64" s="9"/>
      <c r="R64" s="10"/>
      <c r="Z64">
        <v>36</v>
      </c>
      <c r="AA64">
        <v>159.514201642289</v>
      </c>
      <c r="AB64">
        <v>14.2618603577102</v>
      </c>
      <c r="AC64">
        <v>0.793468960634842</v>
      </c>
      <c r="AE64">
        <v>13.8132295719844</v>
      </c>
      <c r="AF64">
        <v>135.265167</v>
      </c>
    </row>
    <row r="65" spans="2:32">
      <c r="B65" s="5">
        <v>63</v>
      </c>
      <c r="C65" s="6">
        <v>79.239594</v>
      </c>
      <c r="D65" s="6">
        <v>173.72699</v>
      </c>
      <c r="E65">
        <v>71.1568930650279</v>
      </c>
      <c r="F65">
        <v>159.217085509791</v>
      </c>
      <c r="G65" s="7">
        <f t="shared" si="0"/>
        <v>10.2003310806616</v>
      </c>
      <c r="H65" s="7">
        <f t="shared" si="1"/>
        <v>8.35213025345631</v>
      </c>
      <c r="J65">
        <v>37</v>
      </c>
      <c r="K65">
        <v>64.8190883992171</v>
      </c>
      <c r="L65">
        <v>9.0209536007829</v>
      </c>
      <c r="M65">
        <v>0.916378632435891</v>
      </c>
      <c r="N65">
        <v>14.2023346303501</v>
      </c>
      <c r="O65" s="6">
        <v>65.621384</v>
      </c>
      <c r="Q65" s="9"/>
      <c r="R65" s="10"/>
      <c r="Z65">
        <v>37</v>
      </c>
      <c r="AA65">
        <v>159.503197341086</v>
      </c>
      <c r="AB65">
        <v>17.9938426589139</v>
      </c>
      <c r="AC65">
        <v>1.00110050682669</v>
      </c>
      <c r="AE65">
        <v>14.2023346303501</v>
      </c>
      <c r="AF65">
        <v>135.275101</v>
      </c>
    </row>
    <row r="66" spans="2:32">
      <c r="B66" s="5">
        <v>64</v>
      </c>
      <c r="C66" s="6">
        <v>78.76152</v>
      </c>
      <c r="D66" s="6">
        <v>175.886917</v>
      </c>
      <c r="E66">
        <v>71.4006547829437</v>
      </c>
      <c r="F66">
        <v>159.206081208587</v>
      </c>
      <c r="G66" s="7">
        <f t="shared" si="0"/>
        <v>9.34576328269985</v>
      </c>
      <c r="H66" s="7">
        <f t="shared" si="1"/>
        <v>9.48384113834517</v>
      </c>
      <c r="J66">
        <v>38</v>
      </c>
      <c r="K66">
        <v>65.0628501171329</v>
      </c>
      <c r="L66">
        <v>8.05930388286709</v>
      </c>
      <c r="M66">
        <v>0.818691038376038</v>
      </c>
      <c r="N66">
        <v>14.5914396887159</v>
      </c>
      <c r="O66" s="6">
        <v>65.665634</v>
      </c>
      <c r="Q66" s="9"/>
      <c r="R66" s="10"/>
      <c r="Z66">
        <v>38</v>
      </c>
      <c r="AA66">
        <v>159.492193039882</v>
      </c>
      <c r="AB66">
        <v>16.1100099601175</v>
      </c>
      <c r="AC66">
        <v>0.896292106237094</v>
      </c>
      <c r="AE66">
        <v>14.5914396887159</v>
      </c>
      <c r="AF66">
        <v>135.479431</v>
      </c>
    </row>
    <row r="67" spans="2:32">
      <c r="B67" s="5">
        <v>65</v>
      </c>
      <c r="C67" s="6">
        <v>80.631927</v>
      </c>
      <c r="D67" s="6">
        <v>177.879929</v>
      </c>
      <c r="E67">
        <v>71.6444165008595</v>
      </c>
      <c r="F67">
        <v>159.195076907383</v>
      </c>
      <c r="G67" s="7">
        <f t="shared" si="0"/>
        <v>11.1463421916488</v>
      </c>
      <c r="H67" s="7">
        <f t="shared" si="1"/>
        <v>10.5041935858975</v>
      </c>
      <c r="J67">
        <v>39</v>
      </c>
      <c r="K67">
        <v>65.3066118350487</v>
      </c>
      <c r="L67">
        <v>8.3982071649513</v>
      </c>
      <c r="M67">
        <v>0.853117967047681</v>
      </c>
      <c r="N67">
        <v>14.9805447470817</v>
      </c>
      <c r="O67" s="6">
        <v>65.702515</v>
      </c>
      <c r="Q67" s="9"/>
      <c r="R67" s="10"/>
      <c r="Z67">
        <v>39</v>
      </c>
      <c r="AA67">
        <v>159.481188738678</v>
      </c>
      <c r="AB67">
        <v>14.7956052613212</v>
      </c>
      <c r="AC67">
        <v>0.823164246052735</v>
      </c>
      <c r="AE67">
        <v>14.9805447470817</v>
      </c>
      <c r="AF67">
        <v>135.627487</v>
      </c>
    </row>
    <row r="68" spans="2:32">
      <c r="B68" s="5">
        <v>66</v>
      </c>
      <c r="C68" s="6">
        <v>80.057739</v>
      </c>
      <c r="D68" s="6">
        <v>176.839249</v>
      </c>
      <c r="E68">
        <v>71.8881782187753</v>
      </c>
      <c r="F68">
        <v>159.18407260618</v>
      </c>
      <c r="G68" s="7">
        <f t="shared" ref="G68:H83" si="2">(ABS(C68-E68)/C68)*100</f>
        <v>10.204585944183</v>
      </c>
      <c r="H68" s="7">
        <f t="shared" si="2"/>
        <v>9.983743141671</v>
      </c>
      <c r="J68">
        <v>40</v>
      </c>
      <c r="K68">
        <v>65.5503735529645</v>
      </c>
      <c r="L68">
        <v>7.8078114470355</v>
      </c>
      <c r="M68">
        <v>0.793143595764724</v>
      </c>
      <c r="N68">
        <v>15.3696498054474</v>
      </c>
      <c r="O68" s="6">
        <v>65.847565</v>
      </c>
      <c r="Q68" s="9"/>
      <c r="R68" s="10"/>
      <c r="Z68">
        <v>40</v>
      </c>
      <c r="AA68">
        <v>159.470184437475</v>
      </c>
      <c r="AB68">
        <v>14.9047845625248</v>
      </c>
      <c r="AC68">
        <v>0.829238515781654</v>
      </c>
      <c r="AE68">
        <v>15.3696498054474</v>
      </c>
      <c r="AF68">
        <v>136.160538</v>
      </c>
    </row>
    <row r="69" spans="2:32">
      <c r="B69" s="5">
        <v>67</v>
      </c>
      <c r="C69" s="6">
        <v>80.077461</v>
      </c>
      <c r="D69" s="6">
        <v>177.516693</v>
      </c>
      <c r="E69">
        <v>72.1319399366911</v>
      </c>
      <c r="F69">
        <v>159.173068304976</v>
      </c>
      <c r="G69" s="7">
        <f t="shared" si="2"/>
        <v>9.92229394399618</v>
      </c>
      <c r="H69" s="7">
        <f t="shared" si="2"/>
        <v>10.3334646364914</v>
      </c>
      <c r="J69">
        <v>41</v>
      </c>
      <c r="K69">
        <v>65.7941352708803</v>
      </c>
      <c r="L69">
        <v>8.7441037291197</v>
      </c>
      <c r="M69">
        <v>0.888255296698662</v>
      </c>
      <c r="N69">
        <v>15.7587548638132</v>
      </c>
      <c r="O69" s="6">
        <v>66.004898</v>
      </c>
      <c r="Q69" s="9"/>
      <c r="R69" s="10"/>
      <c r="Z69">
        <v>41</v>
      </c>
      <c r="AA69">
        <v>159.459180136271</v>
      </c>
      <c r="AB69">
        <v>15.0630518637285</v>
      </c>
      <c r="AC69">
        <v>0.83804383204747</v>
      </c>
      <c r="AE69">
        <v>15.7587548638132</v>
      </c>
      <c r="AF69">
        <v>136.535645</v>
      </c>
    </row>
    <row r="70" spans="2:32">
      <c r="B70" s="5">
        <v>68</v>
      </c>
      <c r="C70" s="6">
        <v>78.611198</v>
      </c>
      <c r="D70" s="6">
        <v>176.151993</v>
      </c>
      <c r="E70">
        <v>72.3757016546069</v>
      </c>
      <c r="F70">
        <v>159.162064003772</v>
      </c>
      <c r="G70" s="7">
        <f t="shared" si="2"/>
        <v>7.9320713893625</v>
      </c>
      <c r="H70" s="7">
        <f t="shared" si="2"/>
        <v>9.64503932477676</v>
      </c>
      <c r="J70">
        <v>42</v>
      </c>
      <c r="K70">
        <v>66.0378969887961</v>
      </c>
      <c r="L70">
        <v>10.0836010112038</v>
      </c>
      <c r="M70">
        <v>1.02432590983222</v>
      </c>
      <c r="N70">
        <v>16.1478599221789</v>
      </c>
      <c r="O70" s="6">
        <v>66.040802</v>
      </c>
      <c r="Q70" s="9"/>
      <c r="R70" s="10"/>
      <c r="Z70">
        <v>42</v>
      </c>
      <c r="AA70">
        <v>159.448175835067</v>
      </c>
      <c r="AB70">
        <v>16.3602041649321</v>
      </c>
      <c r="AC70">
        <v>0.910211842559836</v>
      </c>
      <c r="AE70">
        <v>16.1478599221789</v>
      </c>
      <c r="AF70">
        <v>136.915833</v>
      </c>
    </row>
    <row r="71" spans="2:32">
      <c r="B71" s="5">
        <v>69</v>
      </c>
      <c r="C71" s="6">
        <v>79.749702</v>
      </c>
      <c r="D71" s="6">
        <v>177.565765</v>
      </c>
      <c r="E71">
        <v>72.6194633725227</v>
      </c>
      <c r="F71">
        <v>159.151059702569</v>
      </c>
      <c r="G71" s="7">
        <f t="shared" si="2"/>
        <v>8.94077149965689</v>
      </c>
      <c r="H71" s="7">
        <f t="shared" si="2"/>
        <v>10.370639462754</v>
      </c>
      <c r="J71">
        <v>43</v>
      </c>
      <c r="K71">
        <v>66.2816587067119</v>
      </c>
      <c r="L71">
        <v>10.011920293288</v>
      </c>
      <c r="M71">
        <v>1.01704434280919</v>
      </c>
      <c r="N71">
        <v>16.5369649805447</v>
      </c>
      <c r="O71" s="6">
        <v>66.134438</v>
      </c>
      <c r="Q71" s="9"/>
      <c r="R71" s="10"/>
      <c r="Z71">
        <v>43</v>
      </c>
      <c r="AA71">
        <v>159.437171533864</v>
      </c>
      <c r="AB71">
        <v>15.9882894661358</v>
      </c>
      <c r="AC71">
        <v>0.889520098138205</v>
      </c>
      <c r="AE71">
        <v>16.5369649805447</v>
      </c>
      <c r="AF71">
        <v>137.432907</v>
      </c>
    </row>
    <row r="72" spans="2:32">
      <c r="B72" s="5">
        <v>70</v>
      </c>
      <c r="C72" s="6">
        <v>78.931564</v>
      </c>
      <c r="D72" s="6">
        <v>177.408691</v>
      </c>
      <c r="E72">
        <v>72.8632250904385</v>
      </c>
      <c r="F72">
        <v>159.140055401365</v>
      </c>
      <c r="G72" s="7">
        <f t="shared" si="2"/>
        <v>7.68810169473076</v>
      </c>
      <c r="H72" s="7">
        <f t="shared" si="2"/>
        <v>10.2974862706332</v>
      </c>
      <c r="J72">
        <v>44</v>
      </c>
      <c r="K72">
        <v>66.5254204246277</v>
      </c>
      <c r="L72">
        <v>11.3981175753722</v>
      </c>
      <c r="M72">
        <v>1.15785889810548</v>
      </c>
      <c r="N72">
        <v>16.9260700389105</v>
      </c>
      <c r="O72" s="6">
        <v>66.553131</v>
      </c>
      <c r="Q72" s="9"/>
      <c r="R72" s="10"/>
      <c r="Z72">
        <v>44</v>
      </c>
      <c r="AA72">
        <v>159.42616723266</v>
      </c>
      <c r="AB72">
        <v>18.5421247673394</v>
      </c>
      <c r="AC72">
        <v>1.03160458019408</v>
      </c>
      <c r="AE72">
        <v>16.9260700389105</v>
      </c>
      <c r="AF72">
        <v>137.453644</v>
      </c>
    </row>
    <row r="73" spans="2:32">
      <c r="B73" s="5">
        <v>71</v>
      </c>
      <c r="C73" s="6">
        <v>77.144943</v>
      </c>
      <c r="D73" s="6">
        <v>176.603622</v>
      </c>
      <c r="E73">
        <v>73.1069868083543</v>
      </c>
      <c r="F73">
        <v>159.129051100161</v>
      </c>
      <c r="G73" s="7">
        <f t="shared" si="2"/>
        <v>5.23424612763754</v>
      </c>
      <c r="H73" s="7">
        <f t="shared" si="2"/>
        <v>9.89479757093487</v>
      </c>
      <c r="J73">
        <v>45</v>
      </c>
      <c r="K73">
        <v>66.7691821425435</v>
      </c>
      <c r="L73">
        <v>10.1021408574565</v>
      </c>
      <c r="M73">
        <v>1.02620924941098</v>
      </c>
      <c r="N73">
        <v>17.3151750972762</v>
      </c>
      <c r="O73" s="6">
        <v>66.567886</v>
      </c>
      <c r="Q73" s="9"/>
      <c r="R73" s="10"/>
      <c r="Z73">
        <v>45</v>
      </c>
      <c r="AA73">
        <v>159.415162931456</v>
      </c>
      <c r="AB73">
        <v>17.7480600685431</v>
      </c>
      <c r="AC73">
        <v>0.987426213878075</v>
      </c>
      <c r="AE73">
        <v>17.3151750972762</v>
      </c>
      <c r="AF73">
        <v>137.572128</v>
      </c>
    </row>
    <row r="74" spans="2:32">
      <c r="B74" s="5">
        <v>72</v>
      </c>
      <c r="C74" s="6">
        <v>73.480522</v>
      </c>
      <c r="D74" s="6">
        <v>172.077591</v>
      </c>
      <c r="E74">
        <v>73.3507485262701</v>
      </c>
      <c r="F74">
        <v>159.118046798958</v>
      </c>
      <c r="G74" s="7">
        <f t="shared" si="2"/>
        <v>0.176609351972075</v>
      </c>
      <c r="H74" s="7">
        <f t="shared" si="2"/>
        <v>7.53122130878855</v>
      </c>
      <c r="J74">
        <v>46</v>
      </c>
      <c r="K74">
        <v>67.0129438604593</v>
      </c>
      <c r="L74">
        <v>9.52894113954069</v>
      </c>
      <c r="M74">
        <v>0.967981705310685</v>
      </c>
      <c r="N74">
        <v>17.704280155642</v>
      </c>
      <c r="O74" s="6">
        <v>66.737518</v>
      </c>
      <c r="Q74" s="9"/>
      <c r="R74" s="10"/>
      <c r="Z74">
        <v>46</v>
      </c>
      <c r="AA74">
        <v>159.404158630253</v>
      </c>
      <c r="AB74">
        <v>18.0339673697468</v>
      </c>
      <c r="AC74">
        <v>1.00333287425996</v>
      </c>
      <c r="AE74">
        <v>17.704280155642</v>
      </c>
      <c r="AF74">
        <v>138.075516</v>
      </c>
    </row>
    <row r="75" spans="2:32">
      <c r="B75" s="5">
        <v>73</v>
      </c>
      <c r="C75" s="6">
        <v>70.991577</v>
      </c>
      <c r="D75" s="6">
        <v>164.743652</v>
      </c>
      <c r="E75">
        <v>73.5945102441859</v>
      </c>
      <c r="F75">
        <v>159.107042497754</v>
      </c>
      <c r="G75" s="7">
        <f t="shared" si="2"/>
        <v>3.66653813618747</v>
      </c>
      <c r="H75" s="7">
        <f t="shared" si="2"/>
        <v>3.42144260723684</v>
      </c>
      <c r="J75">
        <v>47</v>
      </c>
      <c r="K75">
        <v>67.2567055783751</v>
      </c>
      <c r="L75">
        <v>10.2439884216248</v>
      </c>
      <c r="M75">
        <v>1.04061859931116</v>
      </c>
      <c r="N75">
        <v>18.0933852140077</v>
      </c>
      <c r="O75" s="6">
        <v>67.337029</v>
      </c>
      <c r="Q75" s="9"/>
      <c r="R75" s="10"/>
      <c r="Z75">
        <v>47</v>
      </c>
      <c r="AA75">
        <v>159.393154329049</v>
      </c>
      <c r="AB75">
        <v>19.5471076709504</v>
      </c>
      <c r="AC75">
        <v>1.08751753404326</v>
      </c>
      <c r="AE75">
        <v>18.0933852140077</v>
      </c>
      <c r="AF75">
        <v>138.397446</v>
      </c>
    </row>
    <row r="76" spans="2:32">
      <c r="B76" s="5">
        <v>74</v>
      </c>
      <c r="C76" s="6">
        <v>72.117767</v>
      </c>
      <c r="D76" s="6">
        <v>164.134918</v>
      </c>
      <c r="E76">
        <v>73.8382719621017</v>
      </c>
      <c r="F76">
        <v>159.09603819655</v>
      </c>
      <c r="G76" s="7">
        <f t="shared" si="2"/>
        <v>2.3856880678262</v>
      </c>
      <c r="H76" s="7">
        <f t="shared" si="2"/>
        <v>3.06996211704933</v>
      </c>
      <c r="J76">
        <v>48</v>
      </c>
      <c r="K76">
        <v>67.5004672962909</v>
      </c>
      <c r="L76">
        <v>10.858228703709</v>
      </c>
      <c r="M76">
        <v>1.10301518115751</v>
      </c>
      <c r="N76">
        <v>18.4824902723735</v>
      </c>
      <c r="O76" s="6">
        <v>67.364128</v>
      </c>
      <c r="Q76" s="9"/>
      <c r="R76" s="10"/>
      <c r="Z76">
        <v>48</v>
      </c>
      <c r="AA76">
        <v>159.382150027845</v>
      </c>
      <c r="AB76">
        <v>20.510442972154</v>
      </c>
      <c r="AC76">
        <v>1.14111339328021</v>
      </c>
      <c r="AE76">
        <v>18.4824902723735</v>
      </c>
      <c r="AF76">
        <v>138.776337</v>
      </c>
    </row>
    <row r="77" spans="2:32">
      <c r="B77" s="5">
        <v>75</v>
      </c>
      <c r="C77" s="6">
        <v>67.403557</v>
      </c>
      <c r="D77" s="6">
        <v>157.49176</v>
      </c>
      <c r="E77">
        <v>74.0820336800175</v>
      </c>
      <c r="F77">
        <v>159.085033895347</v>
      </c>
      <c r="G77" s="7">
        <f t="shared" si="2"/>
        <v>9.90819620990847</v>
      </c>
      <c r="H77" s="7">
        <f t="shared" si="2"/>
        <v>1.01165540047747</v>
      </c>
      <c r="J77">
        <v>49</v>
      </c>
      <c r="K77">
        <v>67.7442290142067</v>
      </c>
      <c r="L77">
        <v>10.0834379857932</v>
      </c>
      <c r="M77">
        <v>1.02430934916586</v>
      </c>
      <c r="N77">
        <v>18.8715953307393</v>
      </c>
      <c r="O77" s="6">
        <v>67.403557</v>
      </c>
      <c r="Q77" s="9"/>
      <c r="R77" s="10"/>
      <c r="Z77">
        <v>49</v>
      </c>
      <c r="AA77">
        <v>159.371145726642</v>
      </c>
      <c r="AB77">
        <v>18.2633452733577</v>
      </c>
      <c r="AC77">
        <v>1.01609448054454</v>
      </c>
      <c r="AE77">
        <v>18.8715953307393</v>
      </c>
      <c r="AF77">
        <v>140.069443</v>
      </c>
    </row>
    <row r="78" spans="2:32">
      <c r="B78" s="5">
        <v>76</v>
      </c>
      <c r="C78" s="6">
        <v>67.364128</v>
      </c>
      <c r="D78" s="6">
        <v>160.077957</v>
      </c>
      <c r="E78">
        <v>74.3257953979333</v>
      </c>
      <c r="F78">
        <v>159.074029594143</v>
      </c>
      <c r="G78" s="7">
        <f t="shared" si="2"/>
        <v>10.3343836024023</v>
      </c>
      <c r="H78" s="7">
        <f t="shared" si="2"/>
        <v>0.627149062039182</v>
      </c>
      <c r="J78">
        <v>50</v>
      </c>
      <c r="K78">
        <v>67.9879907321225</v>
      </c>
      <c r="L78">
        <v>10.1174852678774</v>
      </c>
      <c r="M78">
        <v>1.02776798593257</v>
      </c>
      <c r="N78">
        <v>19.260700389105</v>
      </c>
      <c r="O78" s="6">
        <v>67.644707</v>
      </c>
      <c r="Q78" s="9"/>
      <c r="R78" s="10"/>
      <c r="Z78">
        <v>50</v>
      </c>
      <c r="AA78">
        <v>159.360141425438</v>
      </c>
      <c r="AB78">
        <v>17.4103815745614</v>
      </c>
      <c r="AC78">
        <v>0.968639225580046</v>
      </c>
      <c r="AE78">
        <v>19.260700389105</v>
      </c>
      <c r="AF78">
        <v>140.575134</v>
      </c>
    </row>
    <row r="79" spans="2:32">
      <c r="B79" s="5">
        <v>77</v>
      </c>
      <c r="C79" s="6">
        <v>73.635773</v>
      </c>
      <c r="D79" s="6">
        <v>162.121277</v>
      </c>
      <c r="E79">
        <v>74.5695571158491</v>
      </c>
      <c r="F79">
        <v>159.06302529294</v>
      </c>
      <c r="G79" s="7">
        <f t="shared" si="2"/>
        <v>1.26811205723215</v>
      </c>
      <c r="H79" s="7">
        <f t="shared" si="2"/>
        <v>1.88639749430297</v>
      </c>
      <c r="J79">
        <v>51</v>
      </c>
      <c r="K79">
        <v>68.2317524500383</v>
      </c>
      <c r="L79">
        <v>10.2498685499616</v>
      </c>
      <c r="M79">
        <v>1.0412159224105</v>
      </c>
      <c r="N79">
        <v>19.6498054474708</v>
      </c>
      <c r="O79" s="6">
        <v>67.775673</v>
      </c>
      <c r="Q79" s="9"/>
      <c r="R79" s="10"/>
      <c r="Z79">
        <v>51</v>
      </c>
      <c r="AA79">
        <v>159.349137124234</v>
      </c>
      <c r="AB79">
        <v>16.959959875765</v>
      </c>
      <c r="AC79">
        <v>0.94357968718693</v>
      </c>
      <c r="AE79">
        <v>19.6498054474708</v>
      </c>
      <c r="AF79">
        <v>140.91835</v>
      </c>
    </row>
    <row r="80" spans="2:32">
      <c r="B80" s="5">
        <v>78</v>
      </c>
      <c r="C80" s="6">
        <v>71.297157</v>
      </c>
      <c r="D80" s="6">
        <v>159.801575</v>
      </c>
      <c r="E80">
        <v>74.8133188337649</v>
      </c>
      <c r="F80">
        <v>159.052020991736</v>
      </c>
      <c r="G80" s="7">
        <f t="shared" si="2"/>
        <v>4.93169991864458</v>
      </c>
      <c r="H80" s="7">
        <f t="shared" si="2"/>
        <v>0.469052954117647</v>
      </c>
      <c r="J80">
        <v>52</v>
      </c>
      <c r="K80">
        <v>68.4755141679541</v>
      </c>
      <c r="L80">
        <v>9.77992583204587</v>
      </c>
      <c r="M80">
        <v>0.993477569657031</v>
      </c>
      <c r="N80">
        <v>20.0389105058365</v>
      </c>
      <c r="O80" s="6">
        <v>67.874245</v>
      </c>
      <c r="Q80" s="9"/>
      <c r="R80" s="10"/>
      <c r="Z80">
        <v>52</v>
      </c>
      <c r="AA80">
        <v>159.338132823031</v>
      </c>
      <c r="AB80">
        <v>14.5655841769687</v>
      </c>
      <c r="AC80">
        <v>0.810366855940397</v>
      </c>
      <c r="AE80">
        <v>20.0389105058365</v>
      </c>
      <c r="AF80">
        <v>141.579712</v>
      </c>
    </row>
    <row r="81" spans="2:32">
      <c r="B81" s="5">
        <v>79</v>
      </c>
      <c r="C81" s="6">
        <v>74.60424</v>
      </c>
      <c r="D81" s="6">
        <v>168.981613</v>
      </c>
      <c r="E81">
        <v>75.0570805516807</v>
      </c>
      <c r="F81">
        <v>159.041016690532</v>
      </c>
      <c r="G81" s="7">
        <f t="shared" si="2"/>
        <v>0.606990369020171</v>
      </c>
      <c r="H81" s="7">
        <f t="shared" si="2"/>
        <v>5.88264967589581</v>
      </c>
      <c r="J81">
        <v>53</v>
      </c>
      <c r="K81">
        <v>68.7192758858699</v>
      </c>
      <c r="L81">
        <v>7.23503911413008</v>
      </c>
      <c r="M81">
        <v>0.734959466862938</v>
      </c>
      <c r="N81">
        <v>20.4280155642023</v>
      </c>
      <c r="O81" s="6">
        <v>68.039352</v>
      </c>
      <c r="Q81" s="9"/>
      <c r="R81" s="10"/>
      <c r="Z81">
        <v>53</v>
      </c>
      <c r="AA81">
        <v>159.327128521827</v>
      </c>
      <c r="AB81">
        <v>11.0519604781723</v>
      </c>
      <c r="AC81">
        <v>0.61488384920638</v>
      </c>
      <c r="AE81">
        <v>20.4280155642023</v>
      </c>
      <c r="AF81">
        <v>141.649063</v>
      </c>
    </row>
    <row r="82" spans="2:32">
      <c r="B82" s="5">
        <v>80</v>
      </c>
      <c r="C82" s="6">
        <v>72.184303</v>
      </c>
      <c r="D82" s="6">
        <v>162.79248</v>
      </c>
      <c r="E82">
        <v>75.3008422695965</v>
      </c>
      <c r="F82">
        <v>159.030012389329</v>
      </c>
      <c r="G82" s="7">
        <f t="shared" si="2"/>
        <v>4.31747504661297</v>
      </c>
      <c r="H82" s="7">
        <f t="shared" si="2"/>
        <v>2.31120479930708</v>
      </c>
      <c r="J82">
        <v>54</v>
      </c>
      <c r="K82">
        <v>68.9630376037857</v>
      </c>
      <c r="L82">
        <v>9.1399743962143</v>
      </c>
      <c r="M82">
        <v>0.928469162836068</v>
      </c>
      <c r="N82">
        <v>20.817120622568</v>
      </c>
      <c r="O82" s="6">
        <v>68.243881</v>
      </c>
      <c r="Q82" s="9"/>
      <c r="R82" s="10"/>
      <c r="Z82">
        <v>54</v>
      </c>
      <c r="AA82">
        <v>159.316124220623</v>
      </c>
      <c r="AB82">
        <v>12.948020779376</v>
      </c>
      <c r="AC82">
        <v>0.720372541337889</v>
      </c>
      <c r="AE82">
        <v>20.817120622568</v>
      </c>
      <c r="AF82">
        <v>141.659012</v>
      </c>
    </row>
    <row r="83" spans="2:32">
      <c r="B83" s="5">
        <v>81</v>
      </c>
      <c r="C83" s="6">
        <v>71.225685</v>
      </c>
      <c r="D83" s="6">
        <v>161.913971</v>
      </c>
      <c r="E83">
        <v>75.5446039875123</v>
      </c>
      <c r="F83">
        <v>159.019008088125</v>
      </c>
      <c r="G83" s="7">
        <f t="shared" si="2"/>
        <v>6.06371000505268</v>
      </c>
      <c r="H83" s="7">
        <f t="shared" si="2"/>
        <v>1.78796362907745</v>
      </c>
      <c r="J83">
        <v>55</v>
      </c>
      <c r="K83">
        <v>69.2067993217015</v>
      </c>
      <c r="L83">
        <v>10.5311006782984</v>
      </c>
      <c r="M83">
        <v>1.0697844224347</v>
      </c>
      <c r="N83">
        <v>21.2062256809338</v>
      </c>
      <c r="O83" s="6">
        <v>68.500175</v>
      </c>
      <c r="Q83" s="9"/>
      <c r="R83" s="10"/>
      <c r="Z83">
        <v>55</v>
      </c>
      <c r="AA83">
        <v>159.30511991942</v>
      </c>
      <c r="AB83">
        <v>13.1651860805796</v>
      </c>
      <c r="AC83">
        <v>0.732454690616459</v>
      </c>
      <c r="AE83">
        <v>21.2062256809338</v>
      </c>
      <c r="AF83">
        <v>142.434631</v>
      </c>
    </row>
    <row r="84" spans="2:32">
      <c r="B84" s="5">
        <v>82</v>
      </c>
      <c r="C84" s="6">
        <v>65.592308</v>
      </c>
      <c r="D84" s="6">
        <v>150.888062</v>
      </c>
      <c r="E84">
        <v>75.7883657054281</v>
      </c>
      <c r="F84">
        <v>159.008003786921</v>
      </c>
      <c r="G84" s="7">
        <f t="shared" ref="G84:G147" si="3">(ABS(C84-E84)/C84)*100</f>
        <v>15.5445935908035</v>
      </c>
      <c r="H84" s="7">
        <f t="shared" ref="H84:H147" si="4">(ABS(D84-F84)/D84)*100</f>
        <v>5.38143420976605</v>
      </c>
      <c r="J84">
        <v>56</v>
      </c>
      <c r="K84">
        <v>69.4505610396173</v>
      </c>
      <c r="L84">
        <v>10.1717759603826</v>
      </c>
      <c r="M84">
        <v>1.03328301602291</v>
      </c>
      <c r="N84">
        <v>21.5953307392996</v>
      </c>
      <c r="O84" s="6">
        <v>68.65049</v>
      </c>
      <c r="Q84" s="9"/>
      <c r="R84" s="10"/>
      <c r="Z84">
        <v>56</v>
      </c>
      <c r="AA84">
        <v>159.294115618216</v>
      </c>
      <c r="AB84">
        <v>15.7975443817832</v>
      </c>
      <c r="AC84">
        <v>0.878907856815451</v>
      </c>
      <c r="AE84">
        <v>21.5953307392996</v>
      </c>
      <c r="AF84">
        <v>142.633499</v>
      </c>
    </row>
    <row r="85" spans="2:32">
      <c r="B85" s="5">
        <v>83</v>
      </c>
      <c r="C85" s="6">
        <v>70.316368</v>
      </c>
      <c r="D85" s="6">
        <v>159.604156</v>
      </c>
      <c r="E85">
        <v>76.0321274233439</v>
      </c>
      <c r="F85">
        <v>158.996999485718</v>
      </c>
      <c r="G85" s="7">
        <f t="shared" si="3"/>
        <v>8.1286329000154</v>
      </c>
      <c r="H85" s="7">
        <f t="shared" si="4"/>
        <v>0.380413975111022</v>
      </c>
      <c r="J85">
        <v>57</v>
      </c>
      <c r="K85">
        <v>69.6943227575331</v>
      </c>
      <c r="L85">
        <v>6.39767224246688</v>
      </c>
      <c r="M85">
        <v>0.649896939921745</v>
      </c>
      <c r="N85">
        <v>21.9844357976653</v>
      </c>
      <c r="O85" s="6">
        <v>68.699387</v>
      </c>
      <c r="Q85" s="9"/>
      <c r="R85" s="10"/>
      <c r="Z85">
        <v>57</v>
      </c>
      <c r="AA85">
        <v>159.283111317013</v>
      </c>
      <c r="AB85">
        <v>10.7818146829869</v>
      </c>
      <c r="AC85">
        <v>0.599854091660778</v>
      </c>
      <c r="AE85">
        <v>21.9844357976653</v>
      </c>
      <c r="AF85">
        <v>142.683228</v>
      </c>
    </row>
    <row r="86" spans="2:32">
      <c r="B86" s="5">
        <v>84</v>
      </c>
      <c r="C86" s="6">
        <v>67.874245</v>
      </c>
      <c r="D86" s="6">
        <v>151.411224</v>
      </c>
      <c r="E86">
        <v>76.2758891412597</v>
      </c>
      <c r="F86">
        <v>158.985995184514</v>
      </c>
      <c r="G86" s="7">
        <f t="shared" si="3"/>
        <v>12.3782506033912</v>
      </c>
      <c r="H86" s="7">
        <f t="shared" si="4"/>
        <v>5.00278049698217</v>
      </c>
      <c r="J86">
        <v>58</v>
      </c>
      <c r="K86">
        <v>69.9380844754489</v>
      </c>
      <c r="L86">
        <v>5.94493352455108</v>
      </c>
      <c r="M86">
        <v>0.603906227017685</v>
      </c>
      <c r="N86">
        <v>22.3735408560311</v>
      </c>
      <c r="O86" s="6">
        <v>68.773132</v>
      </c>
      <c r="Q86" s="9"/>
      <c r="R86" s="10"/>
      <c r="Z86">
        <v>58</v>
      </c>
      <c r="AA86">
        <v>159.272107015809</v>
      </c>
      <c r="AB86">
        <v>8.92744698419062</v>
      </c>
      <c r="AC86">
        <v>0.496684997749176</v>
      </c>
      <c r="AE86">
        <v>22.3735408560311</v>
      </c>
      <c r="AF86">
        <v>143.299728</v>
      </c>
    </row>
    <row r="87" spans="2:32">
      <c r="B87" s="5">
        <v>85</v>
      </c>
      <c r="C87" s="6">
        <v>61.171341</v>
      </c>
      <c r="D87" s="6">
        <v>133.110397</v>
      </c>
      <c r="E87">
        <v>76.5196508591755</v>
      </c>
      <c r="F87">
        <v>158.97499088331</v>
      </c>
      <c r="G87" s="7">
        <f t="shared" si="3"/>
        <v>25.0906872536528</v>
      </c>
      <c r="H87" s="7">
        <f t="shared" si="4"/>
        <v>19.4309343719484</v>
      </c>
      <c r="J87">
        <v>59</v>
      </c>
      <c r="K87">
        <v>70.1818461933647</v>
      </c>
      <c r="L87">
        <v>8.20635280663528</v>
      </c>
      <c r="M87">
        <v>0.833628759777483</v>
      </c>
      <c r="N87">
        <v>22.7626459143968</v>
      </c>
      <c r="O87" s="6">
        <v>68.802635</v>
      </c>
      <c r="Q87" s="9"/>
      <c r="R87" s="10"/>
      <c r="Z87">
        <v>59</v>
      </c>
      <c r="AA87">
        <v>159.261102714605</v>
      </c>
      <c r="AB87">
        <v>12.7575892853942</v>
      </c>
      <c r="AC87">
        <v>0.709777746843202</v>
      </c>
      <c r="AE87">
        <v>22.7626459143968</v>
      </c>
      <c r="AF87">
        <v>143.697479</v>
      </c>
    </row>
    <row r="88" spans="2:32">
      <c r="B88" s="5">
        <v>86</v>
      </c>
      <c r="C88" s="6">
        <v>68.500175</v>
      </c>
      <c r="D88" s="6">
        <v>147.482574</v>
      </c>
      <c r="E88">
        <v>76.7634125770913</v>
      </c>
      <c r="F88">
        <v>158.963986582107</v>
      </c>
      <c r="G88" s="7">
        <f t="shared" si="3"/>
        <v>12.0630897323858</v>
      </c>
      <c r="H88" s="7">
        <f t="shared" si="4"/>
        <v>7.7849282601394</v>
      </c>
      <c r="J88">
        <v>60</v>
      </c>
      <c r="K88">
        <v>70.4256079112805</v>
      </c>
      <c r="L88">
        <v>8.60179708871949</v>
      </c>
      <c r="M88">
        <v>0.873799312299721</v>
      </c>
      <c r="N88">
        <v>23.1517509727626</v>
      </c>
      <c r="O88" s="6">
        <v>68.841965</v>
      </c>
      <c r="Q88" s="9"/>
      <c r="R88" s="10"/>
      <c r="Z88">
        <v>60</v>
      </c>
      <c r="AA88">
        <v>159.250098413402</v>
      </c>
      <c r="AB88">
        <v>14.4277885865979</v>
      </c>
      <c r="AC88">
        <v>0.802700498177158</v>
      </c>
      <c r="AE88">
        <v>23.1517509727626</v>
      </c>
      <c r="AF88">
        <v>143.777023</v>
      </c>
    </row>
    <row r="89" spans="2:32">
      <c r="B89" s="5">
        <v>87</v>
      </c>
      <c r="C89" s="6">
        <v>59.687832</v>
      </c>
      <c r="D89" s="6">
        <v>133.524979</v>
      </c>
      <c r="E89">
        <v>77.0071742950071</v>
      </c>
      <c r="F89">
        <v>158.952982280903</v>
      </c>
      <c r="G89" s="7">
        <f t="shared" si="3"/>
        <v>29.016537734202</v>
      </c>
      <c r="H89" s="7">
        <f t="shared" si="4"/>
        <v>19.0436302415767</v>
      </c>
      <c r="J89">
        <v>61</v>
      </c>
      <c r="K89">
        <v>70.6693696291963</v>
      </c>
      <c r="L89">
        <v>9.28240537080368</v>
      </c>
      <c r="M89">
        <v>0.942937777517714</v>
      </c>
      <c r="N89">
        <v>23.5408560311284</v>
      </c>
      <c r="O89" s="6">
        <v>68.937851</v>
      </c>
      <c r="Q89" s="9"/>
      <c r="R89" s="10"/>
      <c r="Z89">
        <v>61</v>
      </c>
      <c r="AA89">
        <v>159.239094112198</v>
      </c>
      <c r="AB89">
        <v>13.8988298878015</v>
      </c>
      <c r="AC89">
        <v>0.773271496740763</v>
      </c>
      <c r="AE89">
        <v>23.5408560311284</v>
      </c>
      <c r="AF89">
        <v>144.045517</v>
      </c>
    </row>
    <row r="90" spans="2:32">
      <c r="B90" s="5">
        <v>88</v>
      </c>
      <c r="C90" s="6">
        <v>62.312309</v>
      </c>
      <c r="D90" s="6">
        <v>130.099747</v>
      </c>
      <c r="E90">
        <v>77.2509360129229</v>
      </c>
      <c r="F90">
        <v>158.941977979699</v>
      </c>
      <c r="G90" s="7">
        <f t="shared" si="3"/>
        <v>23.9737978782377</v>
      </c>
      <c r="H90" s="7">
        <f t="shared" si="4"/>
        <v>22.1693213436449</v>
      </c>
      <c r="J90">
        <v>62</v>
      </c>
      <c r="K90">
        <v>70.9131313471121</v>
      </c>
      <c r="L90">
        <v>7.95188965288788</v>
      </c>
      <c r="M90">
        <v>0.807779541706333</v>
      </c>
      <c r="N90">
        <v>23.9299610894941</v>
      </c>
      <c r="O90" s="6">
        <v>69.690422</v>
      </c>
      <c r="Q90" s="9"/>
      <c r="R90" s="10"/>
      <c r="Z90">
        <v>62</v>
      </c>
      <c r="AA90">
        <v>159.228089810994</v>
      </c>
      <c r="AB90">
        <v>12.8592971890052</v>
      </c>
      <c r="AC90">
        <v>0.715436339939923</v>
      </c>
      <c r="AE90">
        <v>23.9299610894941</v>
      </c>
      <c r="AF90">
        <v>144.125061</v>
      </c>
    </row>
    <row r="91" spans="2:32">
      <c r="B91" s="5">
        <v>89</v>
      </c>
      <c r="C91" s="6">
        <v>60.786911</v>
      </c>
      <c r="D91" s="6">
        <v>118.067001</v>
      </c>
      <c r="E91">
        <v>77.4946977308387</v>
      </c>
      <c r="F91">
        <v>158.930973678496</v>
      </c>
      <c r="G91" s="7">
        <f t="shared" si="3"/>
        <v>27.4858295247783</v>
      </c>
      <c r="H91" s="7">
        <f t="shared" si="4"/>
        <v>34.6108331137301</v>
      </c>
      <c r="J91">
        <v>63</v>
      </c>
      <c r="K91">
        <v>71.1568930650279</v>
      </c>
      <c r="L91">
        <v>8.08270093497208</v>
      </c>
      <c r="M91">
        <v>0.821067789167566</v>
      </c>
      <c r="N91">
        <v>24.3190661478599</v>
      </c>
      <c r="O91" s="6">
        <v>69.732323</v>
      </c>
      <c r="Q91" s="9"/>
      <c r="R91" s="10"/>
      <c r="Z91">
        <v>63</v>
      </c>
      <c r="AA91">
        <v>159.217085509791</v>
      </c>
      <c r="AB91">
        <v>14.5099044902088</v>
      </c>
      <c r="AC91">
        <v>0.807269076122499</v>
      </c>
      <c r="AE91">
        <v>24.3190661478599</v>
      </c>
      <c r="AF91">
        <v>144.125061</v>
      </c>
    </row>
    <row r="92" spans="2:32">
      <c r="B92" s="5">
        <v>90</v>
      </c>
      <c r="C92" s="6">
        <v>60.321156</v>
      </c>
      <c r="D92" s="6">
        <v>117.425385</v>
      </c>
      <c r="E92">
        <v>77.7384594487545</v>
      </c>
      <c r="F92">
        <v>158.919969377292</v>
      </c>
      <c r="G92" s="7">
        <f t="shared" si="3"/>
        <v>28.8742865749365</v>
      </c>
      <c r="H92" s="7">
        <f t="shared" si="4"/>
        <v>35.336979629483</v>
      </c>
      <c r="J92">
        <v>64</v>
      </c>
      <c r="K92">
        <v>71.4006547829437</v>
      </c>
      <c r="L92">
        <v>7.36086521705628</v>
      </c>
      <c r="M92">
        <v>0.747741303155084</v>
      </c>
      <c r="N92">
        <v>24.7081712062256</v>
      </c>
      <c r="O92" s="6">
        <v>69.781609</v>
      </c>
      <c r="Q92" s="9"/>
      <c r="R92" s="10"/>
      <c r="Z92">
        <v>64</v>
      </c>
      <c r="AA92">
        <v>159.206081208587</v>
      </c>
      <c r="AB92">
        <v>16.6808357914125</v>
      </c>
      <c r="AC92">
        <v>0.928050416001798</v>
      </c>
      <c r="AE92">
        <v>24.7081712062256</v>
      </c>
      <c r="AF92">
        <v>144.154892</v>
      </c>
    </row>
    <row r="93" spans="2:32">
      <c r="B93" s="5">
        <v>91</v>
      </c>
      <c r="C93" s="6">
        <v>56.491634</v>
      </c>
      <c r="D93" s="6">
        <v>111.048721</v>
      </c>
      <c r="E93">
        <v>77.9822211666703</v>
      </c>
      <c r="F93">
        <v>158.908965076088</v>
      </c>
      <c r="G93" s="7">
        <f t="shared" si="3"/>
        <v>38.0420703827939</v>
      </c>
      <c r="H93" s="7">
        <f t="shared" si="4"/>
        <v>43.0984199053387</v>
      </c>
      <c r="J93">
        <v>65</v>
      </c>
      <c r="K93">
        <v>71.6444165008595</v>
      </c>
      <c r="L93">
        <v>8.98751049914048</v>
      </c>
      <c r="M93">
        <v>0.912981370338806</v>
      </c>
      <c r="N93">
        <v>25.0972762645914</v>
      </c>
      <c r="O93" s="6">
        <v>69.820442</v>
      </c>
      <c r="Q93" s="9"/>
      <c r="R93" s="10"/>
      <c r="Z93">
        <v>65</v>
      </c>
      <c r="AA93">
        <v>159.195076907383</v>
      </c>
      <c r="AB93">
        <v>18.6848520926161</v>
      </c>
      <c r="AC93">
        <v>1.03954531861116</v>
      </c>
      <c r="AE93">
        <v>25.0972762645914</v>
      </c>
      <c r="AF93">
        <v>144.20462</v>
      </c>
    </row>
    <row r="94" spans="2:32">
      <c r="B94" s="5">
        <v>92</v>
      </c>
      <c r="C94" s="6">
        <v>55.291519</v>
      </c>
      <c r="D94" s="6">
        <v>102.520172</v>
      </c>
      <c r="E94">
        <v>78.2259828845861</v>
      </c>
      <c r="F94">
        <v>158.897960774885</v>
      </c>
      <c r="G94" s="7">
        <f t="shared" si="3"/>
        <v>41.4791713076034</v>
      </c>
      <c r="H94" s="7">
        <f t="shared" si="4"/>
        <v>54.99189835039</v>
      </c>
      <c r="J94">
        <v>66</v>
      </c>
      <c r="K94">
        <v>71.8881782187753</v>
      </c>
      <c r="L94">
        <v>8.16956078122467</v>
      </c>
      <c r="M94">
        <v>0.829891302805374</v>
      </c>
      <c r="N94">
        <v>25.4863813229571</v>
      </c>
      <c r="O94" s="6">
        <v>69.886818</v>
      </c>
      <c r="Q94" s="9"/>
      <c r="R94" s="10"/>
      <c r="Z94">
        <v>66</v>
      </c>
      <c r="AA94">
        <v>159.18407260618</v>
      </c>
      <c r="AB94">
        <v>17.6551763938198</v>
      </c>
      <c r="AC94">
        <v>0.982258563165326</v>
      </c>
      <c r="AE94">
        <v>25.4863813229571</v>
      </c>
      <c r="AF94">
        <v>144.274506</v>
      </c>
    </row>
    <row r="95" spans="2:32">
      <c r="B95" s="5">
        <v>93</v>
      </c>
      <c r="C95" s="6">
        <v>60.838661</v>
      </c>
      <c r="D95" s="6">
        <v>117.968285</v>
      </c>
      <c r="E95">
        <v>78.4697446025019</v>
      </c>
      <c r="F95">
        <v>158.886956473681</v>
      </c>
      <c r="G95" s="7">
        <f t="shared" si="3"/>
        <v>28.9800651636661</v>
      </c>
      <c r="H95" s="7">
        <f t="shared" si="4"/>
        <v>34.6861628730815</v>
      </c>
      <c r="J95">
        <v>67</v>
      </c>
      <c r="K95">
        <v>72.1319399366911</v>
      </c>
      <c r="L95">
        <v>7.94552106330888</v>
      </c>
      <c r="M95">
        <v>0.807132599080618</v>
      </c>
      <c r="N95">
        <v>25.8754863813229</v>
      </c>
      <c r="O95" s="6">
        <v>70.09211</v>
      </c>
      <c r="Q95" s="9"/>
      <c r="R95" s="10"/>
      <c r="Z95">
        <v>67</v>
      </c>
      <c r="AA95">
        <v>159.173068304976</v>
      </c>
      <c r="AB95">
        <v>18.3436246950234</v>
      </c>
      <c r="AC95">
        <v>1.02056088448286</v>
      </c>
      <c r="AE95">
        <v>25.8754863813229</v>
      </c>
      <c r="AF95">
        <v>144.552643</v>
      </c>
    </row>
    <row r="96" spans="2:32">
      <c r="B96" s="5">
        <v>94</v>
      </c>
      <c r="C96" s="6">
        <v>60.503517</v>
      </c>
      <c r="D96" s="6">
        <v>127.977478</v>
      </c>
      <c r="E96">
        <v>78.7135063204177</v>
      </c>
      <c r="F96">
        <v>158.875952172477</v>
      </c>
      <c r="G96" s="7">
        <f t="shared" si="3"/>
        <v>30.0974062721307</v>
      </c>
      <c r="H96" s="7">
        <f t="shared" si="4"/>
        <v>24.1436811033868</v>
      </c>
      <c r="J96">
        <v>68</v>
      </c>
      <c r="K96">
        <v>72.3757016546069</v>
      </c>
      <c r="L96">
        <v>6.23549634539307</v>
      </c>
      <c r="M96">
        <v>0.633422569987988</v>
      </c>
      <c r="N96">
        <v>26.2645914396887</v>
      </c>
      <c r="O96" s="6">
        <v>70.316368</v>
      </c>
      <c r="Q96" s="9"/>
      <c r="R96" s="10"/>
      <c r="Z96">
        <v>68</v>
      </c>
      <c r="AA96">
        <v>159.162064003772</v>
      </c>
      <c r="AB96">
        <v>16.9899289962271</v>
      </c>
      <c r="AC96">
        <v>0.945247040973023</v>
      </c>
      <c r="AE96">
        <v>26.2645914396887</v>
      </c>
      <c r="AF96">
        <v>144.771408</v>
      </c>
    </row>
    <row r="97" spans="2:32">
      <c r="B97" s="5">
        <v>95</v>
      </c>
      <c r="C97" s="6">
        <v>63.687393</v>
      </c>
      <c r="D97" s="6">
        <v>135.627487</v>
      </c>
      <c r="E97">
        <v>78.9572680383335</v>
      </c>
      <c r="F97">
        <v>158.864947871274</v>
      </c>
      <c r="G97" s="7">
        <f t="shared" si="3"/>
        <v>23.976291568935</v>
      </c>
      <c r="H97" s="7">
        <f t="shared" si="4"/>
        <v>17.1332975234393</v>
      </c>
      <c r="J97">
        <v>69</v>
      </c>
      <c r="K97">
        <v>72.6194633725227</v>
      </c>
      <c r="L97">
        <v>7.13023862747728</v>
      </c>
      <c r="M97">
        <v>0.724313482980572</v>
      </c>
      <c r="N97">
        <v>26.6536964980544</v>
      </c>
      <c r="O97" s="6">
        <v>70.64904</v>
      </c>
      <c r="Q97" s="9"/>
      <c r="R97" s="10"/>
      <c r="Z97">
        <v>69</v>
      </c>
      <c r="AA97">
        <v>159.151059702569</v>
      </c>
      <c r="AB97">
        <v>18.4147052974307</v>
      </c>
      <c r="AC97">
        <v>1.02451550542983</v>
      </c>
      <c r="AE97">
        <v>26.6536964980544</v>
      </c>
      <c r="AF97">
        <v>145.029953</v>
      </c>
    </row>
    <row r="98" spans="2:32">
      <c r="B98" s="5">
        <v>96</v>
      </c>
      <c r="C98" s="6">
        <v>61.050594</v>
      </c>
      <c r="D98" s="6">
        <v>129.576599</v>
      </c>
      <c r="E98">
        <v>79.2010297562493</v>
      </c>
      <c r="F98">
        <v>158.85394357007</v>
      </c>
      <c r="G98" s="7">
        <f t="shared" si="3"/>
        <v>29.7301542328143</v>
      </c>
      <c r="H98" s="7">
        <f t="shared" si="4"/>
        <v>22.5946234088688</v>
      </c>
      <c r="J98">
        <v>70</v>
      </c>
      <c r="K98">
        <v>72.8632250904385</v>
      </c>
      <c r="L98">
        <v>6.06833890956147</v>
      </c>
      <c r="M98">
        <v>0.616442158689169</v>
      </c>
      <c r="N98">
        <v>27.0428015564202</v>
      </c>
      <c r="O98" s="6">
        <v>70.737755</v>
      </c>
      <c r="Q98" s="9"/>
      <c r="R98" s="10"/>
      <c r="Z98">
        <v>70</v>
      </c>
      <c r="AA98">
        <v>159.140055401365</v>
      </c>
      <c r="AB98">
        <v>18.2686355986344</v>
      </c>
      <c r="AC98">
        <v>1.01638881163413</v>
      </c>
      <c r="AE98">
        <v>27.0428015564202</v>
      </c>
      <c r="AF98">
        <v>145.358093</v>
      </c>
    </row>
    <row r="99" spans="2:32">
      <c r="B99" s="5">
        <v>97</v>
      </c>
      <c r="C99" s="6">
        <v>62.79285</v>
      </c>
      <c r="D99" s="6">
        <v>130.050385</v>
      </c>
      <c r="E99">
        <v>79.4447914741651</v>
      </c>
      <c r="F99">
        <v>158.842939268866</v>
      </c>
      <c r="G99" s="7">
        <f t="shared" si="3"/>
        <v>26.5188496368059</v>
      </c>
      <c r="H99" s="7">
        <f t="shared" si="4"/>
        <v>22.139537894383</v>
      </c>
      <c r="J99">
        <v>71</v>
      </c>
      <c r="K99">
        <v>73.1069868083543</v>
      </c>
      <c r="L99">
        <v>4.03795619164567</v>
      </c>
      <c r="M99">
        <v>0.410189092693611</v>
      </c>
      <c r="N99">
        <v>27.4319066147859</v>
      </c>
      <c r="O99" s="6">
        <v>70.905334</v>
      </c>
      <c r="Q99" s="9"/>
      <c r="R99" s="10"/>
      <c r="Z99">
        <v>71</v>
      </c>
      <c r="AA99">
        <v>159.129051100161</v>
      </c>
      <c r="AB99">
        <v>17.474570899838</v>
      </c>
      <c r="AC99">
        <v>0.972210445318123</v>
      </c>
      <c r="AE99">
        <v>27.4319066147859</v>
      </c>
      <c r="AF99">
        <v>145.805573</v>
      </c>
    </row>
    <row r="100" spans="2:32">
      <c r="B100" s="5">
        <v>98</v>
      </c>
      <c r="C100" s="6">
        <v>62.664707</v>
      </c>
      <c r="D100" s="6">
        <v>132.064072</v>
      </c>
      <c r="E100">
        <v>79.6885531920809</v>
      </c>
      <c r="F100">
        <v>158.831934967663</v>
      </c>
      <c r="G100" s="7">
        <f t="shared" si="3"/>
        <v>27.1665615416999</v>
      </c>
      <c r="H100" s="7">
        <f t="shared" si="4"/>
        <v>20.2688456915542</v>
      </c>
      <c r="J100">
        <v>72</v>
      </c>
      <c r="K100">
        <v>73.3507485262701</v>
      </c>
      <c r="L100">
        <v>0.129773473729869</v>
      </c>
      <c r="M100">
        <v>0.0131828234182151</v>
      </c>
      <c r="N100">
        <v>27.8210116731517</v>
      </c>
      <c r="O100" s="6">
        <v>70.991577</v>
      </c>
      <c r="Q100" s="9"/>
      <c r="R100" s="10"/>
      <c r="Z100">
        <v>72</v>
      </c>
      <c r="AA100">
        <v>159.118046798958</v>
      </c>
      <c r="AB100">
        <v>12.9595442010417</v>
      </c>
      <c r="AC100">
        <v>0.721013655272728</v>
      </c>
      <c r="AE100">
        <v>27.8210116731517</v>
      </c>
      <c r="AF100">
        <v>146.392242</v>
      </c>
    </row>
    <row r="101" spans="2:32">
      <c r="B101" s="5">
        <v>99</v>
      </c>
      <c r="C101" s="6">
        <v>59.367474</v>
      </c>
      <c r="D101" s="6">
        <v>128.036713</v>
      </c>
      <c r="E101">
        <v>79.9323149099967</v>
      </c>
      <c r="F101">
        <v>158.820930666459</v>
      </c>
      <c r="G101" s="7">
        <f t="shared" si="3"/>
        <v>34.6399122691269</v>
      </c>
      <c r="H101" s="7">
        <f t="shared" si="4"/>
        <v>24.0432739525725</v>
      </c>
      <c r="J101">
        <v>73</v>
      </c>
      <c r="K101">
        <v>73.5945102441859</v>
      </c>
      <c r="L101">
        <v>-2.60293324418591</v>
      </c>
      <c r="M101">
        <v>-0.264414663037619</v>
      </c>
      <c r="N101">
        <v>28.2101167315175</v>
      </c>
      <c r="O101" s="6">
        <v>71.225685</v>
      </c>
      <c r="Q101" s="9"/>
      <c r="R101" s="10"/>
      <c r="Z101">
        <v>73</v>
      </c>
      <c r="AA101">
        <v>159.107042497754</v>
      </c>
      <c r="AB101">
        <v>5.63660950224539</v>
      </c>
      <c r="AC101">
        <v>0.31359686401874</v>
      </c>
      <c r="AE101">
        <v>28.2101167315175</v>
      </c>
      <c r="AF101">
        <v>146.501633</v>
      </c>
    </row>
    <row r="102" spans="2:32">
      <c r="B102" s="5">
        <v>100</v>
      </c>
      <c r="C102" s="6">
        <v>60.35812</v>
      </c>
      <c r="D102" s="6">
        <v>131.09671</v>
      </c>
      <c r="E102">
        <v>80.1760766279125</v>
      </c>
      <c r="F102">
        <v>158.809926365256</v>
      </c>
      <c r="G102" s="7">
        <f t="shared" si="3"/>
        <v>32.8339527936133</v>
      </c>
      <c r="H102" s="7">
        <f t="shared" si="4"/>
        <v>21.139520866127</v>
      </c>
      <c r="J102">
        <v>74</v>
      </c>
      <c r="K102">
        <v>73.8382719621017</v>
      </c>
      <c r="L102">
        <v>-1.72050496210172</v>
      </c>
      <c r="M102">
        <v>-0.174774647342506</v>
      </c>
      <c r="N102">
        <v>28.5992217898832</v>
      </c>
      <c r="O102" s="6">
        <v>71.235542</v>
      </c>
      <c r="Q102" s="9"/>
      <c r="R102" s="10"/>
      <c r="Z102">
        <v>74</v>
      </c>
      <c r="AA102">
        <v>159.09603819655</v>
      </c>
      <c r="AB102">
        <v>5.03887980344902</v>
      </c>
      <c r="AC102">
        <v>0.280341738042967</v>
      </c>
      <c r="AE102">
        <v>28.5992217898832</v>
      </c>
      <c r="AF102">
        <v>146.730331</v>
      </c>
    </row>
    <row r="103" spans="2:32">
      <c r="B103" s="5">
        <v>101</v>
      </c>
      <c r="C103" s="6">
        <v>59.490692</v>
      </c>
      <c r="D103" s="6">
        <v>125.805862</v>
      </c>
      <c r="E103">
        <v>80.4198383458283</v>
      </c>
      <c r="F103">
        <v>158.798922064052</v>
      </c>
      <c r="G103" s="7">
        <f t="shared" si="3"/>
        <v>35.1805394124988</v>
      </c>
      <c r="H103" s="7">
        <f t="shared" si="4"/>
        <v>26.2253757810204</v>
      </c>
      <c r="J103">
        <v>75</v>
      </c>
      <c r="K103">
        <v>74.0820336800175</v>
      </c>
      <c r="L103">
        <v>-6.67847668001752</v>
      </c>
      <c r="M103">
        <v>-0.678421993685713</v>
      </c>
      <c r="N103">
        <v>28.988326848249</v>
      </c>
      <c r="O103" s="6">
        <v>71.246353</v>
      </c>
      <c r="Q103" s="9"/>
      <c r="R103" s="10"/>
      <c r="Z103">
        <v>75</v>
      </c>
      <c r="AA103">
        <v>159.085033895347</v>
      </c>
      <c r="AB103">
        <v>-1.59327389534732</v>
      </c>
      <c r="AC103">
        <v>-0.0886429505015035</v>
      </c>
      <c r="AE103">
        <v>28.988326848249</v>
      </c>
      <c r="AF103">
        <v>147.267303</v>
      </c>
    </row>
    <row r="104" spans="2:32">
      <c r="B104" s="5">
        <v>102</v>
      </c>
      <c r="C104" s="6">
        <v>64.680504</v>
      </c>
      <c r="D104" s="6">
        <v>132.271362</v>
      </c>
      <c r="E104">
        <v>80.6636000637441</v>
      </c>
      <c r="F104">
        <v>158.787917762848</v>
      </c>
      <c r="G104" s="7">
        <f t="shared" si="3"/>
        <v>24.7108403232976</v>
      </c>
      <c r="H104" s="7">
        <f t="shared" si="4"/>
        <v>20.0470875644631</v>
      </c>
      <c r="J104">
        <v>76</v>
      </c>
      <c r="K104">
        <v>74.3257953979333</v>
      </c>
      <c r="L104">
        <v>-6.96166739793332</v>
      </c>
      <c r="M104">
        <v>-0.707189453788788</v>
      </c>
      <c r="N104">
        <v>29.3774319066147</v>
      </c>
      <c r="O104" s="6">
        <v>71.273392</v>
      </c>
      <c r="Q104" s="9"/>
      <c r="R104" s="10"/>
      <c r="Z104">
        <v>76</v>
      </c>
      <c r="AA104">
        <v>159.074029594143</v>
      </c>
      <c r="AB104">
        <v>1.00392740585633</v>
      </c>
      <c r="AC104">
        <v>0.0558542304648919</v>
      </c>
      <c r="AE104">
        <v>29.3774319066147</v>
      </c>
      <c r="AF104">
        <v>147.396561</v>
      </c>
    </row>
    <row r="105" spans="2:32">
      <c r="B105" s="5">
        <v>103</v>
      </c>
      <c r="C105" s="6">
        <v>63.931355</v>
      </c>
      <c r="D105" s="6">
        <v>133.495361</v>
      </c>
      <c r="E105">
        <v>80.9073617816599</v>
      </c>
      <c r="F105">
        <v>158.776913461645</v>
      </c>
      <c r="G105" s="7">
        <f t="shared" si="3"/>
        <v>26.5534912902439</v>
      </c>
      <c r="H105" s="7">
        <f t="shared" si="4"/>
        <v>18.9381505636327</v>
      </c>
      <c r="J105">
        <v>77</v>
      </c>
      <c r="K105">
        <v>74.5695571158491</v>
      </c>
      <c r="L105">
        <v>-0.933784115849135</v>
      </c>
      <c r="M105">
        <v>-0.094856913020584</v>
      </c>
      <c r="N105">
        <v>29.7665369649805</v>
      </c>
      <c r="O105" s="6">
        <v>71.297157</v>
      </c>
      <c r="Q105" s="9"/>
      <c r="R105" s="10"/>
      <c r="Z105">
        <v>77</v>
      </c>
      <c r="AA105">
        <v>159.06302529294</v>
      </c>
      <c r="AB105">
        <v>3.05825170705998</v>
      </c>
      <c r="AC105">
        <v>0.170148055197352</v>
      </c>
      <c r="AE105">
        <v>29.7665369649805</v>
      </c>
      <c r="AF105">
        <v>147.482574</v>
      </c>
    </row>
    <row r="106" spans="2:32">
      <c r="B106" s="5">
        <v>104</v>
      </c>
      <c r="C106" s="6">
        <v>65.567657</v>
      </c>
      <c r="D106" s="6">
        <v>137.453644</v>
      </c>
      <c r="E106">
        <v>81.1511234995757</v>
      </c>
      <c r="F106">
        <v>158.765909160441</v>
      </c>
      <c r="G106" s="7">
        <f t="shared" si="3"/>
        <v>23.7670022272959</v>
      </c>
      <c r="H106" s="7">
        <f t="shared" si="4"/>
        <v>15.5050564977681</v>
      </c>
      <c r="J106">
        <v>78</v>
      </c>
      <c r="K106">
        <v>74.8133188337649</v>
      </c>
      <c r="L106">
        <v>-3.51616183376492</v>
      </c>
      <c r="M106">
        <v>-0.357183476962916</v>
      </c>
      <c r="N106">
        <v>30.1556420233463</v>
      </c>
      <c r="O106" s="6">
        <v>71.669212</v>
      </c>
      <c r="Q106" s="9"/>
      <c r="R106" s="10"/>
      <c r="Z106">
        <v>78</v>
      </c>
      <c r="AA106">
        <v>159.052020991736</v>
      </c>
      <c r="AB106">
        <v>0.749554008263658</v>
      </c>
      <c r="AC106">
        <v>0.0417019817162289</v>
      </c>
      <c r="AE106">
        <v>30.1556420233463</v>
      </c>
      <c r="AF106">
        <v>147.505951</v>
      </c>
    </row>
    <row r="107" spans="2:32">
      <c r="B107" s="5">
        <v>105</v>
      </c>
      <c r="C107" s="6">
        <v>66.040802</v>
      </c>
      <c r="D107" s="6">
        <v>141.579712</v>
      </c>
      <c r="E107">
        <v>81.3948852174915</v>
      </c>
      <c r="F107">
        <v>158.754904859237</v>
      </c>
      <c r="G107" s="7">
        <f t="shared" si="3"/>
        <v>23.2493893964091</v>
      </c>
      <c r="H107" s="7">
        <f t="shared" si="4"/>
        <v>12.1311115954502</v>
      </c>
      <c r="J107">
        <v>79</v>
      </c>
      <c r="K107">
        <v>75.0570805516807</v>
      </c>
      <c r="L107">
        <v>-0.452840551680722</v>
      </c>
      <c r="M107">
        <v>-0.0460010575184291</v>
      </c>
      <c r="N107">
        <v>30.544747081712</v>
      </c>
      <c r="O107" s="6">
        <v>72.117767</v>
      </c>
      <c r="Q107" s="9"/>
      <c r="R107" s="10"/>
      <c r="Z107">
        <v>79</v>
      </c>
      <c r="AA107">
        <v>159.041016690532</v>
      </c>
      <c r="AB107">
        <v>9.94059630946731</v>
      </c>
      <c r="AC107">
        <v>0.553052296399704</v>
      </c>
      <c r="AE107">
        <v>30.544747081712</v>
      </c>
      <c r="AF107">
        <v>147.5159</v>
      </c>
    </row>
    <row r="108" spans="2:32">
      <c r="B108" s="5">
        <v>106</v>
      </c>
      <c r="C108" s="6">
        <v>67.337029</v>
      </c>
      <c r="D108" s="6">
        <v>136.160538</v>
      </c>
      <c r="E108">
        <v>81.6386469354073</v>
      </c>
      <c r="F108">
        <v>158.743900558034</v>
      </c>
      <c r="G108" s="7">
        <f t="shared" si="3"/>
        <v>21.2388609176792</v>
      </c>
      <c r="H108" s="7">
        <f t="shared" si="4"/>
        <v>16.5858352866041</v>
      </c>
      <c r="J108">
        <v>80</v>
      </c>
      <c r="K108">
        <v>75.3008422695965</v>
      </c>
      <c r="L108">
        <v>-3.11653926959652</v>
      </c>
      <c r="M108">
        <v>-0.316588480574577</v>
      </c>
      <c r="N108">
        <v>30.9338521400778</v>
      </c>
      <c r="O108" s="6">
        <v>72.184303</v>
      </c>
      <c r="Q108" s="9"/>
      <c r="R108" s="10"/>
      <c r="Z108">
        <v>80</v>
      </c>
      <c r="AA108">
        <v>159.030012389329</v>
      </c>
      <c r="AB108">
        <v>3.76246761067096</v>
      </c>
      <c r="AC108">
        <v>0.209327618528208</v>
      </c>
      <c r="AE108">
        <v>30.9338521400778</v>
      </c>
      <c r="AF108">
        <v>147.694885</v>
      </c>
    </row>
    <row r="109" spans="2:32">
      <c r="B109" s="5">
        <v>107</v>
      </c>
      <c r="C109" s="6">
        <v>70.737755</v>
      </c>
      <c r="D109" s="6">
        <v>138.776337</v>
      </c>
      <c r="E109">
        <v>81.8824086533231</v>
      </c>
      <c r="F109">
        <v>158.73289625683</v>
      </c>
      <c r="G109" s="7">
        <f t="shared" si="3"/>
        <v>15.7548874053511</v>
      </c>
      <c r="H109" s="7">
        <f t="shared" si="4"/>
        <v>14.3803761421012</v>
      </c>
      <c r="J109">
        <v>81</v>
      </c>
      <c r="K109">
        <v>75.5446039875123</v>
      </c>
      <c r="L109">
        <v>-4.31891898751233</v>
      </c>
      <c r="M109">
        <v>-0.438730233024862</v>
      </c>
      <c r="N109">
        <v>31.3229571984435</v>
      </c>
      <c r="O109" s="6">
        <v>72.192863</v>
      </c>
      <c r="Q109" s="9"/>
      <c r="R109" s="10"/>
      <c r="Z109">
        <v>81</v>
      </c>
      <c r="AA109">
        <v>159.019008088125</v>
      </c>
      <c r="AB109">
        <v>2.89496291187458</v>
      </c>
      <c r="AC109">
        <v>0.161063364466312</v>
      </c>
      <c r="AE109">
        <v>31.3229571984435</v>
      </c>
      <c r="AF109">
        <v>147.754532</v>
      </c>
    </row>
    <row r="110" spans="2:32">
      <c r="B110" s="5">
        <v>108</v>
      </c>
      <c r="C110" s="6">
        <v>70.09211</v>
      </c>
      <c r="D110" s="6">
        <v>133.100525</v>
      </c>
      <c r="E110">
        <v>82.1261703712389</v>
      </c>
      <c r="F110">
        <v>158.721891955626</v>
      </c>
      <c r="G110" s="7">
        <f t="shared" si="3"/>
        <v>17.1689229661354</v>
      </c>
      <c r="H110" s="7">
        <f t="shared" si="4"/>
        <v>19.249636284775</v>
      </c>
      <c r="J110">
        <v>82</v>
      </c>
      <c r="K110">
        <v>75.7883657054281</v>
      </c>
      <c r="L110">
        <v>-10.1960577054281</v>
      </c>
      <c r="M110">
        <v>-1.03574963688171</v>
      </c>
      <c r="N110">
        <v>31.7120622568093</v>
      </c>
      <c r="O110" s="6">
        <v>72.243446</v>
      </c>
      <c r="Q110" s="9"/>
      <c r="R110" s="10"/>
      <c r="Z110">
        <v>82</v>
      </c>
      <c r="AA110">
        <v>159.008003786921</v>
      </c>
      <c r="AB110">
        <v>-8.11994178692177</v>
      </c>
      <c r="AC110">
        <v>-0.451758859537638</v>
      </c>
      <c r="AE110">
        <v>31.7120622568093</v>
      </c>
      <c r="AF110">
        <v>148.271622</v>
      </c>
    </row>
    <row r="111" spans="2:32">
      <c r="B111" s="5">
        <v>109</v>
      </c>
      <c r="C111" s="6">
        <v>70.64904</v>
      </c>
      <c r="D111" s="6">
        <v>130.62291</v>
      </c>
      <c r="E111">
        <v>82.3699320891547</v>
      </c>
      <c r="F111">
        <v>158.710887654423</v>
      </c>
      <c r="G111" s="7">
        <f t="shared" si="3"/>
        <v>16.5903062365104</v>
      </c>
      <c r="H111" s="7">
        <f t="shared" si="4"/>
        <v>21.5031020625884</v>
      </c>
      <c r="J111">
        <v>83</v>
      </c>
      <c r="K111">
        <v>76.0321274233439</v>
      </c>
      <c r="L111">
        <v>-5.71575942334392</v>
      </c>
      <c r="M111">
        <v>-0.580625955469041</v>
      </c>
      <c r="N111">
        <v>32.1011673151751</v>
      </c>
      <c r="O111" s="6">
        <v>72.401154</v>
      </c>
      <c r="Q111" s="9"/>
      <c r="R111" s="10"/>
      <c r="Z111">
        <v>83</v>
      </c>
      <c r="AA111">
        <v>158.996999485718</v>
      </c>
      <c r="AB111">
        <v>0.607156514281882</v>
      </c>
      <c r="AC111">
        <v>0.0337795937028278</v>
      </c>
      <c r="AE111">
        <v>32.1011673151751</v>
      </c>
      <c r="AF111">
        <v>148.321335</v>
      </c>
    </row>
    <row r="112" spans="2:32">
      <c r="B112" s="5">
        <v>110</v>
      </c>
      <c r="C112" s="6">
        <v>69.690422</v>
      </c>
      <c r="D112" s="6">
        <v>136.535645</v>
      </c>
      <c r="E112">
        <v>82.6136938070705</v>
      </c>
      <c r="F112">
        <v>158.699883353219</v>
      </c>
      <c r="G112" s="7">
        <f t="shared" si="3"/>
        <v>18.5438277401599</v>
      </c>
      <c r="H112" s="7">
        <f t="shared" si="4"/>
        <v>16.2332981641673</v>
      </c>
      <c r="J112">
        <v>84</v>
      </c>
      <c r="K112">
        <v>76.2758891412597</v>
      </c>
      <c r="L112">
        <v>-8.40164414125973</v>
      </c>
      <c r="M112">
        <v>-0.853467106594188</v>
      </c>
      <c r="N112">
        <v>32.4902723735408</v>
      </c>
      <c r="O112" s="6">
        <v>73.122154</v>
      </c>
      <c r="Q112" s="9"/>
      <c r="R112" s="10"/>
      <c r="Z112">
        <v>84</v>
      </c>
      <c r="AA112">
        <v>158.985995184514</v>
      </c>
      <c r="AB112">
        <v>-7.57477118451444</v>
      </c>
      <c r="AC112">
        <v>-0.421427897067727</v>
      </c>
      <c r="AE112">
        <v>32.4902723735408</v>
      </c>
      <c r="AF112">
        <v>148.530151</v>
      </c>
    </row>
    <row r="113" spans="2:32">
      <c r="B113" s="5">
        <v>111</v>
      </c>
      <c r="C113" s="6">
        <v>68.243881</v>
      </c>
      <c r="D113" s="6">
        <v>133.949432</v>
      </c>
      <c r="E113">
        <v>82.8574555249863</v>
      </c>
      <c r="F113">
        <v>158.688879052015</v>
      </c>
      <c r="G113" s="7">
        <f t="shared" si="3"/>
        <v>21.4137506701682</v>
      </c>
      <c r="H113" s="7">
        <f t="shared" si="4"/>
        <v>18.4692437158039</v>
      </c>
      <c r="J113">
        <v>85</v>
      </c>
      <c r="K113">
        <v>76.5196508591755</v>
      </c>
      <c r="L113">
        <v>-15.3483098591755</v>
      </c>
      <c r="M113">
        <v>-1.55913263956184</v>
      </c>
      <c r="N113">
        <v>32.8793774319066</v>
      </c>
      <c r="O113" s="6">
        <v>73.327736</v>
      </c>
      <c r="Q113" s="9"/>
      <c r="R113" s="10"/>
      <c r="Z113">
        <v>85</v>
      </c>
      <c r="AA113">
        <v>158.97499088331</v>
      </c>
      <c r="AB113">
        <v>-25.8645938833107</v>
      </c>
      <c r="AC113">
        <v>-1.43899546840941</v>
      </c>
      <c r="AE113">
        <v>32.8793774319066</v>
      </c>
      <c r="AF113">
        <v>148.589813</v>
      </c>
    </row>
    <row r="114" spans="2:32">
      <c r="B114" s="5">
        <v>112</v>
      </c>
      <c r="C114" s="6">
        <v>66.134438</v>
      </c>
      <c r="D114" s="6">
        <v>130.297165</v>
      </c>
      <c r="E114">
        <v>83.1012172429021</v>
      </c>
      <c r="F114">
        <v>158.677874750812</v>
      </c>
      <c r="G114" s="7">
        <f t="shared" si="3"/>
        <v>25.6549836303169</v>
      </c>
      <c r="H114" s="7">
        <f t="shared" si="4"/>
        <v>21.7815251397158</v>
      </c>
      <c r="J114">
        <v>86</v>
      </c>
      <c r="K114">
        <v>76.7634125770913</v>
      </c>
      <c r="L114">
        <v>-8.26323757709133</v>
      </c>
      <c r="M114">
        <v>-0.839407304980556</v>
      </c>
      <c r="N114">
        <v>33.2684824902723</v>
      </c>
      <c r="O114" s="6">
        <v>73.358185</v>
      </c>
      <c r="Q114" s="9"/>
      <c r="R114" s="10"/>
      <c r="Z114">
        <v>86</v>
      </c>
      <c r="AA114">
        <v>158.963986582107</v>
      </c>
      <c r="AB114">
        <v>-11.4814125821071</v>
      </c>
      <c r="AC114">
        <v>-0.638776728957328</v>
      </c>
      <c r="AE114">
        <v>33.2684824902723</v>
      </c>
      <c r="AF114">
        <v>149.912338</v>
      </c>
    </row>
    <row r="115" spans="2:32">
      <c r="B115" s="5">
        <v>113</v>
      </c>
      <c r="C115" s="6">
        <v>68.039352</v>
      </c>
      <c r="D115" s="6">
        <v>131.313873</v>
      </c>
      <c r="E115">
        <v>83.3449789608179</v>
      </c>
      <c r="F115">
        <v>158.666870449608</v>
      </c>
      <c r="G115" s="7">
        <f t="shared" si="3"/>
        <v>22.4952568049412</v>
      </c>
      <c r="H115" s="7">
        <f t="shared" si="4"/>
        <v>20.8302419422265</v>
      </c>
      <c r="J115">
        <v>87</v>
      </c>
      <c r="K115">
        <v>77.0071742950071</v>
      </c>
      <c r="L115">
        <v>-17.3193422950071</v>
      </c>
      <c r="M115">
        <v>-1.75935670543858</v>
      </c>
      <c r="N115">
        <v>33.6575875486381</v>
      </c>
      <c r="O115" s="6">
        <v>73.480522</v>
      </c>
      <c r="Q115" s="9"/>
      <c r="R115" s="10"/>
      <c r="Z115">
        <v>87</v>
      </c>
      <c r="AA115">
        <v>158.952982280903</v>
      </c>
      <c r="AB115">
        <v>-25.4280032809035</v>
      </c>
      <c r="AC115">
        <v>-1.41470543311063</v>
      </c>
      <c r="AE115">
        <v>33.6575875486381</v>
      </c>
      <c r="AF115">
        <v>149.972015</v>
      </c>
    </row>
    <row r="116" spans="2:32">
      <c r="B116" s="5">
        <v>114</v>
      </c>
      <c r="C116" s="6">
        <v>67.775673</v>
      </c>
      <c r="D116" s="6">
        <v>132.942581</v>
      </c>
      <c r="E116">
        <v>83.5887406787337</v>
      </c>
      <c r="F116">
        <v>158.655866148404</v>
      </c>
      <c r="G116" s="7">
        <f t="shared" si="3"/>
        <v>23.3314801296532</v>
      </c>
      <c r="H116" s="7">
        <f t="shared" si="4"/>
        <v>19.3416473149442</v>
      </c>
      <c r="J116">
        <v>88</v>
      </c>
      <c r="K116">
        <v>77.2509360129229</v>
      </c>
      <c r="L116">
        <v>-14.9386270129229</v>
      </c>
      <c r="M116">
        <v>-1.51751568607825</v>
      </c>
      <c r="N116">
        <v>34.0466926070038</v>
      </c>
      <c r="O116" s="6">
        <v>73.635773</v>
      </c>
      <c r="Q116" s="9"/>
      <c r="R116" s="10"/>
      <c r="Z116">
        <v>88</v>
      </c>
      <c r="AA116">
        <v>158.941977979699</v>
      </c>
      <c r="AB116">
        <v>-28.8422309796998</v>
      </c>
      <c r="AC116">
        <v>-1.60465847118466</v>
      </c>
      <c r="AE116">
        <v>34.0466926070038</v>
      </c>
      <c r="AF116">
        <v>150.888062</v>
      </c>
    </row>
    <row r="117" spans="2:32">
      <c r="B117" s="5">
        <v>115</v>
      </c>
      <c r="C117" s="6">
        <v>69.732323</v>
      </c>
      <c r="D117" s="6">
        <v>133.771759</v>
      </c>
      <c r="E117">
        <v>83.8325023966495</v>
      </c>
      <c r="F117">
        <v>158.644861847201</v>
      </c>
      <c r="G117" s="7">
        <f t="shared" si="3"/>
        <v>20.2204355025567</v>
      </c>
      <c r="H117" s="7">
        <f t="shared" si="4"/>
        <v>18.5936875115778</v>
      </c>
      <c r="J117">
        <v>89</v>
      </c>
      <c r="K117">
        <v>77.4946977308387</v>
      </c>
      <c r="L117">
        <v>-16.7077867308387</v>
      </c>
      <c r="M117">
        <v>-1.69723284621569</v>
      </c>
      <c r="N117">
        <v>34.4357976653696</v>
      </c>
      <c r="O117" s="6">
        <v>73.704819</v>
      </c>
      <c r="Q117" s="9"/>
      <c r="R117" s="10"/>
      <c r="Z117">
        <v>89</v>
      </c>
      <c r="AA117">
        <v>158.930973678496</v>
      </c>
      <c r="AB117">
        <v>-40.8639726784962</v>
      </c>
      <c r="AC117">
        <v>-2.27349680303717</v>
      </c>
      <c r="AE117">
        <v>34.4357976653696</v>
      </c>
      <c r="AF117">
        <v>151.07576</v>
      </c>
    </row>
    <row r="118" spans="2:32">
      <c r="B118" s="5">
        <v>116</v>
      </c>
      <c r="C118" s="6">
        <v>69.781609</v>
      </c>
      <c r="D118" s="6">
        <v>138.075516</v>
      </c>
      <c r="E118">
        <v>84.0762641145653</v>
      </c>
      <c r="F118">
        <v>158.633857545997</v>
      </c>
      <c r="G118" s="7">
        <f t="shared" si="3"/>
        <v>20.4848459635909</v>
      </c>
      <c r="H118" s="7">
        <f t="shared" si="4"/>
        <v>14.8892013164716</v>
      </c>
      <c r="J118">
        <v>90</v>
      </c>
      <c r="K118">
        <v>77.7384594487545</v>
      </c>
      <c r="L118">
        <v>-17.4173034487545</v>
      </c>
      <c r="M118">
        <v>-1.76930792701399</v>
      </c>
      <c r="N118">
        <v>34.8249027237354</v>
      </c>
      <c r="O118" s="6">
        <v>73.840042</v>
      </c>
      <c r="Q118" s="9"/>
      <c r="R118" s="10"/>
      <c r="Z118">
        <v>90</v>
      </c>
      <c r="AA118">
        <v>158.919969377292</v>
      </c>
      <c r="AB118">
        <v>-41.4945843772925</v>
      </c>
      <c r="AC118">
        <v>-2.30858134296801</v>
      </c>
      <c r="AE118">
        <v>34.8249027237354</v>
      </c>
      <c r="AF118">
        <v>151.155304</v>
      </c>
    </row>
    <row r="119" spans="2:32">
      <c r="B119" s="5">
        <v>117</v>
      </c>
      <c r="C119" s="6">
        <v>68.65049</v>
      </c>
      <c r="D119" s="6">
        <v>140.91835</v>
      </c>
      <c r="E119">
        <v>84.3200258324811</v>
      </c>
      <c r="F119">
        <v>158.622853244793</v>
      </c>
      <c r="G119" s="7">
        <f t="shared" si="3"/>
        <v>22.8250895696172</v>
      </c>
      <c r="H119" s="7">
        <f t="shared" si="4"/>
        <v>12.5636606196375</v>
      </c>
      <c r="J119">
        <v>91</v>
      </c>
      <c r="K119">
        <v>77.9822211666703</v>
      </c>
      <c r="L119">
        <v>-21.4905871666703</v>
      </c>
      <c r="M119">
        <v>-2.1830857079598</v>
      </c>
      <c r="N119">
        <v>35.2140077821011</v>
      </c>
      <c r="O119" s="6">
        <v>74.084282</v>
      </c>
      <c r="Q119" s="9"/>
      <c r="R119" s="10"/>
      <c r="Z119">
        <v>91</v>
      </c>
      <c r="AA119">
        <v>158.908965076088</v>
      </c>
      <c r="AB119">
        <v>-47.8602440760888</v>
      </c>
      <c r="AC119">
        <v>-2.66273944424464</v>
      </c>
      <c r="AE119">
        <v>35.2140077821011</v>
      </c>
      <c r="AF119">
        <v>151.411224</v>
      </c>
    </row>
    <row r="120" spans="2:32">
      <c r="B120" s="5">
        <v>118</v>
      </c>
      <c r="C120" s="6">
        <v>70.905334</v>
      </c>
      <c r="D120" s="6">
        <v>144.274506</v>
      </c>
      <c r="E120">
        <v>84.5637875503969</v>
      </c>
      <c r="F120">
        <v>158.61184894359</v>
      </c>
      <c r="G120" s="7">
        <f t="shared" si="3"/>
        <v>19.2629422638315</v>
      </c>
      <c r="H120" s="7">
        <f t="shared" si="4"/>
        <v>9.93754429738958</v>
      </c>
      <c r="J120">
        <v>92</v>
      </c>
      <c r="K120">
        <v>78.2259828845861</v>
      </c>
      <c r="L120">
        <v>-22.9344638845861</v>
      </c>
      <c r="M120">
        <v>-2.32975953322533</v>
      </c>
      <c r="N120">
        <v>35.6031128404669</v>
      </c>
      <c r="O120" s="6">
        <v>74.538239</v>
      </c>
      <c r="Q120" s="9"/>
      <c r="R120" s="10"/>
      <c r="Z120">
        <v>92</v>
      </c>
      <c r="AA120">
        <v>158.897960774885</v>
      </c>
      <c r="AB120">
        <v>-56.3777887748852</v>
      </c>
      <c r="AC120">
        <v>-3.1366192305981</v>
      </c>
      <c r="AE120">
        <v>35.6031128404669</v>
      </c>
      <c r="AF120">
        <v>151.722107</v>
      </c>
    </row>
    <row r="121" spans="2:32">
      <c r="B121" s="5">
        <v>119</v>
      </c>
      <c r="C121" s="6">
        <v>72.401154</v>
      </c>
      <c r="D121" s="6">
        <v>140.069443</v>
      </c>
      <c r="E121">
        <v>84.8075492683127</v>
      </c>
      <c r="F121">
        <v>158.600844642386</v>
      </c>
      <c r="G121" s="7">
        <f t="shared" si="3"/>
        <v>17.1356319380112</v>
      </c>
      <c r="H121" s="7">
        <f t="shared" si="4"/>
        <v>13.2301530194462</v>
      </c>
      <c r="J121">
        <v>93</v>
      </c>
      <c r="K121">
        <v>78.4697446025019</v>
      </c>
      <c r="L121">
        <v>-17.6310836025019</v>
      </c>
      <c r="M121">
        <v>-1.79102442990299</v>
      </c>
      <c r="N121">
        <v>35.9922178988326</v>
      </c>
      <c r="O121" s="6">
        <v>74.60424</v>
      </c>
      <c r="Q121" s="9"/>
      <c r="R121" s="10"/>
      <c r="Z121">
        <v>93</v>
      </c>
      <c r="AA121">
        <v>158.886956473681</v>
      </c>
      <c r="AB121">
        <v>-40.9186714736816</v>
      </c>
      <c r="AC121">
        <v>-2.27654001023982</v>
      </c>
      <c r="AE121">
        <v>35.9922178988326</v>
      </c>
      <c r="AF121">
        <v>152.219299</v>
      </c>
    </row>
    <row r="122" spans="2:32">
      <c r="B122" s="5">
        <v>120</v>
      </c>
      <c r="C122" s="6">
        <v>71.235542</v>
      </c>
      <c r="D122" s="6">
        <v>135.479431</v>
      </c>
      <c r="E122">
        <v>85.0513109862285</v>
      </c>
      <c r="F122">
        <v>158.589840341183</v>
      </c>
      <c r="G122" s="7">
        <f t="shared" si="3"/>
        <v>19.3944884791197</v>
      </c>
      <c r="H122" s="7">
        <f t="shared" si="4"/>
        <v>17.05824210406</v>
      </c>
      <c r="J122">
        <v>94</v>
      </c>
      <c r="K122">
        <v>78.7135063204177</v>
      </c>
      <c r="L122">
        <v>-18.2099893204177</v>
      </c>
      <c r="M122">
        <v>-1.8498316085639</v>
      </c>
      <c r="N122">
        <v>36.3813229571984</v>
      </c>
      <c r="O122" s="6">
        <v>74.85067</v>
      </c>
      <c r="Q122" s="9"/>
      <c r="R122" s="10"/>
      <c r="Z122">
        <v>94</v>
      </c>
      <c r="AA122">
        <v>158.875952172477</v>
      </c>
      <c r="AB122">
        <v>-30.8984741724779</v>
      </c>
      <c r="AC122">
        <v>-1.71905905484372</v>
      </c>
      <c r="AE122">
        <v>36.3813229571984</v>
      </c>
      <c r="AF122">
        <v>152.487793</v>
      </c>
    </row>
    <row r="123" spans="2:32">
      <c r="B123" s="5">
        <v>121</v>
      </c>
      <c r="C123" s="6">
        <v>72.243446</v>
      </c>
      <c r="D123" s="6">
        <v>133.455887</v>
      </c>
      <c r="E123">
        <v>85.2950727041443</v>
      </c>
      <c r="F123">
        <v>158.578836039979</v>
      </c>
      <c r="G123" s="7">
        <f t="shared" si="3"/>
        <v>18.0661740639342</v>
      </c>
      <c r="H123" s="7">
        <f t="shared" si="4"/>
        <v>18.8249088179819</v>
      </c>
      <c r="J123">
        <v>95</v>
      </c>
      <c r="K123">
        <v>78.9572680383335</v>
      </c>
      <c r="L123">
        <v>-15.2698750383335</v>
      </c>
      <c r="M123">
        <v>-1.55116496817815</v>
      </c>
      <c r="N123">
        <v>36.7704280155642</v>
      </c>
      <c r="O123" s="6">
        <v>75.883018</v>
      </c>
      <c r="Q123" s="9"/>
      <c r="R123" s="10"/>
      <c r="Z123">
        <v>95</v>
      </c>
      <c r="AA123">
        <v>158.864947871274</v>
      </c>
      <c r="AB123">
        <v>-23.2374608712742</v>
      </c>
      <c r="AC123">
        <v>-1.29283301496881</v>
      </c>
      <c r="AE123">
        <v>36.7704280155642</v>
      </c>
      <c r="AF123">
        <v>152.527557</v>
      </c>
    </row>
    <row r="124" spans="2:32">
      <c r="B124" s="5">
        <v>122</v>
      </c>
      <c r="C124" s="6">
        <v>73.327736</v>
      </c>
      <c r="D124" s="6">
        <v>133.130142</v>
      </c>
      <c r="E124">
        <v>85.5388344220601</v>
      </c>
      <c r="F124">
        <v>158.567831738775</v>
      </c>
      <c r="G124" s="7">
        <f t="shared" si="3"/>
        <v>16.6527689086979</v>
      </c>
      <c r="H124" s="7">
        <f t="shared" si="4"/>
        <v>19.1073857179353</v>
      </c>
      <c r="J124">
        <v>96</v>
      </c>
      <c r="K124">
        <v>79.2010297562493</v>
      </c>
      <c r="L124">
        <v>-18.1504357562493</v>
      </c>
      <c r="M124">
        <v>-1.8437819583712</v>
      </c>
      <c r="N124">
        <v>37.1595330739299</v>
      </c>
      <c r="O124" s="6">
        <v>75.954315</v>
      </c>
      <c r="Q124" s="9"/>
      <c r="R124" s="10"/>
      <c r="Z124">
        <v>96</v>
      </c>
      <c r="AA124">
        <v>158.85394357007</v>
      </c>
      <c r="AB124">
        <v>-29.2773445700706</v>
      </c>
      <c r="AC124">
        <v>-1.6288663318459</v>
      </c>
      <c r="AE124">
        <v>37.1595330739299</v>
      </c>
      <c r="AF124">
        <v>152.865631</v>
      </c>
    </row>
    <row r="125" spans="2:32">
      <c r="B125" s="5">
        <v>123</v>
      </c>
      <c r="C125" s="6">
        <v>74.084282</v>
      </c>
      <c r="D125" s="6">
        <v>131.323746</v>
      </c>
      <c r="E125">
        <v>85.7825961399759</v>
      </c>
      <c r="F125">
        <v>158.556827437572</v>
      </c>
      <c r="G125" s="7">
        <f t="shared" si="3"/>
        <v>15.7905480409136</v>
      </c>
      <c r="H125" s="7">
        <f t="shared" si="4"/>
        <v>20.7373626378066</v>
      </c>
      <c r="J125">
        <v>97</v>
      </c>
      <c r="K125">
        <v>79.4447914741651</v>
      </c>
      <c r="L125">
        <v>-16.6519414741651</v>
      </c>
      <c r="M125">
        <v>-1.69155989829873</v>
      </c>
      <c r="N125">
        <v>37.5486381322957</v>
      </c>
      <c r="O125" s="6">
        <v>76.091995</v>
      </c>
      <c r="Q125" s="9"/>
      <c r="R125" s="10"/>
      <c r="Z125">
        <v>97</v>
      </c>
      <c r="AA125">
        <v>158.842939268866</v>
      </c>
      <c r="AB125">
        <v>-28.7925542688669</v>
      </c>
      <c r="AC125">
        <v>-1.60189467129294</v>
      </c>
      <c r="AE125">
        <v>37.5486381322957</v>
      </c>
      <c r="AF125">
        <v>153.253448</v>
      </c>
    </row>
    <row r="126" spans="2:32">
      <c r="B126" s="5">
        <v>124</v>
      </c>
      <c r="C126" s="6">
        <v>74.85067</v>
      </c>
      <c r="D126" s="6">
        <v>131.076965</v>
      </c>
      <c r="E126">
        <v>86.0263578578917</v>
      </c>
      <c r="F126">
        <v>158.545823136368</v>
      </c>
      <c r="G126" s="7">
        <f t="shared" si="3"/>
        <v>14.9306450535335</v>
      </c>
      <c r="H126" s="7">
        <f t="shared" si="4"/>
        <v>20.9562817817517</v>
      </c>
      <c r="J126">
        <v>98</v>
      </c>
      <c r="K126">
        <v>79.6885531920809</v>
      </c>
      <c r="L126">
        <v>-17.0238461920809</v>
      </c>
      <c r="M126">
        <v>-1.72933922317749</v>
      </c>
      <c r="N126">
        <v>37.9377431906614</v>
      </c>
      <c r="O126" s="6">
        <v>76.121498</v>
      </c>
      <c r="Q126" s="9"/>
      <c r="R126" s="10"/>
      <c r="Z126">
        <v>98</v>
      </c>
      <c r="AA126">
        <v>158.831934967663</v>
      </c>
      <c r="AB126">
        <v>-26.7678629676633</v>
      </c>
      <c r="AC126">
        <v>-1.48924950004051</v>
      </c>
      <c r="AE126">
        <v>37.9377431906614</v>
      </c>
      <c r="AF126">
        <v>153.710861</v>
      </c>
    </row>
    <row r="127" spans="2:32">
      <c r="B127" s="5">
        <v>125</v>
      </c>
      <c r="C127" s="6">
        <v>77.259674</v>
      </c>
      <c r="D127" s="6">
        <v>135.143829</v>
      </c>
      <c r="E127">
        <v>86.2701195758075</v>
      </c>
      <c r="F127">
        <v>158.534818835164</v>
      </c>
      <c r="G127" s="7">
        <f t="shared" si="3"/>
        <v>11.6625467197901</v>
      </c>
      <c r="H127" s="7">
        <f t="shared" si="4"/>
        <v>17.3082189606778</v>
      </c>
      <c r="J127">
        <v>99</v>
      </c>
      <c r="K127">
        <v>79.9323149099967</v>
      </c>
      <c r="L127">
        <v>-20.5648409099967</v>
      </c>
      <c r="M127">
        <v>-2.08904530755251</v>
      </c>
      <c r="N127">
        <v>38.3268482490272</v>
      </c>
      <c r="O127" s="6">
        <v>76.293579</v>
      </c>
      <c r="Q127" s="9"/>
      <c r="R127" s="10"/>
      <c r="Z127">
        <v>99</v>
      </c>
      <c r="AA127">
        <v>158.820930666459</v>
      </c>
      <c r="AB127">
        <v>-30.7842176664596</v>
      </c>
      <c r="AC127">
        <v>-1.71270231113692</v>
      </c>
      <c r="AE127">
        <v>38.3268482490272</v>
      </c>
      <c r="AF127">
        <v>153.740692</v>
      </c>
    </row>
    <row r="128" spans="2:32">
      <c r="B128" s="5">
        <v>126</v>
      </c>
      <c r="C128" s="6">
        <v>78.475372</v>
      </c>
      <c r="D128" s="6">
        <v>132.54776</v>
      </c>
      <c r="E128">
        <v>86.5138812937233</v>
      </c>
      <c r="F128">
        <v>158.523814533961</v>
      </c>
      <c r="G128" s="7">
        <f t="shared" si="3"/>
        <v>10.2433529002237</v>
      </c>
      <c r="H128" s="7">
        <f t="shared" si="4"/>
        <v>19.5975054832771</v>
      </c>
      <c r="J128">
        <v>100</v>
      </c>
      <c r="K128">
        <v>80.1760766279125</v>
      </c>
      <c r="L128">
        <v>-19.8179566279125</v>
      </c>
      <c r="M128">
        <v>-2.01317430463052</v>
      </c>
      <c r="N128">
        <v>38.7159533073929</v>
      </c>
      <c r="O128" s="6">
        <v>76.541885</v>
      </c>
      <c r="Q128" s="9"/>
      <c r="R128" s="10"/>
      <c r="Z128">
        <v>100</v>
      </c>
      <c r="AA128">
        <v>158.809926365256</v>
      </c>
      <c r="AB128">
        <v>-27.713216365256</v>
      </c>
      <c r="AC128">
        <v>-1.54184492300825</v>
      </c>
      <c r="AE128">
        <v>38.7159533073929</v>
      </c>
      <c r="AF128">
        <v>153.889847</v>
      </c>
    </row>
    <row r="129" spans="2:32">
      <c r="B129" s="5">
        <v>127</v>
      </c>
      <c r="C129" s="6">
        <v>77.578537</v>
      </c>
      <c r="D129" s="6">
        <v>125.944046</v>
      </c>
      <c r="E129">
        <v>86.7576430116391</v>
      </c>
      <c r="F129">
        <v>158.512810232757</v>
      </c>
      <c r="G129" s="7">
        <f t="shared" si="3"/>
        <v>11.8320174195075</v>
      </c>
      <c r="H129" s="7">
        <f t="shared" si="4"/>
        <v>25.8597093448602</v>
      </c>
      <c r="J129">
        <v>101</v>
      </c>
      <c r="K129">
        <v>80.4198383458283</v>
      </c>
      <c r="L129">
        <v>-20.9291463458283</v>
      </c>
      <c r="M129">
        <v>-2.12605267194549</v>
      </c>
      <c r="N129">
        <v>39.1050583657587</v>
      </c>
      <c r="O129" s="6">
        <v>76.641853</v>
      </c>
      <c r="Q129" s="9"/>
      <c r="R129" s="10"/>
      <c r="Z129">
        <v>101</v>
      </c>
      <c r="AA129">
        <v>158.798922064052</v>
      </c>
      <c r="AB129">
        <v>-32.9930600640523</v>
      </c>
      <c r="AC129">
        <v>-1.83559286240196</v>
      </c>
      <c r="AE129">
        <v>39.1050583657587</v>
      </c>
      <c r="AF129">
        <v>154.12851</v>
      </c>
    </row>
    <row r="130" spans="2:32">
      <c r="B130" s="5">
        <v>128</v>
      </c>
      <c r="C130" s="6">
        <v>76.641853</v>
      </c>
      <c r="D130" s="6">
        <v>121.383652</v>
      </c>
      <c r="E130">
        <v>87.0014047295549</v>
      </c>
      <c r="F130">
        <v>158.501805931553</v>
      </c>
      <c r="G130" s="7">
        <f t="shared" si="3"/>
        <v>13.5168335890247</v>
      </c>
      <c r="H130" s="7">
        <f t="shared" si="4"/>
        <v>30.5792034758956</v>
      </c>
      <c r="J130">
        <v>102</v>
      </c>
      <c r="K130">
        <v>80.6636000637441</v>
      </c>
      <c r="L130">
        <v>-15.9830960637441</v>
      </c>
      <c r="M130">
        <v>-1.62361634491881</v>
      </c>
      <c r="N130">
        <v>39.4941634241245</v>
      </c>
      <c r="O130" s="6">
        <v>76.656792</v>
      </c>
      <c r="Q130" s="9"/>
      <c r="R130" s="10"/>
      <c r="Z130">
        <v>102</v>
      </c>
      <c r="AA130">
        <v>158.787917762848</v>
      </c>
      <c r="AB130">
        <v>-26.5165557628487</v>
      </c>
      <c r="AC130">
        <v>-1.4752678411543</v>
      </c>
      <c r="AE130">
        <v>39.4941634241245</v>
      </c>
      <c r="AF130">
        <v>154.237885</v>
      </c>
    </row>
    <row r="131" spans="2:32">
      <c r="B131" s="5">
        <v>129</v>
      </c>
      <c r="C131" s="6">
        <v>77.112686</v>
      </c>
      <c r="D131" s="6">
        <v>126.335655</v>
      </c>
      <c r="E131">
        <v>87.2451664474707</v>
      </c>
      <c r="F131">
        <v>158.49080163035</v>
      </c>
      <c r="G131" s="7">
        <f t="shared" si="3"/>
        <v>13.1398359635284</v>
      </c>
      <c r="H131" s="7">
        <f t="shared" si="4"/>
        <v>25.4521549204379</v>
      </c>
      <c r="J131">
        <v>103</v>
      </c>
      <c r="K131">
        <v>80.9073617816599</v>
      </c>
      <c r="L131">
        <v>-16.9760067816599</v>
      </c>
      <c r="M131">
        <v>-1.72447953589406</v>
      </c>
      <c r="N131">
        <v>39.8832684824902</v>
      </c>
      <c r="O131" s="6">
        <v>76.871323</v>
      </c>
      <c r="Q131" s="9"/>
      <c r="R131" s="10"/>
      <c r="Z131">
        <v>103</v>
      </c>
      <c r="AA131">
        <v>158.776913461645</v>
      </c>
      <c r="AB131">
        <v>-25.281552461645</v>
      </c>
      <c r="AC131">
        <v>-1.40655753540118</v>
      </c>
      <c r="AE131">
        <v>39.8832684824902</v>
      </c>
      <c r="AF131">
        <v>155.033386</v>
      </c>
    </row>
    <row r="132" spans="2:32">
      <c r="B132" s="5">
        <v>130</v>
      </c>
      <c r="C132" s="6">
        <v>76.656792</v>
      </c>
      <c r="D132" s="6">
        <v>124.70488</v>
      </c>
      <c r="E132">
        <v>87.4889281653865</v>
      </c>
      <c r="F132">
        <v>158.479797329146</v>
      </c>
      <c r="G132" s="7">
        <f t="shared" si="3"/>
        <v>14.1306932924959</v>
      </c>
      <c r="H132" s="7">
        <f t="shared" si="4"/>
        <v>27.083877815484</v>
      </c>
      <c r="J132">
        <v>104</v>
      </c>
      <c r="K132">
        <v>81.1511234995757</v>
      </c>
      <c r="L132">
        <v>-15.5834664995757</v>
      </c>
      <c r="M132">
        <v>-1.58302063744706</v>
      </c>
      <c r="N132">
        <v>40.272373540856</v>
      </c>
      <c r="O132" s="6">
        <v>77.112686</v>
      </c>
      <c r="Q132" s="9"/>
      <c r="R132" s="10"/>
      <c r="Z132">
        <v>104</v>
      </c>
      <c r="AA132">
        <v>158.765909160441</v>
      </c>
      <c r="AB132">
        <v>-21.3122651604414</v>
      </c>
      <c r="AC132">
        <v>-1.18572335315899</v>
      </c>
      <c r="AE132">
        <v>40.272373540856</v>
      </c>
      <c r="AF132">
        <v>156.169998</v>
      </c>
    </row>
    <row r="133" spans="2:32">
      <c r="B133" s="5">
        <v>131</v>
      </c>
      <c r="C133" s="6">
        <v>78.462914</v>
      </c>
      <c r="D133" s="6">
        <v>135.275101</v>
      </c>
      <c r="E133">
        <v>87.7326898833023</v>
      </c>
      <c r="F133">
        <v>158.468793027942</v>
      </c>
      <c r="G133" s="7">
        <f t="shared" si="3"/>
        <v>11.8142131240529</v>
      </c>
      <c r="H133" s="7">
        <f t="shared" si="4"/>
        <v>17.1455736173814</v>
      </c>
      <c r="J133">
        <v>105</v>
      </c>
      <c r="K133">
        <v>81.3948852174915</v>
      </c>
      <c r="L133">
        <v>-15.3540832174915</v>
      </c>
      <c r="M133">
        <v>-1.55971911660544</v>
      </c>
      <c r="N133">
        <v>40.6614785992217</v>
      </c>
      <c r="O133" s="6">
        <v>77.144943</v>
      </c>
      <c r="Q133" s="9"/>
      <c r="R133" s="10"/>
      <c r="Z133">
        <v>105</v>
      </c>
      <c r="AA133">
        <v>158.754904859237</v>
      </c>
      <c r="AB133">
        <v>-17.1751928592377</v>
      </c>
      <c r="AC133">
        <v>-0.95555433056493</v>
      </c>
      <c r="AE133">
        <v>40.6614785992217</v>
      </c>
      <c r="AF133">
        <v>156.850006</v>
      </c>
    </row>
    <row r="134" spans="2:32">
      <c r="B134" s="5">
        <v>132</v>
      </c>
      <c r="C134" s="6">
        <v>78.009521</v>
      </c>
      <c r="D134" s="6">
        <v>131.208099</v>
      </c>
      <c r="E134">
        <v>87.9764516012181</v>
      </c>
      <c r="F134">
        <v>158.457788726739</v>
      </c>
      <c r="G134" s="7">
        <f t="shared" si="3"/>
        <v>12.776556596493</v>
      </c>
      <c r="H134" s="7">
        <f t="shared" si="4"/>
        <v>20.7682985535359</v>
      </c>
      <c r="J134">
        <v>106</v>
      </c>
      <c r="K134">
        <v>81.6386469354073</v>
      </c>
      <c r="L134">
        <v>-14.3016179354073</v>
      </c>
      <c r="M134">
        <v>-1.45280617385414</v>
      </c>
      <c r="N134">
        <v>41.0505836575875</v>
      </c>
      <c r="O134" s="6">
        <v>77.259674</v>
      </c>
      <c r="Q134" s="9"/>
      <c r="R134" s="10"/>
      <c r="Z134">
        <v>106</v>
      </c>
      <c r="AA134">
        <v>158.743900558034</v>
      </c>
      <c r="AB134">
        <v>-22.5833625580341</v>
      </c>
      <c r="AC134">
        <v>-1.25644178018302</v>
      </c>
      <c r="AE134">
        <v>41.0505836575875</v>
      </c>
      <c r="AF134">
        <v>157.211075</v>
      </c>
    </row>
    <row r="135" spans="2:32">
      <c r="B135" s="5">
        <v>133</v>
      </c>
      <c r="C135" s="6">
        <v>79.526665</v>
      </c>
      <c r="D135" s="6">
        <v>135.265167</v>
      </c>
      <c r="E135">
        <v>88.2202133191339</v>
      </c>
      <c r="F135">
        <v>158.446784425535</v>
      </c>
      <c r="G135" s="7">
        <f t="shared" si="3"/>
        <v>10.9316143448665</v>
      </c>
      <c r="H135" s="7">
        <f t="shared" si="4"/>
        <v>17.1379061880247</v>
      </c>
      <c r="J135">
        <v>107</v>
      </c>
      <c r="K135">
        <v>81.8824086533231</v>
      </c>
      <c r="L135">
        <v>-11.1446536533231</v>
      </c>
      <c r="M135">
        <v>-1.13211118533162</v>
      </c>
      <c r="N135">
        <v>41.4396887159533</v>
      </c>
      <c r="O135" s="6">
        <v>77.500694</v>
      </c>
      <c r="Q135" s="9"/>
      <c r="R135" s="10"/>
      <c r="Z135">
        <v>107</v>
      </c>
      <c r="AA135">
        <v>158.73289625683</v>
      </c>
      <c r="AB135">
        <v>-19.9565592568304</v>
      </c>
      <c r="AC135">
        <v>-1.11029767044411</v>
      </c>
      <c r="AE135">
        <v>41.4396887159533</v>
      </c>
      <c r="AF135">
        <v>157.380005</v>
      </c>
    </row>
    <row r="136" spans="2:32">
      <c r="B136" s="5">
        <v>134</v>
      </c>
      <c r="C136" s="6">
        <v>78.933754</v>
      </c>
      <c r="D136" s="6">
        <v>136.915833</v>
      </c>
      <c r="E136">
        <v>88.4639750370497</v>
      </c>
      <c r="F136">
        <v>158.435780124331</v>
      </c>
      <c r="G136" s="7">
        <f t="shared" si="3"/>
        <v>12.0736954143214</v>
      </c>
      <c r="H136" s="7">
        <f t="shared" si="4"/>
        <v>15.7176468585127</v>
      </c>
      <c r="J136">
        <v>108</v>
      </c>
      <c r="K136">
        <v>82.1261703712389</v>
      </c>
      <c r="L136">
        <v>-12.0340603712389</v>
      </c>
      <c r="M136">
        <v>-1.22246009387409</v>
      </c>
      <c r="N136">
        <v>41.828793774319</v>
      </c>
      <c r="O136" s="6">
        <v>77.578537</v>
      </c>
      <c r="Q136" s="9"/>
      <c r="R136" s="10"/>
      <c r="Z136">
        <v>108</v>
      </c>
      <c r="AA136">
        <v>158.721891955626</v>
      </c>
      <c r="AB136">
        <v>-25.6213669556268</v>
      </c>
      <c r="AC136">
        <v>-1.42546336161077</v>
      </c>
      <c r="AE136">
        <v>41.828793774319</v>
      </c>
      <c r="AF136">
        <v>157.49176</v>
      </c>
    </row>
    <row r="137" spans="2:32">
      <c r="B137" s="5">
        <v>135</v>
      </c>
      <c r="C137" s="6">
        <v>79.441963</v>
      </c>
      <c r="D137" s="6">
        <v>138.397446</v>
      </c>
      <c r="E137">
        <v>88.7077367549655</v>
      </c>
      <c r="F137">
        <v>158.424775823128</v>
      </c>
      <c r="G137" s="7">
        <f t="shared" si="3"/>
        <v>11.6635760309265</v>
      </c>
      <c r="H137" s="7">
        <f t="shared" si="4"/>
        <v>14.4708810761782</v>
      </c>
      <c r="J137">
        <v>109</v>
      </c>
      <c r="K137">
        <v>82.3699320891547</v>
      </c>
      <c r="L137">
        <v>-11.7208920891547</v>
      </c>
      <c r="M137">
        <v>-1.19064741255914</v>
      </c>
      <c r="N137">
        <v>42.2178988326848</v>
      </c>
      <c r="O137" s="6">
        <v>77.827667</v>
      </c>
      <c r="Q137" s="9"/>
      <c r="R137" s="10"/>
      <c r="Z137">
        <v>109</v>
      </c>
      <c r="AA137">
        <v>158.710887654423</v>
      </c>
      <c r="AB137">
        <v>-28.0879776544231</v>
      </c>
      <c r="AC137">
        <v>-1.56269503955288</v>
      </c>
      <c r="AE137">
        <v>42.2178988326848</v>
      </c>
      <c r="AF137">
        <v>157.5</v>
      </c>
    </row>
    <row r="138" spans="2:32">
      <c r="B138" s="5">
        <v>136</v>
      </c>
      <c r="C138" s="6">
        <v>78.903862</v>
      </c>
      <c r="D138" s="6">
        <v>144.125061</v>
      </c>
      <c r="E138">
        <v>88.9514984728813</v>
      </c>
      <c r="F138">
        <v>158.413771521924</v>
      </c>
      <c r="G138" s="7">
        <f t="shared" si="3"/>
        <v>12.7340236817322</v>
      </c>
      <c r="H138" s="7">
        <f t="shared" si="4"/>
        <v>9.91410544618885</v>
      </c>
      <c r="J138">
        <v>110</v>
      </c>
      <c r="K138">
        <v>82.6136938070705</v>
      </c>
      <c r="L138">
        <v>-12.9232718070705</v>
      </c>
      <c r="M138">
        <v>-1.31278916500943</v>
      </c>
      <c r="N138">
        <v>42.6070038910505</v>
      </c>
      <c r="O138" s="6">
        <v>77.923538</v>
      </c>
      <c r="Q138" s="9"/>
      <c r="R138" s="10"/>
      <c r="Z138">
        <v>110</v>
      </c>
      <c r="AA138">
        <v>158.699883353219</v>
      </c>
      <c r="AB138">
        <v>-22.1642383532195</v>
      </c>
      <c r="AC138">
        <v>-1.23312350060167</v>
      </c>
      <c r="AE138">
        <v>42.6070038910505</v>
      </c>
      <c r="AF138">
        <v>158.533585</v>
      </c>
    </row>
    <row r="139" spans="2:32">
      <c r="B139" s="5">
        <v>137</v>
      </c>
      <c r="C139" s="6">
        <v>79.247643</v>
      </c>
      <c r="D139" s="6">
        <v>147.754532</v>
      </c>
      <c r="E139">
        <v>89.1952601907971</v>
      </c>
      <c r="F139">
        <v>158.40276722072</v>
      </c>
      <c r="G139" s="7">
        <f t="shared" si="3"/>
        <v>12.5525716781218</v>
      </c>
      <c r="H139" s="7">
        <f t="shared" si="4"/>
        <v>7.20670633691289</v>
      </c>
      <c r="J139">
        <v>111</v>
      </c>
      <c r="K139">
        <v>82.8574555249863</v>
      </c>
      <c r="L139">
        <v>-14.6135745249863</v>
      </c>
      <c r="M139">
        <v>-1.48449576739256</v>
      </c>
      <c r="N139">
        <v>42.9961089494163</v>
      </c>
      <c r="O139" s="6">
        <v>78.009521</v>
      </c>
      <c r="Q139" s="9"/>
      <c r="R139" s="10"/>
      <c r="Z139">
        <v>111</v>
      </c>
      <c r="AA139">
        <v>158.688879052015</v>
      </c>
      <c r="AB139">
        <v>-24.7394470520158</v>
      </c>
      <c r="AC139">
        <v>-1.37639710715799</v>
      </c>
      <c r="AE139">
        <v>42.9961089494163</v>
      </c>
      <c r="AF139">
        <v>158.759995</v>
      </c>
    </row>
    <row r="140" spans="2:32">
      <c r="B140" s="5">
        <v>138</v>
      </c>
      <c r="C140" s="6">
        <v>79.282524</v>
      </c>
      <c r="D140" s="6">
        <v>146.730331</v>
      </c>
      <c r="E140">
        <v>89.4390219087129</v>
      </c>
      <c r="F140">
        <v>158.391762919517</v>
      </c>
      <c r="G140" s="7">
        <f t="shared" si="3"/>
        <v>12.8105128296785</v>
      </c>
      <c r="H140" s="7">
        <f t="shared" si="4"/>
        <v>7.94752648620208</v>
      </c>
      <c r="J140">
        <v>112</v>
      </c>
      <c r="K140">
        <v>83.1012172429021</v>
      </c>
      <c r="L140">
        <v>-16.9667792429021</v>
      </c>
      <c r="M140">
        <v>-1.72354217165056</v>
      </c>
      <c r="N140">
        <v>43.3852140077821</v>
      </c>
      <c r="O140" s="6">
        <v>78.103012</v>
      </c>
      <c r="Q140" s="9"/>
      <c r="R140" s="10"/>
      <c r="Z140">
        <v>112</v>
      </c>
      <c r="AA140">
        <v>158.677874750812</v>
      </c>
      <c r="AB140">
        <v>-28.3807097508122</v>
      </c>
      <c r="AC140">
        <v>-1.57898140237235</v>
      </c>
      <c r="AE140">
        <v>43.3852140077821</v>
      </c>
      <c r="AF140">
        <v>158.759995</v>
      </c>
    </row>
    <row r="141" spans="2:32">
      <c r="B141" s="5">
        <v>139</v>
      </c>
      <c r="C141" s="6">
        <v>79.205299</v>
      </c>
      <c r="D141" s="6">
        <v>145.029953</v>
      </c>
      <c r="E141">
        <v>89.6827836266287</v>
      </c>
      <c r="F141">
        <v>158.380758618313</v>
      </c>
      <c r="G141" s="7">
        <f t="shared" si="3"/>
        <v>13.228262198251</v>
      </c>
      <c r="H141" s="7">
        <f t="shared" si="4"/>
        <v>9.2055505377658</v>
      </c>
      <c r="J141">
        <v>113</v>
      </c>
      <c r="K141">
        <v>83.3449789608179</v>
      </c>
      <c r="L141">
        <v>-15.3056269608179</v>
      </c>
      <c r="M141">
        <v>-1.55479676801696</v>
      </c>
      <c r="N141">
        <v>43.7743190661478</v>
      </c>
      <c r="O141" s="6">
        <v>78.105476</v>
      </c>
      <c r="Q141" s="9"/>
      <c r="R141" s="10"/>
      <c r="Z141">
        <v>113</v>
      </c>
      <c r="AA141">
        <v>158.666870449608</v>
      </c>
      <c r="AB141">
        <v>-27.3529974496085</v>
      </c>
      <c r="AC141">
        <v>-1.52180388197777</v>
      </c>
      <c r="AE141">
        <v>43.7743190661478</v>
      </c>
      <c r="AF141">
        <v>158.789993</v>
      </c>
    </row>
    <row r="142" spans="2:32">
      <c r="B142" s="5">
        <v>140</v>
      </c>
      <c r="C142" s="6">
        <v>80.179359</v>
      </c>
      <c r="D142" s="6">
        <v>145.358093</v>
      </c>
      <c r="E142">
        <v>89.9265453445445</v>
      </c>
      <c r="F142">
        <v>158.36975431711</v>
      </c>
      <c r="G142" s="7">
        <f t="shared" si="3"/>
        <v>12.1567276991382</v>
      </c>
      <c r="H142" s="7">
        <f t="shared" si="4"/>
        <v>8.95145295907948</v>
      </c>
      <c r="J142">
        <v>114</v>
      </c>
      <c r="K142">
        <v>83.5887406787337</v>
      </c>
      <c r="L142">
        <v>-15.8130676787337</v>
      </c>
      <c r="M142">
        <v>-1.60634429300208</v>
      </c>
      <c r="N142">
        <v>44.1634241245136</v>
      </c>
      <c r="O142" s="6">
        <v>78.25544</v>
      </c>
      <c r="Q142" s="9"/>
      <c r="R142" s="10"/>
      <c r="Z142">
        <v>114</v>
      </c>
      <c r="AA142">
        <v>158.655866148404</v>
      </c>
      <c r="AB142">
        <v>-25.7132851484049</v>
      </c>
      <c r="AC142">
        <v>-1.43057729703418</v>
      </c>
      <c r="AE142">
        <v>44.1634241245136</v>
      </c>
      <c r="AF142">
        <v>158.979996</v>
      </c>
    </row>
    <row r="143" spans="2:32">
      <c r="B143" s="5">
        <v>141</v>
      </c>
      <c r="C143" s="6">
        <v>80.550545</v>
      </c>
      <c r="D143" s="6">
        <v>147.5159</v>
      </c>
      <c r="E143">
        <v>90.1703070624603</v>
      </c>
      <c r="F143">
        <v>158.358750015906</v>
      </c>
      <c r="G143" s="7">
        <f t="shared" si="3"/>
        <v>11.9425164192996</v>
      </c>
      <c r="H143" s="7">
        <f t="shared" si="4"/>
        <v>7.35029241993982</v>
      </c>
      <c r="J143">
        <v>115</v>
      </c>
      <c r="K143">
        <v>83.8325023966495</v>
      </c>
      <c r="L143">
        <v>-14.1001793966495</v>
      </c>
      <c r="M143">
        <v>-1.43234337348559</v>
      </c>
      <c r="N143">
        <v>44.5525291828793</v>
      </c>
      <c r="O143" s="6">
        <v>78.358696</v>
      </c>
      <c r="Q143" s="9"/>
      <c r="R143" s="10"/>
      <c r="Z143">
        <v>115</v>
      </c>
      <c r="AA143">
        <v>158.644861847201</v>
      </c>
      <c r="AB143">
        <v>-24.8731028472012</v>
      </c>
      <c r="AC143">
        <v>-1.383833144409</v>
      </c>
      <c r="AE143">
        <v>44.5525291828793</v>
      </c>
      <c r="AF143">
        <v>159.169998</v>
      </c>
    </row>
    <row r="144" spans="2:32">
      <c r="B144" s="5">
        <v>142</v>
      </c>
      <c r="C144" s="6">
        <v>80.99398</v>
      </c>
      <c r="D144" s="6">
        <v>152.487793</v>
      </c>
      <c r="E144">
        <v>90.4140687803761</v>
      </c>
      <c r="F144">
        <v>158.347745714702</v>
      </c>
      <c r="G144" s="7">
        <f t="shared" si="3"/>
        <v>11.6306036329812</v>
      </c>
      <c r="H144" s="7">
        <f t="shared" si="4"/>
        <v>3.84289955242646</v>
      </c>
      <c r="J144">
        <v>116</v>
      </c>
      <c r="K144">
        <v>84.0762641145653</v>
      </c>
      <c r="L144">
        <v>-14.2946551145653</v>
      </c>
      <c r="M144">
        <v>-1.45209886722965</v>
      </c>
      <c r="N144">
        <v>44.9416342412451</v>
      </c>
      <c r="O144" s="6">
        <v>78.388199</v>
      </c>
      <c r="Q144" s="9"/>
      <c r="R144" s="10"/>
      <c r="Z144">
        <v>116</v>
      </c>
      <c r="AA144">
        <v>158.633857545997</v>
      </c>
      <c r="AB144">
        <v>-20.5583415459976</v>
      </c>
      <c r="AC144">
        <v>-1.14377826522891</v>
      </c>
      <c r="AE144">
        <v>44.9416342412451</v>
      </c>
      <c r="AF144">
        <v>159.369995</v>
      </c>
    </row>
    <row r="145" spans="2:32">
      <c r="B145" s="5">
        <v>143</v>
      </c>
      <c r="C145" s="6">
        <v>80.296448</v>
      </c>
      <c r="D145" s="6">
        <v>155.033386</v>
      </c>
      <c r="E145">
        <v>90.6578304982919</v>
      </c>
      <c r="F145">
        <v>158.336741413499</v>
      </c>
      <c r="G145" s="7">
        <f t="shared" si="3"/>
        <v>12.9039113888225</v>
      </c>
      <c r="H145" s="7">
        <f t="shared" si="4"/>
        <v>2.1307380937284</v>
      </c>
      <c r="J145">
        <v>117</v>
      </c>
      <c r="K145">
        <v>84.3200258324811</v>
      </c>
      <c r="L145">
        <v>-15.6695358324811</v>
      </c>
      <c r="M145">
        <v>-1.59176384809562</v>
      </c>
      <c r="N145">
        <v>45.3307392996109</v>
      </c>
      <c r="O145" s="6">
        <v>78.462914</v>
      </c>
      <c r="Q145" s="9"/>
      <c r="R145" s="10"/>
      <c r="Z145">
        <v>117</v>
      </c>
      <c r="AA145">
        <v>158.622853244793</v>
      </c>
      <c r="AB145">
        <v>-17.7045032447939</v>
      </c>
      <c r="AC145">
        <v>-0.985002898349668</v>
      </c>
      <c r="AE145">
        <v>45.3307392996109</v>
      </c>
      <c r="AF145">
        <v>159.378815</v>
      </c>
    </row>
    <row r="146" spans="2:32">
      <c r="B146" s="5">
        <v>144</v>
      </c>
      <c r="C146" s="6">
        <v>82.583374</v>
      </c>
      <c r="D146" s="6">
        <v>160.462677</v>
      </c>
      <c r="E146">
        <v>90.9015922162077</v>
      </c>
      <c r="F146">
        <v>158.325737112295</v>
      </c>
      <c r="G146" s="7">
        <f t="shared" si="3"/>
        <v>10.0725095298331</v>
      </c>
      <c r="H146" s="7">
        <f t="shared" si="4"/>
        <v>1.33173640603354</v>
      </c>
      <c r="J146">
        <v>118</v>
      </c>
      <c r="K146">
        <v>84.5637875503969</v>
      </c>
      <c r="L146">
        <v>-13.6584535503969</v>
      </c>
      <c r="M146">
        <v>-1.38747138491164</v>
      </c>
      <c r="N146">
        <v>45.7198443579766</v>
      </c>
      <c r="O146" s="6">
        <v>78.475372</v>
      </c>
      <c r="Q146" s="9"/>
      <c r="R146" s="10"/>
      <c r="Z146">
        <v>118</v>
      </c>
      <c r="AA146">
        <v>158.61184894359</v>
      </c>
      <c r="AB146">
        <v>-14.3373429435903</v>
      </c>
      <c r="AC146">
        <v>-0.797668489129866</v>
      </c>
      <c r="AE146">
        <v>45.7198443579766</v>
      </c>
      <c r="AF146">
        <v>159.604156</v>
      </c>
    </row>
    <row r="147" spans="2:32">
      <c r="B147" s="5">
        <v>145</v>
      </c>
      <c r="C147" s="6">
        <v>83.07164</v>
      </c>
      <c r="D147" s="6">
        <v>162.003967</v>
      </c>
      <c r="E147">
        <v>91.1453539341235</v>
      </c>
      <c r="F147">
        <v>158.314732811091</v>
      </c>
      <c r="G147" s="7">
        <f t="shared" si="3"/>
        <v>9.71897742012016</v>
      </c>
      <c r="H147" s="7">
        <f t="shared" si="4"/>
        <v>2.27724929038866</v>
      </c>
      <c r="J147">
        <v>119</v>
      </c>
      <c r="K147">
        <v>84.8075492683127</v>
      </c>
      <c r="L147">
        <v>-12.4063952683127</v>
      </c>
      <c r="M147">
        <v>-1.26028311779021</v>
      </c>
      <c r="N147">
        <v>46.1089494163424</v>
      </c>
      <c r="O147" s="6">
        <v>78.481621</v>
      </c>
      <c r="Q147" s="9"/>
      <c r="R147" s="10"/>
      <c r="Z147">
        <v>119</v>
      </c>
      <c r="AA147">
        <v>158.600844642386</v>
      </c>
      <c r="AB147">
        <v>-18.5314016423866</v>
      </c>
      <c r="AC147">
        <v>-1.03100799134819</v>
      </c>
      <c r="AE147">
        <v>46.1089494163424</v>
      </c>
      <c r="AF147">
        <v>159.801575</v>
      </c>
    </row>
    <row r="148" spans="2:32">
      <c r="B148" s="5">
        <v>146</v>
      </c>
      <c r="C148" s="6">
        <v>85.694878</v>
      </c>
      <c r="D148" s="6">
        <v>157.211075</v>
      </c>
      <c r="E148">
        <v>91.3891156520393</v>
      </c>
      <c r="F148">
        <v>158.303728509888</v>
      </c>
      <c r="G148" s="7">
        <f t="shared" ref="G148:H211" si="5">(ABS(C148-E148)/C148)*100</f>
        <v>6.64478179435566</v>
      </c>
      <c r="H148" s="7">
        <f t="shared" si="5"/>
        <v>0.695023241770982</v>
      </c>
      <c r="J148">
        <v>120</v>
      </c>
      <c r="K148">
        <v>85.0513109862285</v>
      </c>
      <c r="L148">
        <v>-13.8157689862285</v>
      </c>
      <c r="M148">
        <v>-1.40345201293924</v>
      </c>
      <c r="N148">
        <v>46.4980544747081</v>
      </c>
      <c r="O148" s="6">
        <v>78.611198</v>
      </c>
      <c r="Q148" s="9"/>
      <c r="R148" s="10"/>
      <c r="Z148">
        <v>120</v>
      </c>
      <c r="AA148">
        <v>158.589840341183</v>
      </c>
      <c r="AB148">
        <v>-23.110409341183</v>
      </c>
      <c r="AC148">
        <v>-1.28576441080357</v>
      </c>
      <c r="AE148">
        <v>46.4980544747081</v>
      </c>
      <c r="AF148">
        <v>160.077957</v>
      </c>
    </row>
    <row r="149" spans="2:32">
      <c r="B149" s="5">
        <v>147</v>
      </c>
      <c r="C149" s="6">
        <v>87.89959</v>
      </c>
      <c r="D149" s="6">
        <v>153.253448</v>
      </c>
      <c r="E149">
        <v>91.6328773699551</v>
      </c>
      <c r="F149">
        <v>158.292724208684</v>
      </c>
      <c r="G149" s="7">
        <f t="shared" si="5"/>
        <v>4.24721818378799</v>
      </c>
      <c r="H149" s="7">
        <f t="shared" si="5"/>
        <v>3.28819760628421</v>
      </c>
      <c r="J149">
        <v>121</v>
      </c>
      <c r="K149">
        <v>85.2950727041443</v>
      </c>
      <c r="L149">
        <v>-13.0516267041443</v>
      </c>
      <c r="M149">
        <v>-1.32582788466726</v>
      </c>
      <c r="N149">
        <v>46.8871595330739</v>
      </c>
      <c r="O149" s="6">
        <v>78.76152</v>
      </c>
      <c r="Q149" s="9"/>
      <c r="R149" s="10"/>
      <c r="Z149">
        <v>121</v>
      </c>
      <c r="AA149">
        <v>158.578836039979</v>
      </c>
      <c r="AB149">
        <v>-25.1229490399793</v>
      </c>
      <c r="AC149">
        <v>-1.3977335188293</v>
      </c>
      <c r="AE149">
        <v>46.8871595330739</v>
      </c>
      <c r="AF149">
        <v>160.279999</v>
      </c>
    </row>
    <row r="150" spans="2:32">
      <c r="B150" s="5">
        <v>148</v>
      </c>
      <c r="C150" s="6">
        <v>83.679497</v>
      </c>
      <c r="D150" s="6">
        <v>142.633499</v>
      </c>
      <c r="E150">
        <v>91.8766390878709</v>
      </c>
      <c r="F150">
        <v>158.28171990748</v>
      </c>
      <c r="G150" s="7">
        <f t="shared" si="5"/>
        <v>9.79587877765434</v>
      </c>
      <c r="H150" s="7">
        <f t="shared" si="5"/>
        <v>10.9709297024817</v>
      </c>
      <c r="J150">
        <v>122</v>
      </c>
      <c r="K150">
        <v>85.5388344220601</v>
      </c>
      <c r="L150">
        <v>-12.2110984220601</v>
      </c>
      <c r="M150">
        <v>-1.24044421108389</v>
      </c>
      <c r="N150">
        <v>47.2762645914396</v>
      </c>
      <c r="O150" s="6">
        <v>78.865021</v>
      </c>
      <c r="Q150" s="9"/>
      <c r="R150" s="10"/>
      <c r="Z150">
        <v>122</v>
      </c>
      <c r="AA150">
        <v>158.567831738775</v>
      </c>
      <c r="AB150">
        <v>-25.4376897387757</v>
      </c>
      <c r="AC150">
        <v>-1.41524434623047</v>
      </c>
      <c r="AE150">
        <v>47.2762645914396</v>
      </c>
      <c r="AF150">
        <v>160.462677</v>
      </c>
    </row>
    <row r="151" spans="2:32">
      <c r="B151" s="5">
        <v>149</v>
      </c>
      <c r="C151" s="6">
        <v>84.401947</v>
      </c>
      <c r="D151" s="6">
        <v>143.697479</v>
      </c>
      <c r="E151">
        <v>92.1204008057867</v>
      </c>
      <c r="F151">
        <v>158.270715606277</v>
      </c>
      <c r="G151" s="7">
        <f t="shared" si="5"/>
        <v>9.14487648701598</v>
      </c>
      <c r="H151" s="7">
        <f t="shared" si="5"/>
        <v>10.1416090996816</v>
      </c>
      <c r="J151">
        <v>123</v>
      </c>
      <c r="K151">
        <v>85.7825961399759</v>
      </c>
      <c r="L151">
        <v>-11.6983141399759</v>
      </c>
      <c r="M151">
        <v>-1.1883538689819</v>
      </c>
      <c r="N151">
        <v>47.6653696498054</v>
      </c>
      <c r="O151" s="6">
        <v>78.903862</v>
      </c>
      <c r="Q151" s="9"/>
      <c r="R151" s="10"/>
      <c r="Z151">
        <v>123</v>
      </c>
      <c r="AA151">
        <v>158.556827437572</v>
      </c>
      <c r="AB151">
        <v>-27.233081437572</v>
      </c>
      <c r="AC151">
        <v>-1.51513226754265</v>
      </c>
      <c r="AE151">
        <v>47.6653696498054</v>
      </c>
      <c r="AF151">
        <v>161.160004</v>
      </c>
    </row>
    <row r="152" spans="2:32">
      <c r="B152" s="5">
        <v>150</v>
      </c>
      <c r="C152" s="6">
        <v>85.445755</v>
      </c>
      <c r="D152" s="6">
        <v>145.805573</v>
      </c>
      <c r="E152">
        <v>92.3641625237025</v>
      </c>
      <c r="F152">
        <v>158.259711305073</v>
      </c>
      <c r="G152" s="7">
        <f t="shared" si="5"/>
        <v>8.09684170232038</v>
      </c>
      <c r="H152" s="7">
        <f t="shared" si="5"/>
        <v>8.54160650297846</v>
      </c>
      <c r="J152">
        <v>124</v>
      </c>
      <c r="K152">
        <v>86.0263578578917</v>
      </c>
      <c r="L152">
        <v>-11.1756878578917</v>
      </c>
      <c r="M152">
        <v>-1.1352637436087</v>
      </c>
      <c r="N152">
        <v>48.0544747081712</v>
      </c>
      <c r="O152" s="6">
        <v>78.931564</v>
      </c>
      <c r="Q152" s="9"/>
      <c r="R152" s="10"/>
      <c r="Z152">
        <v>124</v>
      </c>
      <c r="AA152">
        <v>158.545823136368</v>
      </c>
      <c r="AB152">
        <v>-27.4688581363683</v>
      </c>
      <c r="AC152">
        <v>-1.52824987544538</v>
      </c>
      <c r="AE152">
        <v>48.0544747081712</v>
      </c>
      <c r="AF152">
        <v>161.369995</v>
      </c>
    </row>
    <row r="153" spans="2:32">
      <c r="B153" s="5">
        <v>151</v>
      </c>
      <c r="C153" s="6">
        <v>87.710258</v>
      </c>
      <c r="D153" s="6">
        <v>148.271622</v>
      </c>
      <c r="E153">
        <v>92.6079242416183</v>
      </c>
      <c r="F153">
        <v>158.248707003869</v>
      </c>
      <c r="G153" s="7">
        <f t="shared" si="5"/>
        <v>5.58391498702274</v>
      </c>
      <c r="H153" s="7">
        <f t="shared" si="5"/>
        <v>6.72892416585891</v>
      </c>
      <c r="J153">
        <v>125</v>
      </c>
      <c r="K153">
        <v>86.2701195758075</v>
      </c>
      <c r="L153">
        <v>-9.01044557580756</v>
      </c>
      <c r="M153">
        <v>-0.915311192120527</v>
      </c>
      <c r="N153">
        <v>48.4435797665369</v>
      </c>
      <c r="O153" s="6">
        <v>78.933754</v>
      </c>
      <c r="Q153" s="9"/>
      <c r="R153" s="10"/>
      <c r="Z153">
        <v>125</v>
      </c>
      <c r="AA153">
        <v>158.534818835164</v>
      </c>
      <c r="AB153">
        <v>-23.3909898351647</v>
      </c>
      <c r="AC153">
        <v>-1.30137471039634</v>
      </c>
      <c r="AE153">
        <v>48.4435797665369</v>
      </c>
      <c r="AF153">
        <v>161.490005</v>
      </c>
    </row>
    <row r="154" spans="2:32">
      <c r="B154" s="5">
        <v>152</v>
      </c>
      <c r="C154" s="6">
        <v>87.588196</v>
      </c>
      <c r="D154" s="6">
        <v>147.505951</v>
      </c>
      <c r="E154">
        <v>92.8516859595341</v>
      </c>
      <c r="F154">
        <v>158.237702702666</v>
      </c>
      <c r="G154" s="7">
        <f t="shared" si="5"/>
        <v>6.00935993650799</v>
      </c>
      <c r="H154" s="7">
        <f t="shared" si="5"/>
        <v>7.27547033181461</v>
      </c>
      <c r="J154">
        <v>126</v>
      </c>
      <c r="K154">
        <v>86.5138812937233</v>
      </c>
      <c r="L154">
        <v>-8.03850929372336</v>
      </c>
      <c r="M154">
        <v>-0.816578654474635</v>
      </c>
      <c r="N154">
        <v>48.8326848249027</v>
      </c>
      <c r="O154" s="6">
        <v>79.027405</v>
      </c>
      <c r="Q154" s="9"/>
      <c r="R154" s="10"/>
      <c r="Z154">
        <v>126</v>
      </c>
      <c r="AA154">
        <v>158.523814533961</v>
      </c>
      <c r="AB154">
        <v>-25.9760545339611</v>
      </c>
      <c r="AC154">
        <v>-1.44519666267193</v>
      </c>
      <c r="AE154">
        <v>48.8326848249027</v>
      </c>
      <c r="AF154">
        <v>161.913971</v>
      </c>
    </row>
    <row r="155" spans="2:32">
      <c r="B155" s="5">
        <v>153</v>
      </c>
      <c r="C155" s="6">
        <v>87.623077</v>
      </c>
      <c r="D155" s="6">
        <v>147.396561</v>
      </c>
      <c r="E155">
        <v>93.0954476774499</v>
      </c>
      <c r="F155">
        <v>158.226698401462</v>
      </c>
      <c r="G155" s="7">
        <f t="shared" si="5"/>
        <v>6.24535323890749</v>
      </c>
      <c r="H155" s="7">
        <f t="shared" si="5"/>
        <v>7.34761878295247</v>
      </c>
      <c r="J155">
        <v>127</v>
      </c>
      <c r="K155">
        <v>86.7576430116391</v>
      </c>
      <c r="L155">
        <v>-9.17910601163916</v>
      </c>
      <c r="M155">
        <v>-0.93244428318531</v>
      </c>
      <c r="N155">
        <v>49.2217898832684</v>
      </c>
      <c r="O155" s="6">
        <v>79.205299</v>
      </c>
      <c r="Q155" s="9"/>
      <c r="R155" s="10"/>
      <c r="Z155">
        <v>127</v>
      </c>
      <c r="AA155">
        <v>158.512810232757</v>
      </c>
      <c r="AB155">
        <v>-32.5687642327574</v>
      </c>
      <c r="AC155">
        <v>-1.81198685562479</v>
      </c>
      <c r="AE155">
        <v>49.2217898832684</v>
      </c>
      <c r="AF155">
        <v>162.003967</v>
      </c>
    </row>
    <row r="156" spans="2:32">
      <c r="B156" s="5">
        <v>154</v>
      </c>
      <c r="C156" s="6">
        <v>87.122337</v>
      </c>
      <c r="D156" s="6">
        <v>144.552643</v>
      </c>
      <c r="E156">
        <v>93.3392093953657</v>
      </c>
      <c r="F156">
        <v>158.215694100258</v>
      </c>
      <c r="G156" s="7">
        <f t="shared" si="5"/>
        <v>7.13579617976237</v>
      </c>
      <c r="H156" s="7">
        <f t="shared" si="5"/>
        <v>9.45195523008044</v>
      </c>
      <c r="J156">
        <v>128</v>
      </c>
      <c r="K156">
        <v>87.0014047295549</v>
      </c>
      <c r="L156">
        <v>-10.3595517295549</v>
      </c>
      <c r="M156">
        <v>-1.05235790656927</v>
      </c>
      <c r="N156">
        <v>49.6108949416342</v>
      </c>
      <c r="O156" s="6">
        <v>79.239594</v>
      </c>
      <c r="Q156" s="9"/>
      <c r="R156" s="10"/>
      <c r="Z156">
        <v>128</v>
      </c>
      <c r="AA156">
        <v>158.501805931553</v>
      </c>
      <c r="AB156">
        <v>-37.1181539315538</v>
      </c>
      <c r="AC156">
        <v>-2.06509545613603</v>
      </c>
      <c r="AE156">
        <v>49.6108949416342</v>
      </c>
      <c r="AF156">
        <v>162.121277</v>
      </c>
    </row>
    <row r="157" spans="2:32">
      <c r="B157" s="5">
        <v>155</v>
      </c>
      <c r="C157" s="6">
        <v>89.401787</v>
      </c>
      <c r="D157" s="6">
        <v>144.125061</v>
      </c>
      <c r="E157">
        <v>93.5829711132815</v>
      </c>
      <c r="F157">
        <v>158.204689799055</v>
      </c>
      <c r="G157" s="7">
        <f t="shared" si="5"/>
        <v>4.67684623941746</v>
      </c>
      <c r="H157" s="7">
        <f t="shared" si="5"/>
        <v>9.76903579527713</v>
      </c>
      <c r="J157">
        <v>129</v>
      </c>
      <c r="K157">
        <v>87.2451664474707</v>
      </c>
      <c r="L157">
        <v>-10.1324804474707</v>
      </c>
      <c r="M157">
        <v>-1.02929124641887</v>
      </c>
      <c r="N157">
        <v>50</v>
      </c>
      <c r="O157" s="6">
        <v>79.247643</v>
      </c>
      <c r="Q157" s="9"/>
      <c r="R157" s="10"/>
      <c r="Z157">
        <v>129</v>
      </c>
      <c r="AA157">
        <v>158.49080163035</v>
      </c>
      <c r="AB157">
        <v>-32.1551466303501</v>
      </c>
      <c r="AC157">
        <v>-1.7889749398683</v>
      </c>
      <c r="AE157">
        <v>50</v>
      </c>
      <c r="AF157">
        <v>162.679993</v>
      </c>
    </row>
    <row r="158" spans="2:32">
      <c r="B158" s="5">
        <v>156</v>
      </c>
      <c r="C158" s="6">
        <v>91.310051</v>
      </c>
      <c r="D158" s="6">
        <v>144.045517</v>
      </c>
      <c r="E158">
        <v>93.8267328311973</v>
      </c>
      <c r="F158">
        <v>158.193685497851</v>
      </c>
      <c r="G158" s="7">
        <f t="shared" si="5"/>
        <v>2.75619365407791</v>
      </c>
      <c r="H158" s="7">
        <f t="shared" si="5"/>
        <v>9.82201236977823</v>
      </c>
      <c r="J158">
        <v>130</v>
      </c>
      <c r="K158">
        <v>87.4889281653865</v>
      </c>
      <c r="L158">
        <v>-10.8321361653865</v>
      </c>
      <c r="M158">
        <v>-1.10036461386242</v>
      </c>
      <c r="N158">
        <v>50.3891050583657</v>
      </c>
      <c r="O158" s="6">
        <v>79.282524</v>
      </c>
      <c r="Q158" s="9"/>
      <c r="R158" s="10"/>
      <c r="Z158">
        <v>130</v>
      </c>
      <c r="AA158">
        <v>158.479797329146</v>
      </c>
      <c r="AB158">
        <v>-33.7749173291464</v>
      </c>
      <c r="AC158">
        <v>-1.87909205927663</v>
      </c>
      <c r="AE158">
        <v>50.3891050583657</v>
      </c>
      <c r="AF158">
        <v>162.79248</v>
      </c>
    </row>
    <row r="159" spans="2:32">
      <c r="B159" s="5">
        <v>157</v>
      </c>
      <c r="C159" s="6">
        <v>89.698242</v>
      </c>
      <c r="D159" s="6">
        <v>137.572128</v>
      </c>
      <c r="E159">
        <v>94.0704945491131</v>
      </c>
      <c r="F159">
        <v>158.182681196647</v>
      </c>
      <c r="G159" s="7">
        <f t="shared" si="5"/>
        <v>4.87440160657007</v>
      </c>
      <c r="H159" s="7">
        <f t="shared" si="5"/>
        <v>14.9816343588485</v>
      </c>
      <c r="J159">
        <v>131</v>
      </c>
      <c r="K159">
        <v>87.7326898833023</v>
      </c>
      <c r="L159">
        <v>-9.26977588330235</v>
      </c>
      <c r="M159">
        <v>-0.941654831944883</v>
      </c>
      <c r="N159">
        <v>50.7782101167315</v>
      </c>
      <c r="O159" s="6">
        <v>79.441963</v>
      </c>
      <c r="Q159" s="9"/>
      <c r="R159" s="10"/>
      <c r="Z159">
        <v>131</v>
      </c>
      <c r="AA159">
        <v>158.468793027942</v>
      </c>
      <c r="AB159">
        <v>-23.1936920279428</v>
      </c>
      <c r="AC159">
        <v>-1.29039790357694</v>
      </c>
      <c r="AE159">
        <v>50.7782101167315</v>
      </c>
      <c r="AF159">
        <v>163.679993</v>
      </c>
    </row>
    <row r="160" spans="2:32">
      <c r="B160" s="5">
        <v>158</v>
      </c>
      <c r="C160" s="6">
        <v>90.889038</v>
      </c>
      <c r="D160" s="6">
        <v>141.659012</v>
      </c>
      <c r="E160">
        <v>94.3142562670289</v>
      </c>
      <c r="F160">
        <v>158.171676895444</v>
      </c>
      <c r="G160" s="7">
        <f t="shared" si="5"/>
        <v>3.76857137274233</v>
      </c>
      <c r="H160" s="7">
        <f t="shared" si="5"/>
        <v>11.6566285916522</v>
      </c>
      <c r="J160">
        <v>132</v>
      </c>
      <c r="K160">
        <v>87.9764516012181</v>
      </c>
      <c r="L160">
        <v>-9.96693060121816</v>
      </c>
      <c r="M160">
        <v>-1.01247413944519</v>
      </c>
      <c r="N160">
        <v>51.1673151750972</v>
      </c>
      <c r="O160" s="6">
        <v>79.526665</v>
      </c>
      <c r="Q160" s="9"/>
      <c r="R160" s="10"/>
      <c r="Z160">
        <v>132</v>
      </c>
      <c r="AA160">
        <v>158.457788726739</v>
      </c>
      <c r="AB160">
        <v>-27.2496897267392</v>
      </c>
      <c r="AC160">
        <v>-1.51605628177452</v>
      </c>
      <c r="AE160">
        <v>51.1673151750972</v>
      </c>
      <c r="AF160">
        <v>164.134918</v>
      </c>
    </row>
    <row r="161" spans="2:32">
      <c r="B161" s="5">
        <v>159</v>
      </c>
      <c r="C161" s="6">
        <v>88.096405</v>
      </c>
      <c r="D161" s="6">
        <v>137.432907</v>
      </c>
      <c r="E161">
        <v>94.5580179849447</v>
      </c>
      <c r="F161">
        <v>158.16067259424</v>
      </c>
      <c r="G161" s="7">
        <f t="shared" si="5"/>
        <v>7.33470677372669</v>
      </c>
      <c r="H161" s="7">
        <f t="shared" si="5"/>
        <v>15.0820979099569</v>
      </c>
      <c r="J161">
        <v>133</v>
      </c>
      <c r="K161">
        <v>88.2202133191339</v>
      </c>
      <c r="L161">
        <v>-8.69354831913396</v>
      </c>
      <c r="M161">
        <v>-0.883119709097265</v>
      </c>
      <c r="N161">
        <v>51.556420233463</v>
      </c>
      <c r="O161" s="6">
        <v>79.622337</v>
      </c>
      <c r="Q161" s="9"/>
      <c r="R161" s="10"/>
      <c r="Z161">
        <v>133</v>
      </c>
      <c r="AA161">
        <v>158.446784425535</v>
      </c>
      <c r="AB161">
        <v>-23.1816174255355</v>
      </c>
      <c r="AC161">
        <v>-1.28972612430117</v>
      </c>
      <c r="AE161">
        <v>51.556420233463</v>
      </c>
      <c r="AF161">
        <v>164.270004</v>
      </c>
    </row>
    <row r="162" spans="2:32">
      <c r="B162" s="5">
        <v>160</v>
      </c>
      <c r="C162" s="6">
        <v>90.126732</v>
      </c>
      <c r="D162" s="6">
        <v>142.434631</v>
      </c>
      <c r="E162">
        <v>94.8017797028605</v>
      </c>
      <c r="F162">
        <v>158.149668293036</v>
      </c>
      <c r="G162" s="7">
        <f t="shared" si="5"/>
        <v>5.18719318798833</v>
      </c>
      <c r="H162" s="7">
        <f t="shared" si="5"/>
        <v>11.0331575844332</v>
      </c>
      <c r="J162">
        <v>134</v>
      </c>
      <c r="K162">
        <v>88.4639750370497</v>
      </c>
      <c r="L162">
        <v>-9.53022103704977</v>
      </c>
      <c r="M162">
        <v>-0.968111721579577</v>
      </c>
      <c r="N162">
        <v>51.9455252918287</v>
      </c>
      <c r="O162" s="6">
        <v>79.7379</v>
      </c>
      <c r="Q162" s="9"/>
      <c r="R162" s="10"/>
      <c r="Z162">
        <v>134</v>
      </c>
      <c r="AA162">
        <v>158.435780124331</v>
      </c>
      <c r="AB162">
        <v>-21.5199471243319</v>
      </c>
      <c r="AC162">
        <v>-1.19727789007757</v>
      </c>
      <c r="AE162">
        <v>51.9455252918287</v>
      </c>
      <c r="AF162">
        <v>164.270004</v>
      </c>
    </row>
    <row r="163" spans="2:32">
      <c r="B163" s="5">
        <v>161</v>
      </c>
      <c r="C163" s="6">
        <v>90.879066</v>
      </c>
      <c r="D163" s="6">
        <v>143.777023</v>
      </c>
      <c r="E163">
        <v>95.0455414207763</v>
      </c>
      <c r="F163">
        <v>158.138663991833</v>
      </c>
      <c r="G163" s="7">
        <f t="shared" si="5"/>
        <v>4.58463714930379</v>
      </c>
      <c r="H163" s="7">
        <f t="shared" si="5"/>
        <v>9.98882901604729</v>
      </c>
      <c r="J163">
        <v>135</v>
      </c>
      <c r="K163">
        <v>88.7077367549655</v>
      </c>
      <c r="L163">
        <v>-9.26577375496556</v>
      </c>
      <c r="M163">
        <v>-0.941248282365492</v>
      </c>
      <c r="N163">
        <v>52.3346303501945</v>
      </c>
      <c r="O163" s="6">
        <v>79.749702</v>
      </c>
      <c r="Q163" s="9"/>
      <c r="R163" s="10"/>
      <c r="Z163">
        <v>135</v>
      </c>
      <c r="AA163">
        <v>158.424775823128</v>
      </c>
      <c r="AB163">
        <v>-20.0273298231282</v>
      </c>
      <c r="AC163">
        <v>-1.11423504230692</v>
      </c>
      <c r="AE163">
        <v>52.3346303501945</v>
      </c>
      <c r="AF163">
        <v>164.509995</v>
      </c>
    </row>
    <row r="164" spans="2:32">
      <c r="B164" s="5">
        <v>162</v>
      </c>
      <c r="C164" s="6">
        <v>90.707176</v>
      </c>
      <c r="D164" s="6">
        <v>143.299728</v>
      </c>
      <c r="E164">
        <v>95.2893031386921</v>
      </c>
      <c r="F164">
        <v>158.127659690629</v>
      </c>
      <c r="G164" s="7">
        <f t="shared" si="5"/>
        <v>5.05155968993247</v>
      </c>
      <c r="H164" s="7">
        <f t="shared" si="5"/>
        <v>10.34749465165</v>
      </c>
      <c r="J164">
        <v>136</v>
      </c>
      <c r="K164">
        <v>88.9514984728813</v>
      </c>
      <c r="L164">
        <v>-10.0476364728813</v>
      </c>
      <c r="M164">
        <v>-1.02067251176559</v>
      </c>
      <c r="N164">
        <v>52.7237354085603</v>
      </c>
      <c r="O164" s="6">
        <v>79.951775</v>
      </c>
      <c r="Q164" s="9"/>
      <c r="R164" s="10"/>
      <c r="Z164">
        <v>136</v>
      </c>
      <c r="AA164">
        <v>158.413771521924</v>
      </c>
      <c r="AB164">
        <v>-14.2887105219246</v>
      </c>
      <c r="AC164">
        <v>-0.794962789024523</v>
      </c>
      <c r="AE164">
        <v>52.7237354085603</v>
      </c>
      <c r="AF164">
        <v>164.529999</v>
      </c>
    </row>
    <row r="165" spans="2:32">
      <c r="B165" s="5">
        <v>163</v>
      </c>
      <c r="C165" s="6">
        <v>90.707176</v>
      </c>
      <c r="D165" s="6">
        <v>144.20462</v>
      </c>
      <c r="E165">
        <v>95.5330648566079</v>
      </c>
      <c r="F165">
        <v>158.116655389426</v>
      </c>
      <c r="G165" s="7">
        <f t="shared" si="5"/>
        <v>5.32029445675598</v>
      </c>
      <c r="H165" s="7">
        <f t="shared" si="5"/>
        <v>9.64742696137336</v>
      </c>
      <c r="J165">
        <v>137</v>
      </c>
      <c r="K165">
        <v>89.1952601907971</v>
      </c>
      <c r="L165">
        <v>-9.94761719079717</v>
      </c>
      <c r="M165">
        <v>-1.01051221863144</v>
      </c>
      <c r="N165">
        <v>53.112840466926</v>
      </c>
      <c r="O165" s="6">
        <v>80.057739</v>
      </c>
      <c r="Q165" s="9"/>
      <c r="R165" s="10"/>
      <c r="Z165">
        <v>137</v>
      </c>
      <c r="AA165">
        <v>158.40276722072</v>
      </c>
      <c r="AB165">
        <v>-10.6482352207209</v>
      </c>
      <c r="AC165">
        <v>-0.592422301247187</v>
      </c>
      <c r="AE165">
        <v>53.112840466926</v>
      </c>
      <c r="AF165">
        <v>164.600006</v>
      </c>
    </row>
    <row r="166" spans="2:32">
      <c r="B166" s="5">
        <v>164</v>
      </c>
      <c r="C166" s="6">
        <v>93.133614</v>
      </c>
      <c r="D166" s="6">
        <v>146.392242</v>
      </c>
      <c r="E166">
        <v>95.7768265745238</v>
      </c>
      <c r="F166">
        <v>158.105651088222</v>
      </c>
      <c r="G166" s="7">
        <f t="shared" si="5"/>
        <v>2.83808655221283</v>
      </c>
      <c r="H166" s="7">
        <f t="shared" si="5"/>
        <v>8.00138649985427</v>
      </c>
      <c r="J166">
        <v>138</v>
      </c>
      <c r="K166">
        <v>89.4390219087129</v>
      </c>
      <c r="L166">
        <v>-10.1564979087129</v>
      </c>
      <c r="M166">
        <v>-1.03173102044518</v>
      </c>
      <c r="N166">
        <v>53.5019455252918</v>
      </c>
      <c r="O166" s="6">
        <v>80.077461</v>
      </c>
      <c r="Q166" s="9"/>
      <c r="R166" s="10"/>
      <c r="Z166">
        <v>138</v>
      </c>
      <c r="AA166">
        <v>158.391762919517</v>
      </c>
      <c r="AB166">
        <v>-11.6614319195172</v>
      </c>
      <c r="AC166">
        <v>-0.648792235557894</v>
      </c>
      <c r="AE166">
        <v>53.5019455252918</v>
      </c>
      <c r="AF166">
        <v>164.610001</v>
      </c>
    </row>
    <row r="167" spans="2:32">
      <c r="B167" s="5">
        <v>165</v>
      </c>
      <c r="C167" s="6">
        <v>92.844635</v>
      </c>
      <c r="D167" s="6">
        <v>144.154892</v>
      </c>
      <c r="E167">
        <v>96.0205882924395</v>
      </c>
      <c r="F167">
        <v>158.094646787018</v>
      </c>
      <c r="G167" s="7">
        <f t="shared" si="5"/>
        <v>3.42071816259443</v>
      </c>
      <c r="H167" s="7">
        <f t="shared" si="5"/>
        <v>9.66998385806985</v>
      </c>
      <c r="J167">
        <v>139</v>
      </c>
      <c r="K167">
        <v>89.6827836266287</v>
      </c>
      <c r="L167">
        <v>-10.4774846266287</v>
      </c>
      <c r="M167">
        <v>-1.0643379246164</v>
      </c>
      <c r="N167">
        <v>53.8910505836575</v>
      </c>
      <c r="O167" s="6">
        <v>80.179359</v>
      </c>
      <c r="Q167" s="9"/>
      <c r="R167" s="10"/>
      <c r="Z167">
        <v>139</v>
      </c>
      <c r="AA167">
        <v>158.380758618313</v>
      </c>
      <c r="AB167">
        <v>-13.3508056183136</v>
      </c>
      <c r="AC167">
        <v>-0.742781768429957</v>
      </c>
      <c r="AE167">
        <v>53.8910505836575</v>
      </c>
      <c r="AF167">
        <v>164.639999</v>
      </c>
    </row>
    <row r="168" spans="2:32">
      <c r="B168" s="5">
        <v>166</v>
      </c>
      <c r="C168" s="6">
        <v>95.006996</v>
      </c>
      <c r="D168" s="6">
        <v>144.771408</v>
      </c>
      <c r="E168">
        <v>96.2643500103553</v>
      </c>
      <c r="F168">
        <v>158.083642485815</v>
      </c>
      <c r="G168" s="7">
        <f t="shared" si="5"/>
        <v>1.32343307681815</v>
      </c>
      <c r="H168" s="7">
        <f t="shared" si="5"/>
        <v>9.19534780363191</v>
      </c>
      <c r="J168">
        <v>140</v>
      </c>
      <c r="K168">
        <v>89.9265453445445</v>
      </c>
      <c r="L168">
        <v>-9.74718634454456</v>
      </c>
      <c r="M168">
        <v>-0.990151783037254</v>
      </c>
      <c r="N168">
        <v>54.2801556420233</v>
      </c>
      <c r="O168" s="6">
        <v>80.296448</v>
      </c>
      <c r="Q168" s="9"/>
      <c r="R168" s="10"/>
      <c r="Z168">
        <v>140</v>
      </c>
      <c r="AA168">
        <v>158.36975431711</v>
      </c>
      <c r="AB168">
        <v>-13.0116613171099</v>
      </c>
      <c r="AC168">
        <v>-0.723913228882393</v>
      </c>
      <c r="AE168">
        <v>54.2801556420233</v>
      </c>
      <c r="AF168">
        <v>164.743652</v>
      </c>
    </row>
    <row r="169" spans="2:32">
      <c r="B169" s="5">
        <v>167</v>
      </c>
      <c r="C169" s="6">
        <v>95.415558</v>
      </c>
      <c r="D169" s="6">
        <v>140.575134</v>
      </c>
      <c r="E169">
        <v>96.5081117282711</v>
      </c>
      <c r="F169">
        <v>158.072638184611</v>
      </c>
      <c r="G169" s="7">
        <f t="shared" si="5"/>
        <v>1.14504777959911</v>
      </c>
      <c r="H169" s="7">
        <f t="shared" si="5"/>
        <v>12.4470834113599</v>
      </c>
      <c r="J169">
        <v>141</v>
      </c>
      <c r="K169">
        <v>90.1703070624603</v>
      </c>
      <c r="L169">
        <v>-9.61976206246038</v>
      </c>
      <c r="M169">
        <v>-0.977207598362001</v>
      </c>
      <c r="N169">
        <v>54.6692607003891</v>
      </c>
      <c r="O169" s="6">
        <v>80.550545</v>
      </c>
      <c r="Q169" s="9"/>
      <c r="R169" s="10"/>
      <c r="Z169">
        <v>141</v>
      </c>
      <c r="AA169">
        <v>158.358750015906</v>
      </c>
      <c r="AB169">
        <v>-10.8428500159063</v>
      </c>
      <c r="AC169">
        <v>-0.603249836743035</v>
      </c>
      <c r="AE169">
        <v>54.6692607003891</v>
      </c>
      <c r="AF169">
        <v>164.949997</v>
      </c>
    </row>
    <row r="170" spans="2:32">
      <c r="B170" s="5">
        <v>168</v>
      </c>
      <c r="C170" s="6">
        <v>95.582466</v>
      </c>
      <c r="D170" s="6">
        <v>141.649063</v>
      </c>
      <c r="E170">
        <v>96.7518734461869</v>
      </c>
      <c r="F170">
        <v>158.061633883407</v>
      </c>
      <c r="G170" s="7">
        <f t="shared" si="5"/>
        <v>1.22345393995893</v>
      </c>
      <c r="H170" s="7">
        <f t="shared" si="5"/>
        <v>11.5867839403971</v>
      </c>
      <c r="J170">
        <v>142</v>
      </c>
      <c r="K170">
        <v>90.4140687803761</v>
      </c>
      <c r="L170">
        <v>-9.42008878037617</v>
      </c>
      <c r="M170">
        <v>-0.956924118669297</v>
      </c>
      <c r="N170">
        <v>55.0583657587548</v>
      </c>
      <c r="O170" s="6">
        <v>80.631927</v>
      </c>
      <c r="Q170" s="9"/>
      <c r="R170" s="10"/>
      <c r="Z170">
        <v>142</v>
      </c>
      <c r="AA170">
        <v>158.347745714702</v>
      </c>
      <c r="AB170">
        <v>-5.85995271470267</v>
      </c>
      <c r="AC170">
        <v>-0.326022725877464</v>
      </c>
      <c r="AE170">
        <v>55.0583657587548</v>
      </c>
      <c r="AF170">
        <v>165.309998</v>
      </c>
    </row>
    <row r="171" spans="2:32">
      <c r="B171" s="5">
        <v>169</v>
      </c>
      <c r="C171" s="6">
        <v>95.141525</v>
      </c>
      <c r="D171" s="6">
        <v>142.683228</v>
      </c>
      <c r="E171">
        <v>96.9956351641028</v>
      </c>
      <c r="F171">
        <v>158.050629582204</v>
      </c>
      <c r="G171" s="7">
        <f t="shared" si="5"/>
        <v>1.94879172275491</v>
      </c>
      <c r="H171" s="7">
        <f t="shared" si="5"/>
        <v>10.7702929052068</v>
      </c>
      <c r="J171">
        <v>143</v>
      </c>
      <c r="K171">
        <v>90.6578304982919</v>
      </c>
      <c r="L171">
        <v>-10.3613824982919</v>
      </c>
      <c r="M171">
        <v>-1.05254388217958</v>
      </c>
      <c r="N171">
        <v>55.4474708171206</v>
      </c>
      <c r="O171" s="6">
        <v>80.99398</v>
      </c>
      <c r="Q171" s="9"/>
      <c r="R171" s="10"/>
      <c r="Z171">
        <v>143</v>
      </c>
      <c r="AA171">
        <v>158.336741413499</v>
      </c>
      <c r="AB171">
        <v>-3.30335541349901</v>
      </c>
      <c r="AC171">
        <v>-0.183784577945297</v>
      </c>
      <c r="AE171">
        <v>55.4474708171206</v>
      </c>
      <c r="AF171">
        <v>165.550003</v>
      </c>
    </row>
    <row r="172" spans="2:32">
      <c r="B172" s="5">
        <v>170</v>
      </c>
      <c r="C172" s="6">
        <v>96.715965</v>
      </c>
      <c r="D172" s="6">
        <v>147.267303</v>
      </c>
      <c r="E172">
        <v>97.2393968820186</v>
      </c>
      <c r="F172">
        <v>158.039625281</v>
      </c>
      <c r="G172" s="7">
        <f t="shared" si="5"/>
        <v>0.541205251913269</v>
      </c>
      <c r="H172" s="7">
        <f t="shared" si="5"/>
        <v>7.31480923569301</v>
      </c>
      <c r="J172">
        <v>144</v>
      </c>
      <c r="K172">
        <v>90.9015922162077</v>
      </c>
      <c r="L172">
        <v>-8.31821821620776</v>
      </c>
      <c r="M172">
        <v>-0.84499242215482</v>
      </c>
      <c r="N172">
        <v>55.8365758754863</v>
      </c>
      <c r="O172" s="6">
        <v>82.583374</v>
      </c>
      <c r="Q172" s="9"/>
      <c r="R172" s="10"/>
      <c r="Z172">
        <v>144</v>
      </c>
      <c r="AA172">
        <v>158.325737112295</v>
      </c>
      <c r="AB172">
        <v>2.13693988770464</v>
      </c>
      <c r="AC172">
        <v>0.118890202898352</v>
      </c>
      <c r="AE172">
        <v>55.8365758754863</v>
      </c>
      <c r="AF172">
        <v>165.610001</v>
      </c>
    </row>
    <row r="173" spans="2:32">
      <c r="B173" s="5">
        <v>171</v>
      </c>
      <c r="C173" s="6">
        <v>97.381111</v>
      </c>
      <c r="D173" s="6">
        <v>151.07576</v>
      </c>
      <c r="E173">
        <v>97.4831585999344</v>
      </c>
      <c r="F173">
        <v>158.028620979796</v>
      </c>
      <c r="G173" s="7">
        <f t="shared" si="5"/>
        <v>0.104791985721332</v>
      </c>
      <c r="H173" s="7">
        <f t="shared" si="5"/>
        <v>4.60223465352482</v>
      </c>
      <c r="J173">
        <v>145</v>
      </c>
      <c r="K173">
        <v>91.1453539341235</v>
      </c>
      <c r="L173">
        <v>-8.07371393412357</v>
      </c>
      <c r="M173">
        <v>-0.820154859569243</v>
      </c>
      <c r="N173">
        <v>56.2256809338521</v>
      </c>
      <c r="O173" s="6">
        <v>83.07164</v>
      </c>
      <c r="Q173" s="9"/>
      <c r="R173" s="10"/>
      <c r="Z173">
        <v>145</v>
      </c>
      <c r="AA173">
        <v>158.314732811091</v>
      </c>
      <c r="AB173">
        <v>3.68923418890824</v>
      </c>
      <c r="AC173">
        <v>0.205253223912614</v>
      </c>
      <c r="AE173">
        <v>56.2256809338521</v>
      </c>
      <c r="AF173">
        <v>165.75</v>
      </c>
    </row>
    <row r="174" spans="2:32">
      <c r="B174" s="5">
        <v>172</v>
      </c>
      <c r="C174" s="6">
        <v>96.182846</v>
      </c>
      <c r="D174" s="6">
        <v>152.219299</v>
      </c>
      <c r="E174">
        <v>97.7269203178501</v>
      </c>
      <c r="F174">
        <v>158.017616678593</v>
      </c>
      <c r="G174" s="7">
        <f t="shared" si="5"/>
        <v>1.60535311863209</v>
      </c>
      <c r="H174" s="7">
        <f t="shared" si="5"/>
        <v>3.8091869537469</v>
      </c>
      <c r="J174">
        <v>146</v>
      </c>
      <c r="K174">
        <v>91.3891156520393</v>
      </c>
      <c r="L174">
        <v>-5.69423765203937</v>
      </c>
      <c r="M174">
        <v>-0.578439701972077</v>
      </c>
      <c r="N174">
        <v>56.6147859922179</v>
      </c>
      <c r="O174" s="6">
        <v>83.679497</v>
      </c>
      <c r="Q174" s="9"/>
      <c r="R174" s="10"/>
      <c r="Z174">
        <v>146</v>
      </c>
      <c r="AA174">
        <v>158.303728509888</v>
      </c>
      <c r="AB174">
        <v>-1.09265350988809</v>
      </c>
      <c r="AC174">
        <v>-0.0607905717122105</v>
      </c>
      <c r="AE174">
        <v>56.6147859922179</v>
      </c>
      <c r="AF174">
        <v>165.990005</v>
      </c>
    </row>
    <row r="175" spans="2:32">
      <c r="B175" s="5">
        <v>173</v>
      </c>
      <c r="C175" s="6">
        <v>95.988533</v>
      </c>
      <c r="D175" s="6">
        <v>154.12851</v>
      </c>
      <c r="E175">
        <v>97.970682035766</v>
      </c>
      <c r="F175">
        <v>158.006612377389</v>
      </c>
      <c r="G175" s="7">
        <f t="shared" si="5"/>
        <v>2.06498523710744</v>
      </c>
      <c r="H175" s="7">
        <f t="shared" si="5"/>
        <v>2.51614861999833</v>
      </c>
      <c r="J175">
        <v>147</v>
      </c>
      <c r="K175">
        <v>91.6328773699551</v>
      </c>
      <c r="L175">
        <v>-3.73328736995516</v>
      </c>
      <c r="M175">
        <v>-0.379239814987274</v>
      </c>
      <c r="N175">
        <v>57.0038910505836</v>
      </c>
      <c r="O175" s="6">
        <v>84.401947</v>
      </c>
      <c r="Q175" s="9"/>
      <c r="R175" s="10"/>
      <c r="Z175">
        <v>147</v>
      </c>
      <c r="AA175">
        <v>158.292724208684</v>
      </c>
      <c r="AB175">
        <v>-5.03927620868444</v>
      </c>
      <c r="AC175">
        <v>-0.280363792336183</v>
      </c>
      <c r="AE175">
        <v>57.0038910505836</v>
      </c>
      <c r="AF175">
        <v>166.300003</v>
      </c>
    </row>
    <row r="176" spans="2:32">
      <c r="B176" s="5">
        <v>174</v>
      </c>
      <c r="C176" s="6">
        <v>98.011391</v>
      </c>
      <c r="D176" s="6">
        <v>152.527557</v>
      </c>
      <c r="E176">
        <v>98.2144437536817</v>
      </c>
      <c r="F176">
        <v>157.995608076185</v>
      </c>
      <c r="G176" s="7">
        <f t="shared" si="5"/>
        <v>0.20717260678578</v>
      </c>
      <c r="H176" s="7">
        <f t="shared" si="5"/>
        <v>3.58495945502162</v>
      </c>
      <c r="J176">
        <v>148</v>
      </c>
      <c r="K176">
        <v>91.8766390878709</v>
      </c>
      <c r="L176">
        <v>-8.19714208787098</v>
      </c>
      <c r="M176">
        <v>-0.832693104165171</v>
      </c>
      <c r="N176">
        <v>57.3929961089494</v>
      </c>
      <c r="O176" s="6">
        <v>85.445755</v>
      </c>
      <c r="Q176" s="9"/>
      <c r="R176" s="10"/>
      <c r="Z176">
        <v>148</v>
      </c>
      <c r="AA176">
        <v>158.28171990748</v>
      </c>
      <c r="AB176">
        <v>-15.6482209074807</v>
      </c>
      <c r="AC176">
        <v>-0.870600136855962</v>
      </c>
      <c r="AE176">
        <v>57.3929961089494</v>
      </c>
      <c r="AF176">
        <v>166.449997</v>
      </c>
    </row>
    <row r="177" spans="2:32">
      <c r="B177" s="5">
        <v>175</v>
      </c>
      <c r="C177" s="6">
        <v>96.658661</v>
      </c>
      <c r="D177" s="6">
        <v>153.889847</v>
      </c>
      <c r="E177">
        <v>98.4582054715976</v>
      </c>
      <c r="F177">
        <v>157.984603774982</v>
      </c>
      <c r="G177" s="7">
        <f t="shared" si="5"/>
        <v>1.86175191439658</v>
      </c>
      <c r="H177" s="7">
        <f t="shared" si="5"/>
        <v>2.66083621161959</v>
      </c>
      <c r="J177">
        <v>149</v>
      </c>
      <c r="K177">
        <v>92.1204008057867</v>
      </c>
      <c r="L177">
        <v>-7.71845380578676</v>
      </c>
      <c r="M177">
        <v>-0.784066347758692</v>
      </c>
      <c r="N177">
        <v>57.7821011673151</v>
      </c>
      <c r="O177" s="6">
        <v>85.694878</v>
      </c>
      <c r="Q177" s="9"/>
      <c r="R177" s="10"/>
      <c r="Z177">
        <v>149</v>
      </c>
      <c r="AA177">
        <v>158.270715606277</v>
      </c>
      <c r="AB177">
        <v>-14.5732366062771</v>
      </c>
      <c r="AC177">
        <v>-0.810792604403599</v>
      </c>
      <c r="AE177">
        <v>57.7821011673151</v>
      </c>
      <c r="AF177">
        <v>166.690002</v>
      </c>
    </row>
    <row r="178" spans="2:32">
      <c r="B178" s="5">
        <v>176</v>
      </c>
      <c r="C178" s="6">
        <v>96.930199</v>
      </c>
      <c r="D178" s="6">
        <v>153.740692</v>
      </c>
      <c r="E178">
        <v>98.7019671895134</v>
      </c>
      <c r="F178">
        <v>157.973599473778</v>
      </c>
      <c r="G178" s="7">
        <f t="shared" si="5"/>
        <v>1.82788048285488</v>
      </c>
      <c r="H178" s="7">
        <f t="shared" si="5"/>
        <v>2.75327723500685</v>
      </c>
      <c r="J178">
        <v>150</v>
      </c>
      <c r="K178">
        <v>92.3641625237025</v>
      </c>
      <c r="L178">
        <v>-6.91840752370256</v>
      </c>
      <c r="M178">
        <v>-0.702794971105329</v>
      </c>
      <c r="N178">
        <v>58.1712062256809</v>
      </c>
      <c r="O178" s="6">
        <v>87.122337</v>
      </c>
      <c r="Q178" s="9"/>
      <c r="R178" s="10"/>
      <c r="Z178">
        <v>150</v>
      </c>
      <c r="AA178">
        <v>158.259711305073</v>
      </c>
      <c r="AB178">
        <v>-12.4541383050734</v>
      </c>
      <c r="AC178">
        <v>-0.692895031130129</v>
      </c>
      <c r="AE178">
        <v>58.1712062256809</v>
      </c>
      <c r="AF178">
        <v>166.75</v>
      </c>
    </row>
    <row r="179" spans="2:32">
      <c r="B179" s="5">
        <v>177</v>
      </c>
      <c r="C179" s="6">
        <v>92.518288</v>
      </c>
      <c r="D179" s="6">
        <v>152.865631</v>
      </c>
      <c r="E179">
        <v>98.9457289074292</v>
      </c>
      <c r="F179">
        <v>157.962595172574</v>
      </c>
      <c r="G179" s="7">
        <f t="shared" si="5"/>
        <v>6.94721124479649</v>
      </c>
      <c r="H179" s="7">
        <f t="shared" si="5"/>
        <v>3.33427739069352</v>
      </c>
      <c r="J179">
        <v>151</v>
      </c>
      <c r="K179">
        <v>92.6079242416183</v>
      </c>
      <c r="L179">
        <v>-4.89766624161838</v>
      </c>
      <c r="M179">
        <v>-0.497521314402079</v>
      </c>
      <c r="N179">
        <v>58.5603112840466</v>
      </c>
      <c r="O179" s="6">
        <v>87.588196</v>
      </c>
      <c r="Q179" s="9"/>
      <c r="R179" s="10"/>
      <c r="Z179">
        <v>151</v>
      </c>
      <c r="AA179">
        <v>158.248707003869</v>
      </c>
      <c r="AB179">
        <v>-9.97708500386983</v>
      </c>
      <c r="AC179">
        <v>-0.555082371417711</v>
      </c>
      <c r="AE179">
        <v>58.5603112840466</v>
      </c>
      <c r="AF179">
        <v>166.889999</v>
      </c>
    </row>
    <row r="180" spans="2:32">
      <c r="B180" s="5">
        <v>178</v>
      </c>
      <c r="C180" s="6">
        <v>92.289093</v>
      </c>
      <c r="D180" s="6">
        <v>148.589813</v>
      </c>
      <c r="E180">
        <v>99.189490625345</v>
      </c>
      <c r="F180">
        <v>157.951590871371</v>
      </c>
      <c r="G180" s="7">
        <f t="shared" si="5"/>
        <v>7.47693730758087</v>
      </c>
      <c r="H180" s="7">
        <f t="shared" si="5"/>
        <v>6.30041702210838</v>
      </c>
      <c r="J180">
        <v>152</v>
      </c>
      <c r="K180">
        <v>92.8516859595341</v>
      </c>
      <c r="L180">
        <v>-5.26348995953418</v>
      </c>
      <c r="M180">
        <v>-0.534682910966239</v>
      </c>
      <c r="N180">
        <v>58.9494163424124</v>
      </c>
      <c r="O180" s="6">
        <v>87.623077</v>
      </c>
      <c r="Q180" s="9"/>
      <c r="R180" s="10"/>
      <c r="Z180">
        <v>152</v>
      </c>
      <c r="AA180">
        <v>158.237702702666</v>
      </c>
      <c r="AB180">
        <v>-10.7317517026661</v>
      </c>
      <c r="AC180">
        <v>-0.597068801385519</v>
      </c>
      <c r="AE180">
        <v>58.9494163424124</v>
      </c>
      <c r="AF180">
        <v>167.970001</v>
      </c>
    </row>
    <row r="181" spans="2:32">
      <c r="B181" s="5">
        <v>179</v>
      </c>
      <c r="C181" s="6">
        <v>94.476364</v>
      </c>
      <c r="D181" s="6">
        <v>149.912338</v>
      </c>
      <c r="E181">
        <v>99.4332523432607</v>
      </c>
      <c r="F181">
        <v>157.940586570167</v>
      </c>
      <c r="G181" s="7">
        <f t="shared" si="5"/>
        <v>5.24669677514336</v>
      </c>
      <c r="H181" s="7">
        <f t="shared" si="5"/>
        <v>5.35529541949175</v>
      </c>
      <c r="J181">
        <v>153</v>
      </c>
      <c r="K181">
        <v>93.0954476774499</v>
      </c>
      <c r="L181">
        <v>-5.47237067744998</v>
      </c>
      <c r="M181">
        <v>-0.555901712779974</v>
      </c>
      <c r="N181">
        <v>59.3385214007782</v>
      </c>
      <c r="O181" s="6">
        <v>87.710258</v>
      </c>
      <c r="Q181" s="9"/>
      <c r="R181" s="10"/>
      <c r="Z181">
        <v>153</v>
      </c>
      <c r="AA181">
        <v>158.226698401462</v>
      </c>
      <c r="AB181">
        <v>-10.8301374014625</v>
      </c>
      <c r="AC181">
        <v>-0.602542561204173</v>
      </c>
      <c r="AE181">
        <v>59.3385214007782</v>
      </c>
      <c r="AF181">
        <v>168.199554</v>
      </c>
    </row>
    <row r="182" spans="2:32">
      <c r="B182" s="5">
        <v>180</v>
      </c>
      <c r="C182" s="6">
        <v>92.924355</v>
      </c>
      <c r="D182" s="6">
        <v>151.155304</v>
      </c>
      <c r="E182">
        <v>99.6770140611766</v>
      </c>
      <c r="F182">
        <v>157.929582268963</v>
      </c>
      <c r="G182" s="7">
        <f t="shared" si="5"/>
        <v>7.26683447108845</v>
      </c>
      <c r="H182" s="7">
        <f t="shared" si="5"/>
        <v>4.48166758935763</v>
      </c>
      <c r="J182">
        <v>154</v>
      </c>
      <c r="K182">
        <v>93.3392093953657</v>
      </c>
      <c r="L182">
        <v>-6.21687239536578</v>
      </c>
      <c r="M182">
        <v>-0.631530686866553</v>
      </c>
      <c r="N182">
        <v>59.7276264591439</v>
      </c>
      <c r="O182" s="6">
        <v>87.89959</v>
      </c>
      <c r="Q182" s="9"/>
      <c r="R182" s="10"/>
      <c r="Z182">
        <v>154</v>
      </c>
      <c r="AA182">
        <v>158.215694100258</v>
      </c>
      <c r="AB182">
        <v>-13.6630511002588</v>
      </c>
      <c r="AC182">
        <v>-0.76015377262912</v>
      </c>
      <c r="AE182">
        <v>59.7276264591439</v>
      </c>
      <c r="AF182">
        <v>168.300003</v>
      </c>
    </row>
    <row r="183" spans="2:32">
      <c r="B183" s="5">
        <v>181</v>
      </c>
      <c r="C183" s="6">
        <v>94.705559</v>
      </c>
      <c r="D183" s="6">
        <v>153.710861</v>
      </c>
      <c r="E183">
        <v>99.9207757790924</v>
      </c>
      <c r="F183">
        <v>157.91857796776</v>
      </c>
      <c r="G183" s="7">
        <f t="shared" si="5"/>
        <v>5.50676943799297</v>
      </c>
      <c r="H183" s="7">
        <f t="shared" si="5"/>
        <v>2.73742332870024</v>
      </c>
      <c r="J183">
        <v>155</v>
      </c>
      <c r="K183">
        <v>93.5829711132815</v>
      </c>
      <c r="L183">
        <v>-4.18118411328158</v>
      </c>
      <c r="M183">
        <v>-0.424738663921198</v>
      </c>
      <c r="N183">
        <v>60.1167315175097</v>
      </c>
      <c r="O183" s="6">
        <v>88.096405</v>
      </c>
      <c r="Q183" s="9"/>
      <c r="R183" s="10"/>
      <c r="Z183">
        <v>155</v>
      </c>
      <c r="AA183">
        <v>158.204689799055</v>
      </c>
      <c r="AB183">
        <v>-14.0796287990552</v>
      </c>
      <c r="AC183">
        <v>-0.783330375498387</v>
      </c>
      <c r="AE183">
        <v>60.1167315175097</v>
      </c>
      <c r="AF183">
        <v>168.380005</v>
      </c>
    </row>
    <row r="184" spans="2:32">
      <c r="B184" s="5">
        <v>182</v>
      </c>
      <c r="C184" s="6">
        <v>95.851517</v>
      </c>
      <c r="D184" s="6">
        <v>148.321335</v>
      </c>
      <c r="E184">
        <v>100.164537497008</v>
      </c>
      <c r="F184">
        <v>157.907573666556</v>
      </c>
      <c r="G184" s="7">
        <f t="shared" si="5"/>
        <v>4.49968934451814</v>
      </c>
      <c r="H184" s="7">
        <f t="shared" si="5"/>
        <v>6.46315559832036</v>
      </c>
      <c r="J184">
        <v>156</v>
      </c>
      <c r="K184">
        <v>93.8267328311973</v>
      </c>
      <c r="L184">
        <v>-2.51668183119737</v>
      </c>
      <c r="M184">
        <v>-0.255652956085346</v>
      </c>
      <c r="N184">
        <v>60.5058365758754</v>
      </c>
      <c r="O184" s="6">
        <v>89.401787</v>
      </c>
      <c r="Q184" s="9"/>
      <c r="R184" s="10"/>
      <c r="Z184">
        <v>156</v>
      </c>
      <c r="AA184">
        <v>158.193685497851</v>
      </c>
      <c r="AB184">
        <v>-14.1481684978515</v>
      </c>
      <c r="AC184">
        <v>-0.787143631427285</v>
      </c>
      <c r="AE184">
        <v>60.5058365758754</v>
      </c>
      <c r="AF184">
        <v>168.470001</v>
      </c>
    </row>
    <row r="185" spans="2:32">
      <c r="B185" s="5">
        <v>183</v>
      </c>
      <c r="C185" s="6">
        <v>105.886086</v>
      </c>
      <c r="D185" s="6">
        <v>148.530151</v>
      </c>
      <c r="E185">
        <v>100.408299214924</v>
      </c>
      <c r="F185">
        <v>157.896569365353</v>
      </c>
      <c r="G185" s="7">
        <f t="shared" si="5"/>
        <v>5.1732829043053</v>
      </c>
      <c r="H185" s="7">
        <f t="shared" si="5"/>
        <v>6.30607206839305</v>
      </c>
      <c r="J185">
        <v>157</v>
      </c>
      <c r="K185">
        <v>94.0704945491131</v>
      </c>
      <c r="L185">
        <v>-4.37225254911319</v>
      </c>
      <c r="M185">
        <v>-0.44414803455734</v>
      </c>
      <c r="N185">
        <v>60.8949416342412</v>
      </c>
      <c r="O185" s="6">
        <v>89.698242</v>
      </c>
      <c r="Q185" s="9"/>
      <c r="R185" s="10"/>
      <c r="Z185">
        <v>157</v>
      </c>
      <c r="AA185">
        <v>158.182681196647</v>
      </c>
      <c r="AB185">
        <v>-20.6105531966479</v>
      </c>
      <c r="AC185">
        <v>-1.14668309833871</v>
      </c>
      <c r="AE185">
        <v>60.8949416342412</v>
      </c>
      <c r="AF185">
        <v>168.699997</v>
      </c>
    </row>
    <row r="186" spans="2:32">
      <c r="B186" s="5">
        <v>184</v>
      </c>
      <c r="C186" s="6">
        <v>108.554153</v>
      </c>
      <c r="D186" s="6">
        <v>147.694885</v>
      </c>
      <c r="E186">
        <v>100.652060932839</v>
      </c>
      <c r="F186">
        <v>157.885565064149</v>
      </c>
      <c r="G186" s="7">
        <f t="shared" si="5"/>
        <v>7.27940097064826</v>
      </c>
      <c r="H186" s="7">
        <f t="shared" si="5"/>
        <v>6.89981922132849</v>
      </c>
      <c r="J186">
        <v>158</v>
      </c>
      <c r="K186">
        <v>94.3142562670289</v>
      </c>
      <c r="L186">
        <v>-3.42521826702898</v>
      </c>
      <c r="M186">
        <v>-0.347945125342629</v>
      </c>
      <c r="N186">
        <v>61.284046692607</v>
      </c>
      <c r="O186" s="6">
        <v>90.126732</v>
      </c>
      <c r="Q186" s="9"/>
      <c r="R186" s="10"/>
      <c r="Z186">
        <v>158</v>
      </c>
      <c r="AA186">
        <v>158.171676895444</v>
      </c>
      <c r="AB186">
        <v>-16.5126648954442</v>
      </c>
      <c r="AC186">
        <v>-0.918694106047409</v>
      </c>
      <c r="AE186">
        <v>61.284046692607</v>
      </c>
      <c r="AF186">
        <v>168.720001</v>
      </c>
    </row>
    <row r="187" spans="2:32">
      <c r="B187" s="5">
        <v>185</v>
      </c>
      <c r="C187" s="6">
        <v>109.279099</v>
      </c>
      <c r="D187" s="6">
        <v>146.501633</v>
      </c>
      <c r="E187">
        <v>100.895822650755</v>
      </c>
      <c r="F187">
        <v>157.874560762945</v>
      </c>
      <c r="G187" s="7">
        <f t="shared" si="5"/>
        <v>7.67143619041461</v>
      </c>
      <c r="H187" s="7">
        <f t="shared" si="5"/>
        <v>7.76300409084519</v>
      </c>
      <c r="J187">
        <v>159</v>
      </c>
      <c r="K187">
        <v>94.5580179849447</v>
      </c>
      <c r="L187">
        <v>-6.46161298494477</v>
      </c>
      <c r="M187">
        <v>-0.656392254357654</v>
      </c>
      <c r="N187">
        <v>61.6731517509727</v>
      </c>
      <c r="O187" s="6">
        <v>90.707176</v>
      </c>
      <c r="Q187" s="9"/>
      <c r="R187" s="10"/>
      <c r="Z187">
        <v>159</v>
      </c>
      <c r="AA187">
        <v>158.16067259424</v>
      </c>
      <c r="AB187">
        <v>-20.7277655942406</v>
      </c>
      <c r="AC187">
        <v>-1.15320429522038</v>
      </c>
      <c r="AE187">
        <v>61.6731517509727</v>
      </c>
      <c r="AF187">
        <v>168.981613</v>
      </c>
    </row>
    <row r="188" spans="2:32">
      <c r="B188" s="5">
        <v>186</v>
      </c>
      <c r="C188" s="6">
        <v>109.675194</v>
      </c>
      <c r="D188" s="6">
        <v>149.972015</v>
      </c>
      <c r="E188">
        <v>101.139584368671</v>
      </c>
      <c r="F188">
        <v>157.863556461742</v>
      </c>
      <c r="G188" s="7">
        <f t="shared" si="5"/>
        <v>7.78262551450696</v>
      </c>
      <c r="H188" s="7">
        <f t="shared" si="5"/>
        <v>5.26200935670699</v>
      </c>
      <c r="J188">
        <v>160</v>
      </c>
      <c r="K188">
        <v>94.8017797028605</v>
      </c>
      <c r="L188">
        <v>-4.67504770286058</v>
      </c>
      <c r="M188">
        <v>-0.474906978808551</v>
      </c>
      <c r="N188">
        <v>62.0622568093385</v>
      </c>
      <c r="O188" s="6">
        <v>90.707176</v>
      </c>
      <c r="Q188" s="9"/>
      <c r="R188" s="10"/>
      <c r="Z188">
        <v>160</v>
      </c>
      <c r="AA188">
        <v>158.149668293036</v>
      </c>
      <c r="AB188">
        <v>-15.7150372930369</v>
      </c>
      <c r="AC188">
        <v>-0.874317515000952</v>
      </c>
      <c r="AE188">
        <v>62.0622568093385</v>
      </c>
      <c r="AF188">
        <v>169.407135</v>
      </c>
    </row>
    <row r="189" spans="2:32">
      <c r="B189" s="5">
        <v>187</v>
      </c>
      <c r="C189" s="6">
        <v>113.501678</v>
      </c>
      <c r="D189" s="6">
        <v>151.722107</v>
      </c>
      <c r="E189">
        <v>101.383346086587</v>
      </c>
      <c r="F189">
        <v>157.852552160538</v>
      </c>
      <c r="G189" s="7">
        <f t="shared" si="5"/>
        <v>10.6767865699862</v>
      </c>
      <c r="H189" s="7">
        <f t="shared" si="5"/>
        <v>4.04057475983906</v>
      </c>
      <c r="J189">
        <v>161</v>
      </c>
      <c r="K189">
        <v>95.0455414207763</v>
      </c>
      <c r="L189">
        <v>-4.16647542077639</v>
      </c>
      <c r="M189">
        <v>-0.423244505751306</v>
      </c>
      <c r="N189">
        <v>62.4513618677042</v>
      </c>
      <c r="O189" s="6">
        <v>90.879066</v>
      </c>
      <c r="Q189" s="9"/>
      <c r="R189" s="10"/>
      <c r="Z189">
        <v>161</v>
      </c>
      <c r="AA189">
        <v>158.138663991833</v>
      </c>
      <c r="AB189">
        <v>-14.3616409918332</v>
      </c>
      <c r="AC189">
        <v>-0.799020328693658</v>
      </c>
      <c r="AE189">
        <v>62.4513618677042</v>
      </c>
      <c r="AF189">
        <v>170</v>
      </c>
    </row>
    <row r="190" spans="2:32">
      <c r="B190" s="5">
        <v>188</v>
      </c>
      <c r="C190" s="6">
        <v>110.921135</v>
      </c>
      <c r="D190" s="6">
        <v>154.237885</v>
      </c>
      <c r="E190">
        <v>101.627107804503</v>
      </c>
      <c r="F190">
        <v>157.841547859334</v>
      </c>
      <c r="G190" s="7">
        <f t="shared" si="5"/>
        <v>8.37895068013594</v>
      </c>
      <c r="H190" s="7">
        <f t="shared" si="5"/>
        <v>2.33643171347559</v>
      </c>
      <c r="J190">
        <v>162</v>
      </c>
      <c r="K190">
        <v>95.2893031386921</v>
      </c>
      <c r="L190">
        <v>-4.58212713869218</v>
      </c>
      <c r="M190">
        <v>-0.465467797178084</v>
      </c>
      <c r="N190">
        <v>62.84046692607</v>
      </c>
      <c r="O190" s="6">
        <v>90.889038</v>
      </c>
      <c r="Q190" s="9"/>
      <c r="R190" s="10"/>
      <c r="Z190">
        <v>162</v>
      </c>
      <c r="AA190">
        <v>158.127659690629</v>
      </c>
      <c r="AB190">
        <v>-14.8279316906296</v>
      </c>
      <c r="AC190">
        <v>-0.824962750428816</v>
      </c>
      <c r="AE190">
        <v>62.84046692607</v>
      </c>
      <c r="AF190">
        <v>170.055115</v>
      </c>
    </row>
    <row r="191" spans="2:32">
      <c r="B191" s="5">
        <v>189</v>
      </c>
      <c r="C191" s="6">
        <v>112.533356</v>
      </c>
      <c r="D191" s="6">
        <v>158.533585</v>
      </c>
      <c r="E191">
        <v>101.870869522418</v>
      </c>
      <c r="F191">
        <v>157.830543558131</v>
      </c>
      <c r="G191" s="7">
        <f t="shared" si="5"/>
        <v>9.47495645431741</v>
      </c>
      <c r="H191" s="7">
        <f t="shared" si="5"/>
        <v>0.443465302237993</v>
      </c>
      <c r="J191">
        <v>163</v>
      </c>
      <c r="K191">
        <v>95.5330648566079</v>
      </c>
      <c r="L191">
        <v>-4.82588885660797</v>
      </c>
      <c r="M191">
        <v>-0.490229927612333</v>
      </c>
      <c r="N191">
        <v>63.2295719844358</v>
      </c>
      <c r="O191" s="6">
        <v>91.310051</v>
      </c>
      <c r="Q191" s="9"/>
      <c r="R191" s="10"/>
      <c r="Z191">
        <v>163</v>
      </c>
      <c r="AA191">
        <v>158.116655389426</v>
      </c>
      <c r="AB191">
        <v>-13.9120353894259</v>
      </c>
      <c r="AC191">
        <v>-0.774006194415947</v>
      </c>
      <c r="AE191">
        <v>63.2295719844358</v>
      </c>
      <c r="AF191">
        <v>170.064926</v>
      </c>
    </row>
    <row r="192" spans="2:32">
      <c r="B192" s="5">
        <v>190</v>
      </c>
      <c r="C192" s="6">
        <v>109.186623</v>
      </c>
      <c r="D192" s="6">
        <v>159.378815</v>
      </c>
      <c r="E192">
        <v>102.114631240334</v>
      </c>
      <c r="F192">
        <v>157.819539256927</v>
      </c>
      <c r="G192" s="7">
        <f t="shared" si="5"/>
        <v>6.47697635970113</v>
      </c>
      <c r="H192" s="7">
        <f t="shared" si="5"/>
        <v>0.978345674783073</v>
      </c>
      <c r="J192">
        <v>164</v>
      </c>
      <c r="K192">
        <v>95.7768265745238</v>
      </c>
      <c r="L192">
        <v>-2.6432125745238</v>
      </c>
      <c r="M192">
        <v>-0.268506372105633</v>
      </c>
      <c r="N192">
        <v>63.6186770428015</v>
      </c>
      <c r="O192" s="6">
        <v>92.289093</v>
      </c>
      <c r="Q192" s="9"/>
      <c r="R192" s="10"/>
      <c r="Z192">
        <v>164</v>
      </c>
      <c r="AA192">
        <v>158.105651088222</v>
      </c>
      <c r="AB192">
        <v>-11.7134090882223</v>
      </c>
      <c r="AC192">
        <v>-0.651684023094354</v>
      </c>
      <c r="AE192">
        <v>63.6186770428015</v>
      </c>
      <c r="AF192">
        <v>170.169998</v>
      </c>
    </row>
    <row r="193" spans="2:32">
      <c r="B193" s="5">
        <v>191</v>
      </c>
      <c r="C193" s="6">
        <v>112.815369</v>
      </c>
      <c r="D193" s="6">
        <v>159.169998</v>
      </c>
      <c r="E193">
        <v>102.35839295825</v>
      </c>
      <c r="F193">
        <v>157.808534955723</v>
      </c>
      <c r="G193" s="7">
        <f t="shared" si="5"/>
        <v>9.26910591565765</v>
      </c>
      <c r="H193" s="7">
        <f t="shared" si="5"/>
        <v>0.855351549528198</v>
      </c>
      <c r="J193">
        <v>165</v>
      </c>
      <c r="K193">
        <v>96.0205882924395</v>
      </c>
      <c r="L193">
        <v>-3.17595329243958</v>
      </c>
      <c r="M193">
        <v>-0.322623955692829</v>
      </c>
      <c r="N193">
        <v>64.0077821011673</v>
      </c>
      <c r="O193" s="6">
        <v>92.518288</v>
      </c>
      <c r="Q193" s="9"/>
      <c r="R193" s="10"/>
      <c r="Z193">
        <v>165</v>
      </c>
      <c r="AA193">
        <v>158.094646787018</v>
      </c>
      <c r="AB193">
        <v>-13.9397547870187</v>
      </c>
      <c r="AC193">
        <v>-0.775548383236036</v>
      </c>
      <c r="AE193">
        <v>64.0077821011673</v>
      </c>
      <c r="AF193">
        <v>170.339996</v>
      </c>
    </row>
    <row r="194" spans="2:32">
      <c r="B194" s="5">
        <v>192</v>
      </c>
      <c r="C194" s="6">
        <v>114.81192</v>
      </c>
      <c r="D194" s="6">
        <v>158.979996</v>
      </c>
      <c r="E194">
        <v>102.602154676166</v>
      </c>
      <c r="F194">
        <v>157.79753065452</v>
      </c>
      <c r="G194" s="7">
        <f t="shared" si="5"/>
        <v>10.6345798622948</v>
      </c>
      <c r="H194" s="7">
        <f t="shared" si="5"/>
        <v>0.743782472783564</v>
      </c>
      <c r="J194">
        <v>166</v>
      </c>
      <c r="K194">
        <v>96.2643500103553</v>
      </c>
      <c r="L194">
        <v>-1.25735401035538</v>
      </c>
      <c r="M194">
        <v>-0.127726224907891</v>
      </c>
      <c r="N194">
        <v>64.396887159533</v>
      </c>
      <c r="O194" s="6">
        <v>92.844635</v>
      </c>
      <c r="Q194" s="9"/>
      <c r="R194" s="10"/>
      <c r="Z194">
        <v>166</v>
      </c>
      <c r="AA194">
        <v>158.083642485815</v>
      </c>
      <c r="AB194">
        <v>-13.312234485815</v>
      </c>
      <c r="AC194">
        <v>-0.740635835455819</v>
      </c>
      <c r="AE194">
        <v>64.396887159533</v>
      </c>
      <c r="AF194">
        <v>170.379089</v>
      </c>
    </row>
    <row r="195" spans="2:32">
      <c r="B195" s="5">
        <v>193</v>
      </c>
      <c r="C195" s="6">
        <v>114.709602</v>
      </c>
      <c r="D195" s="6">
        <v>160.279999</v>
      </c>
      <c r="E195">
        <v>102.845916394082</v>
      </c>
      <c r="F195">
        <v>157.786526353316</v>
      </c>
      <c r="G195" s="7">
        <f t="shared" si="5"/>
        <v>10.3423648927995</v>
      </c>
      <c r="H195" s="7">
        <f t="shared" si="5"/>
        <v>1.55569794250124</v>
      </c>
      <c r="J195">
        <v>167</v>
      </c>
      <c r="K195">
        <v>96.5081117282711</v>
      </c>
      <c r="L195">
        <v>-1.09255372827118</v>
      </c>
      <c r="M195">
        <v>-0.110985261168951</v>
      </c>
      <c r="N195">
        <v>64.7859922178988</v>
      </c>
      <c r="O195" s="6">
        <v>92.924355</v>
      </c>
      <c r="Q195" s="9"/>
      <c r="R195" s="10"/>
      <c r="Z195">
        <v>167</v>
      </c>
      <c r="AA195">
        <v>158.072638184611</v>
      </c>
      <c r="AB195">
        <v>-17.4975041846114</v>
      </c>
      <c r="AC195">
        <v>-0.973486355274933</v>
      </c>
      <c r="AE195">
        <v>64.7859922178988</v>
      </c>
      <c r="AF195">
        <v>170.84053</v>
      </c>
    </row>
    <row r="196" spans="2:32">
      <c r="B196" s="5">
        <v>194</v>
      </c>
      <c r="C196" s="6">
        <v>114.41011</v>
      </c>
      <c r="D196" s="6">
        <v>158.759995</v>
      </c>
      <c r="E196">
        <v>103.089678111997</v>
      </c>
      <c r="F196">
        <v>157.775522052112</v>
      </c>
      <c r="G196" s="7">
        <f t="shared" si="5"/>
        <v>9.89460799225086</v>
      </c>
      <c r="H196" s="7">
        <f t="shared" si="5"/>
        <v>0.620101397639883</v>
      </c>
      <c r="J196">
        <v>168</v>
      </c>
      <c r="K196">
        <v>96.7518734461869</v>
      </c>
      <c r="L196">
        <v>-1.16940744618699</v>
      </c>
      <c r="M196">
        <v>-0.11879231883026</v>
      </c>
      <c r="N196">
        <v>65.1750972762646</v>
      </c>
      <c r="O196" s="6">
        <v>93.133614</v>
      </c>
      <c r="Q196" s="9"/>
      <c r="R196" s="10"/>
      <c r="Z196">
        <v>168</v>
      </c>
      <c r="AA196">
        <v>158.061633883407</v>
      </c>
      <c r="AB196">
        <v>-16.4125708834077</v>
      </c>
      <c r="AC196">
        <v>-0.913125302980741</v>
      </c>
      <c r="AE196">
        <v>65.1750972762646</v>
      </c>
      <c r="AF196">
        <v>170.86998</v>
      </c>
    </row>
    <row r="197" spans="2:32">
      <c r="B197" s="5">
        <v>195</v>
      </c>
      <c r="C197" s="6">
        <v>115.363472</v>
      </c>
      <c r="D197" s="6">
        <v>157.380005</v>
      </c>
      <c r="E197">
        <v>103.333439829913</v>
      </c>
      <c r="F197">
        <v>157.764517750909</v>
      </c>
      <c r="G197" s="7">
        <f t="shared" si="5"/>
        <v>10.4279387240417</v>
      </c>
      <c r="H197" s="7">
        <f t="shared" si="5"/>
        <v>0.24432122168822</v>
      </c>
      <c r="J197">
        <v>169</v>
      </c>
      <c r="K197">
        <v>96.9956351641028</v>
      </c>
      <c r="L197">
        <v>-1.85411016410279</v>
      </c>
      <c r="M197">
        <v>-0.188346710531638</v>
      </c>
      <c r="N197">
        <v>65.5642023346303</v>
      </c>
      <c r="O197" s="6">
        <v>94.476364</v>
      </c>
      <c r="Q197" s="9"/>
      <c r="R197" s="10"/>
      <c r="Z197">
        <v>169</v>
      </c>
      <c r="AA197">
        <v>158.050629582204</v>
      </c>
      <c r="AB197">
        <v>-15.367401582204</v>
      </c>
      <c r="AC197">
        <v>-0.854976549710613</v>
      </c>
      <c r="AE197">
        <v>65.5642023346303</v>
      </c>
      <c r="AF197">
        <v>171.144913</v>
      </c>
    </row>
    <row r="198" spans="2:32">
      <c r="B198" s="5">
        <v>196</v>
      </c>
      <c r="C198" s="6">
        <v>115.508217</v>
      </c>
      <c r="D198" s="6">
        <v>156.850006</v>
      </c>
      <c r="E198">
        <v>103.577201547829</v>
      </c>
      <c r="F198">
        <v>157.753513449705</v>
      </c>
      <c r="G198" s="7">
        <f t="shared" si="5"/>
        <v>10.3291486632254</v>
      </c>
      <c r="H198" s="7">
        <f t="shared" si="5"/>
        <v>0.576032779817037</v>
      </c>
      <c r="J198">
        <v>170</v>
      </c>
      <c r="K198">
        <v>97.2393968820186</v>
      </c>
      <c r="L198">
        <v>-0.523431882018599</v>
      </c>
      <c r="M198">
        <v>-0.0531719609084254</v>
      </c>
      <c r="N198">
        <v>65.9533073929961</v>
      </c>
      <c r="O198" s="6">
        <v>94.705559</v>
      </c>
      <c r="Q198" s="9"/>
      <c r="R198" s="10"/>
      <c r="Z198">
        <v>170</v>
      </c>
      <c r="AA198">
        <v>158.039625281</v>
      </c>
      <c r="AB198">
        <v>-10.7723222810004</v>
      </c>
      <c r="AC198">
        <v>-0.599325974981099</v>
      </c>
      <c r="AE198">
        <v>65.9533073929961</v>
      </c>
      <c r="AF198">
        <v>171.311798</v>
      </c>
    </row>
    <row r="199" spans="2:32">
      <c r="B199" s="5">
        <v>197</v>
      </c>
      <c r="C199" s="6">
        <v>118.071297</v>
      </c>
      <c r="D199" s="6">
        <v>156.169998</v>
      </c>
      <c r="E199">
        <v>103.820963265745</v>
      </c>
      <c r="F199">
        <v>157.742509148501</v>
      </c>
      <c r="G199" s="7">
        <f t="shared" si="5"/>
        <v>12.0692616210145</v>
      </c>
      <c r="H199" s="7">
        <f t="shared" si="5"/>
        <v>1.00692269234774</v>
      </c>
      <c r="J199">
        <v>171</v>
      </c>
      <c r="K199">
        <v>97.4831585999344</v>
      </c>
      <c r="L199">
        <v>-0.102047599934394</v>
      </c>
      <c r="M199">
        <v>-0.0103663364439796</v>
      </c>
      <c r="N199">
        <v>66.3424124513618</v>
      </c>
      <c r="O199" s="6">
        <v>95.006996</v>
      </c>
      <c r="Q199" s="9"/>
      <c r="R199" s="10"/>
      <c r="Z199">
        <v>171</v>
      </c>
      <c r="AA199">
        <v>158.028620979796</v>
      </c>
      <c r="AB199">
        <v>-6.95286097979681</v>
      </c>
      <c r="AC199">
        <v>-0.386827471080614</v>
      </c>
      <c r="AE199">
        <v>66.3424124513618</v>
      </c>
      <c r="AF199">
        <v>171.459061</v>
      </c>
    </row>
    <row r="200" spans="2:32">
      <c r="B200" s="5">
        <v>198</v>
      </c>
      <c r="C200" s="6">
        <v>124.1558</v>
      </c>
      <c r="D200" s="6">
        <v>157.5</v>
      </c>
      <c r="E200">
        <v>104.064724983661</v>
      </c>
      <c r="F200">
        <v>157.731504847298</v>
      </c>
      <c r="G200" s="7">
        <f t="shared" si="5"/>
        <v>16.1821477662252</v>
      </c>
      <c r="H200" s="7">
        <f t="shared" si="5"/>
        <v>0.14698720463365</v>
      </c>
      <c r="J200">
        <v>172</v>
      </c>
      <c r="K200">
        <v>97.7269203178501</v>
      </c>
      <c r="L200">
        <v>-1.54407431785018</v>
      </c>
      <c r="M200">
        <v>-0.156852232523193</v>
      </c>
      <c r="N200">
        <v>66.7315175097276</v>
      </c>
      <c r="O200" s="6">
        <v>95.141525</v>
      </c>
      <c r="Q200" s="9"/>
      <c r="R200" s="10"/>
      <c r="Z200">
        <v>172</v>
      </c>
      <c r="AA200">
        <v>158.017616678593</v>
      </c>
      <c r="AB200">
        <v>-5.79831767859315</v>
      </c>
      <c r="AC200">
        <v>-0.322593615872606</v>
      </c>
      <c r="AE200">
        <v>66.7315175097276</v>
      </c>
      <c r="AF200">
        <v>171.550003</v>
      </c>
    </row>
    <row r="201" spans="2:32">
      <c r="B201" s="5">
        <v>199</v>
      </c>
      <c r="C201" s="6">
        <v>125.640739</v>
      </c>
      <c r="D201" s="6">
        <v>159.369995</v>
      </c>
      <c r="E201">
        <v>104.308486701576</v>
      </c>
      <c r="F201">
        <v>157.720500546094</v>
      </c>
      <c r="G201" s="7">
        <f t="shared" si="5"/>
        <v>16.978770157046</v>
      </c>
      <c r="H201" s="7">
        <f t="shared" si="5"/>
        <v>1.03500941560925</v>
      </c>
      <c r="J201">
        <v>173</v>
      </c>
      <c r="K201">
        <v>97.970682035766</v>
      </c>
      <c r="L201">
        <v>-1.98214903576599</v>
      </c>
      <c r="M201">
        <v>-0.20135332727149</v>
      </c>
      <c r="N201">
        <v>67.1206225680934</v>
      </c>
      <c r="O201" s="6">
        <v>95.415558</v>
      </c>
      <c r="Q201" s="9"/>
      <c r="R201" s="10"/>
      <c r="Z201">
        <v>173</v>
      </c>
      <c r="AA201">
        <v>158.006612377389</v>
      </c>
      <c r="AB201">
        <v>-3.87810237738949</v>
      </c>
      <c r="AC201">
        <v>-0.215761042770214</v>
      </c>
      <c r="AE201">
        <v>67.1206225680934</v>
      </c>
      <c r="AF201">
        <v>171.550003</v>
      </c>
    </row>
    <row r="202" spans="2:32">
      <c r="B202" s="5">
        <v>200</v>
      </c>
      <c r="C202" s="6">
        <v>124.610016</v>
      </c>
      <c r="D202" s="6">
        <v>164.529999</v>
      </c>
      <c r="E202">
        <v>104.552248419492</v>
      </c>
      <c r="F202">
        <v>157.70949624489</v>
      </c>
      <c r="G202" s="7">
        <f t="shared" si="5"/>
        <v>16.0964328746318</v>
      </c>
      <c r="H202" s="7">
        <f t="shared" si="5"/>
        <v>4.14544629949824</v>
      </c>
      <c r="J202">
        <v>174</v>
      </c>
      <c r="K202">
        <v>98.2144437536817</v>
      </c>
      <c r="L202">
        <v>-0.203052753681788</v>
      </c>
      <c r="M202">
        <v>-0.02062677771839</v>
      </c>
      <c r="N202">
        <v>67.5097276264591</v>
      </c>
      <c r="O202" s="6">
        <v>95.582466</v>
      </c>
      <c r="Q202" s="9"/>
      <c r="R202" s="10"/>
      <c r="Z202">
        <v>174</v>
      </c>
      <c r="AA202">
        <v>157.995608076185</v>
      </c>
      <c r="AB202">
        <v>-5.46805107618584</v>
      </c>
      <c r="AC202">
        <v>-0.304218993546224</v>
      </c>
      <c r="AE202">
        <v>67.5097276264591</v>
      </c>
      <c r="AF202">
        <v>171.589996</v>
      </c>
    </row>
    <row r="203" spans="2:32">
      <c r="B203" s="5">
        <v>201</v>
      </c>
      <c r="C203" s="6">
        <v>126.304596</v>
      </c>
      <c r="D203" s="6">
        <v>165.309998</v>
      </c>
      <c r="E203">
        <v>104.796010137408</v>
      </c>
      <c r="F203">
        <v>157.698491943687</v>
      </c>
      <c r="G203" s="7">
        <f t="shared" si="5"/>
        <v>17.0291395117498</v>
      </c>
      <c r="H203" s="7">
        <f t="shared" si="5"/>
        <v>4.60438336966951</v>
      </c>
      <c r="J203">
        <v>175</v>
      </c>
      <c r="K203">
        <v>98.4582054715976</v>
      </c>
      <c r="L203">
        <v>-1.79954447159759</v>
      </c>
      <c r="M203">
        <v>-0.182803745021707</v>
      </c>
      <c r="N203">
        <v>67.8988326848249</v>
      </c>
      <c r="O203" s="6">
        <v>95.851517</v>
      </c>
      <c r="Q203" s="9"/>
      <c r="R203" s="10"/>
      <c r="Z203">
        <v>175</v>
      </c>
      <c r="AA203">
        <v>157.984603774982</v>
      </c>
      <c r="AB203">
        <v>-4.09475677498218</v>
      </c>
      <c r="AC203">
        <v>-0.227814767555277</v>
      </c>
      <c r="AE203">
        <v>67.8988326848249</v>
      </c>
      <c r="AF203">
        <v>172.018692</v>
      </c>
    </row>
    <row r="204" spans="2:32">
      <c r="B204" s="5">
        <v>202</v>
      </c>
      <c r="C204" s="6">
        <v>124.794701</v>
      </c>
      <c r="D204" s="6">
        <v>165.990005</v>
      </c>
      <c r="E204">
        <v>105.039771855324</v>
      </c>
      <c r="F204">
        <v>157.687487642483</v>
      </c>
      <c r="G204" s="7">
        <f t="shared" si="5"/>
        <v>15.8299422863123</v>
      </c>
      <c r="H204" s="7">
        <f t="shared" si="5"/>
        <v>5.00181764409067</v>
      </c>
      <c r="J204">
        <v>176</v>
      </c>
      <c r="K204">
        <v>98.7019671895134</v>
      </c>
      <c r="L204">
        <v>-1.77176818951339</v>
      </c>
      <c r="M204">
        <v>-0.17998213740494</v>
      </c>
      <c r="N204">
        <v>68.2879377431906</v>
      </c>
      <c r="O204" s="6">
        <v>95.988533</v>
      </c>
      <c r="Q204" s="9"/>
      <c r="R204" s="10"/>
      <c r="Z204">
        <v>176</v>
      </c>
      <c r="AA204">
        <v>157.973599473778</v>
      </c>
      <c r="AB204">
        <v>-4.23290747377856</v>
      </c>
      <c r="AC204">
        <v>-0.235500882033721</v>
      </c>
      <c r="AE204">
        <v>68.2879377431906</v>
      </c>
      <c r="AF204">
        <v>172.077591</v>
      </c>
    </row>
    <row r="205" spans="2:32">
      <c r="B205" s="5">
        <v>203</v>
      </c>
      <c r="C205" s="6">
        <v>124.592552</v>
      </c>
      <c r="D205" s="6">
        <v>168.380005</v>
      </c>
      <c r="E205">
        <v>105.28353357324</v>
      </c>
      <c r="F205">
        <v>157.676483341279</v>
      </c>
      <c r="G205" s="7">
        <f t="shared" si="5"/>
        <v>15.4977308970764</v>
      </c>
      <c r="H205" s="7">
        <f t="shared" si="5"/>
        <v>6.35676525768069</v>
      </c>
      <c r="J205">
        <v>177</v>
      </c>
      <c r="K205">
        <v>98.9457289074292</v>
      </c>
      <c r="L205">
        <v>-6.4274409074292</v>
      </c>
      <c r="M205">
        <v>-0.652920940453712</v>
      </c>
      <c r="N205">
        <v>68.6770428015564</v>
      </c>
      <c r="O205" s="6">
        <v>96.182846</v>
      </c>
      <c r="Q205" s="9"/>
      <c r="R205" s="10"/>
      <c r="Z205">
        <v>177</v>
      </c>
      <c r="AA205">
        <v>157.962595172574</v>
      </c>
      <c r="AB205">
        <v>-5.0969641725749</v>
      </c>
      <c r="AC205">
        <v>-0.283573304111031</v>
      </c>
      <c r="AE205">
        <v>68.6770428015564</v>
      </c>
      <c r="AF205">
        <v>172.087387</v>
      </c>
    </row>
    <row r="206" spans="2:32">
      <c r="B206" s="5">
        <v>204</v>
      </c>
      <c r="C206" s="6">
        <v>128.817749</v>
      </c>
      <c r="D206" s="6">
        <v>165.550003</v>
      </c>
      <c r="E206">
        <v>105.527295291155</v>
      </c>
      <c r="F206">
        <v>157.665479040076</v>
      </c>
      <c r="G206" s="7">
        <f t="shared" si="5"/>
        <v>18.0801588986352</v>
      </c>
      <c r="H206" s="7">
        <f t="shared" si="5"/>
        <v>4.76262387015722</v>
      </c>
      <c r="J206">
        <v>178</v>
      </c>
      <c r="K206">
        <v>99.189490625345</v>
      </c>
      <c r="L206">
        <v>-6.900397625345</v>
      </c>
      <c r="M206">
        <v>-0.700965465405868</v>
      </c>
      <c r="N206">
        <v>69.0661478599221</v>
      </c>
      <c r="O206" s="6">
        <v>96.658661</v>
      </c>
      <c r="Q206" s="9"/>
      <c r="R206" s="10"/>
      <c r="Z206">
        <v>178</v>
      </c>
      <c r="AA206">
        <v>157.951590871371</v>
      </c>
      <c r="AB206">
        <v>-9.36177787137126</v>
      </c>
      <c r="AC206">
        <v>-0.520849312149892</v>
      </c>
      <c r="AE206">
        <v>69.0661478599221</v>
      </c>
      <c r="AF206">
        <v>172.264145</v>
      </c>
    </row>
    <row r="207" spans="2:32">
      <c r="B207" s="5">
        <v>205</v>
      </c>
      <c r="C207" s="6">
        <v>133.948898</v>
      </c>
      <c r="D207" s="6">
        <v>167.970001</v>
      </c>
      <c r="E207">
        <v>105.771057009071</v>
      </c>
      <c r="F207">
        <v>157.654474738872</v>
      </c>
      <c r="G207" s="7">
        <f t="shared" si="5"/>
        <v>21.0362618966294</v>
      </c>
      <c r="H207" s="7">
        <f t="shared" si="5"/>
        <v>6.14129082557306</v>
      </c>
      <c r="J207">
        <v>179</v>
      </c>
      <c r="K207">
        <v>99.4332523432607</v>
      </c>
      <c r="L207">
        <v>-4.95688834326078</v>
      </c>
      <c r="M207">
        <v>-0.503537293522993</v>
      </c>
      <c r="N207">
        <v>69.4552529182879</v>
      </c>
      <c r="O207" s="6">
        <v>96.715965</v>
      </c>
      <c r="Q207" s="9"/>
      <c r="R207" s="10"/>
      <c r="Z207">
        <v>179</v>
      </c>
      <c r="AA207">
        <v>157.940586570167</v>
      </c>
      <c r="AB207">
        <v>-8.02824857016759</v>
      </c>
      <c r="AC207">
        <v>-0.446657440818735</v>
      </c>
      <c r="AE207">
        <v>69.4552529182879</v>
      </c>
      <c r="AF207">
        <v>172.264145</v>
      </c>
    </row>
    <row r="208" spans="2:32">
      <c r="B208" s="5">
        <v>206</v>
      </c>
      <c r="C208" s="6">
        <v>131.173691</v>
      </c>
      <c r="D208" s="6">
        <v>172.470001</v>
      </c>
      <c r="E208">
        <v>106.014818726987</v>
      </c>
      <c r="F208">
        <v>157.643470437669</v>
      </c>
      <c r="G208" s="7">
        <f t="shared" si="5"/>
        <v>19.1798157703842</v>
      </c>
      <c r="H208" s="7">
        <f t="shared" si="5"/>
        <v>8.59658518952</v>
      </c>
      <c r="J208">
        <v>180</v>
      </c>
      <c r="K208">
        <v>99.6770140611766</v>
      </c>
      <c r="L208">
        <v>-6.7526590611766</v>
      </c>
      <c r="M208">
        <v>-0.685957688026441</v>
      </c>
      <c r="N208">
        <v>69.8443579766537</v>
      </c>
      <c r="O208" s="6">
        <v>96.930199</v>
      </c>
      <c r="Q208" s="9"/>
      <c r="R208" s="10"/>
      <c r="Z208">
        <v>180</v>
      </c>
      <c r="AA208">
        <v>157.929582268963</v>
      </c>
      <c r="AB208">
        <v>-6.77427826896394</v>
      </c>
      <c r="AC208">
        <v>-0.376891892243221</v>
      </c>
      <c r="AE208">
        <v>69.8443579766537</v>
      </c>
      <c r="AF208">
        <v>172.470001</v>
      </c>
    </row>
    <row r="209" spans="2:32">
      <c r="B209" s="5">
        <v>207</v>
      </c>
      <c r="C209" s="6">
        <v>120.671806</v>
      </c>
      <c r="D209" s="6">
        <v>166.300003</v>
      </c>
      <c r="E209">
        <v>106.258580444903</v>
      </c>
      <c r="F209">
        <v>157.632466136465</v>
      </c>
      <c r="G209" s="7">
        <f t="shared" si="5"/>
        <v>11.9441533468862</v>
      </c>
      <c r="H209" s="7">
        <f t="shared" si="5"/>
        <v>5.21198839878253</v>
      </c>
      <c r="J209">
        <v>181</v>
      </c>
      <c r="K209">
        <v>99.9207757790924</v>
      </c>
      <c r="L209">
        <v>-5.2152167790924</v>
      </c>
      <c r="M209">
        <v>-0.52977915987359</v>
      </c>
      <c r="N209">
        <v>70.2334630350194</v>
      </c>
      <c r="O209" s="6">
        <v>97.381111</v>
      </c>
      <c r="Q209" s="9"/>
      <c r="R209" s="10"/>
      <c r="Z209">
        <v>181</v>
      </c>
      <c r="AA209">
        <v>157.91857796776</v>
      </c>
      <c r="AB209">
        <v>-4.20771696776029</v>
      </c>
      <c r="AC209">
        <v>-0.234099389933332</v>
      </c>
      <c r="AE209">
        <v>70.2334630350194</v>
      </c>
      <c r="AF209">
        <v>172.470306</v>
      </c>
    </row>
    <row r="210" spans="2:32">
      <c r="B210" s="5">
        <v>208</v>
      </c>
      <c r="C210" s="6">
        <v>120.751671</v>
      </c>
      <c r="D210" s="6">
        <v>166.690002</v>
      </c>
      <c r="E210">
        <v>106.502342162819</v>
      </c>
      <c r="F210">
        <v>157.621461835261</v>
      </c>
      <c r="G210" s="7">
        <f t="shared" si="5"/>
        <v>11.8005231059544</v>
      </c>
      <c r="H210" s="7">
        <f t="shared" si="5"/>
        <v>5.44036238282546</v>
      </c>
      <c r="J210">
        <v>182</v>
      </c>
      <c r="K210">
        <v>100.164537497008</v>
      </c>
      <c r="L210">
        <v>-4.31302049700819</v>
      </c>
      <c r="M210">
        <v>-0.438131044635161</v>
      </c>
      <c r="N210">
        <v>70.6225680933852</v>
      </c>
      <c r="O210" s="6">
        <v>98.011391</v>
      </c>
      <c r="Q210" s="9"/>
      <c r="R210" s="10"/>
      <c r="Z210">
        <v>182</v>
      </c>
      <c r="AA210">
        <v>157.907573666556</v>
      </c>
      <c r="AB210">
        <v>-9.58623866655662</v>
      </c>
      <c r="AC210">
        <v>-0.533337351535492</v>
      </c>
      <c r="AE210">
        <v>70.6225680933852</v>
      </c>
      <c r="AF210">
        <v>172.610001</v>
      </c>
    </row>
    <row r="211" spans="2:32">
      <c r="B211" s="5">
        <v>209</v>
      </c>
      <c r="C211" s="6">
        <v>112.625694</v>
      </c>
      <c r="D211" s="6">
        <v>164.270004</v>
      </c>
      <c r="E211">
        <v>106.746103880734</v>
      </c>
      <c r="F211">
        <v>157.610457534058</v>
      </c>
      <c r="G211" s="7">
        <f t="shared" si="5"/>
        <v>5.22046960195957</v>
      </c>
      <c r="H211" s="7">
        <f t="shared" si="5"/>
        <v>4.05402465683387</v>
      </c>
      <c r="J211">
        <v>183</v>
      </c>
      <c r="K211">
        <v>100.408299214924</v>
      </c>
      <c r="L211">
        <v>5.477786785076</v>
      </c>
      <c r="M211">
        <v>0.556451899103848</v>
      </c>
      <c r="N211">
        <v>71.0116731517509</v>
      </c>
      <c r="O211" s="6">
        <v>105.886086</v>
      </c>
      <c r="Q211" s="9"/>
      <c r="R211" s="10"/>
      <c r="Z211">
        <v>183</v>
      </c>
      <c r="AA211">
        <v>157.896569365353</v>
      </c>
      <c r="AB211">
        <v>-9.36641836535301</v>
      </c>
      <c r="AC211">
        <v>-0.521107489403363</v>
      </c>
      <c r="AE211">
        <v>71.0116731517509</v>
      </c>
      <c r="AF211">
        <v>172.804092</v>
      </c>
    </row>
    <row r="212" spans="2:32">
      <c r="B212" s="5">
        <v>210</v>
      </c>
      <c r="C212" s="6">
        <v>117.117943</v>
      </c>
      <c r="D212" s="6">
        <v>165.75</v>
      </c>
      <c r="E212">
        <v>106.98986559865</v>
      </c>
      <c r="F212">
        <v>157.599453232854</v>
      </c>
      <c r="G212" s="7">
        <f t="shared" ref="G212:H259" si="6">(ABS(C212-E212)/C212)*100</f>
        <v>8.64775895299834</v>
      </c>
      <c r="H212" s="7">
        <f t="shared" si="6"/>
        <v>4.91737361517105</v>
      </c>
      <c r="J212">
        <v>184</v>
      </c>
      <c r="K212">
        <v>100.652060932839</v>
      </c>
      <c r="L212">
        <v>7.90209206716019</v>
      </c>
      <c r="M212">
        <v>0.802720936427199</v>
      </c>
      <c r="N212">
        <v>71.4007782101167</v>
      </c>
      <c r="O212" s="6">
        <v>106.655991</v>
      </c>
      <c r="Q212" s="9"/>
      <c r="R212" s="10"/>
      <c r="Z212">
        <v>184</v>
      </c>
      <c r="AA212">
        <v>157.885565064149</v>
      </c>
      <c r="AB212">
        <v>-10.1906800641493</v>
      </c>
      <c r="AC212">
        <v>-0.566965887749092</v>
      </c>
      <c r="AE212">
        <v>71.4007782101167</v>
      </c>
      <c r="AF212">
        <v>172.869995</v>
      </c>
    </row>
    <row r="213" spans="2:32">
      <c r="B213" s="5">
        <v>211</v>
      </c>
      <c r="C213" s="6">
        <v>113.29454</v>
      </c>
      <c r="D213" s="6">
        <v>164.270004</v>
      </c>
      <c r="E213">
        <v>107.233627316566</v>
      </c>
      <c r="F213">
        <v>157.58844893165</v>
      </c>
      <c r="G213" s="7">
        <f t="shared" si="6"/>
        <v>5.34969530167473</v>
      </c>
      <c r="H213" s="7">
        <f t="shared" si="6"/>
        <v>4.06742247863463</v>
      </c>
      <c r="J213">
        <v>185</v>
      </c>
      <c r="K213">
        <v>100.895822650755</v>
      </c>
      <c r="L213">
        <v>8.38327634924439</v>
      </c>
      <c r="M213">
        <v>0.851601244860189</v>
      </c>
      <c r="N213">
        <v>71.7898832684825</v>
      </c>
      <c r="O213" s="6">
        <v>106.935509</v>
      </c>
      <c r="Q213" s="9"/>
      <c r="R213" s="10"/>
      <c r="Z213">
        <v>185</v>
      </c>
      <c r="AA213">
        <v>157.874560762945</v>
      </c>
      <c r="AB213">
        <v>-11.3729277629456</v>
      </c>
      <c r="AC213">
        <v>-0.63274109724129</v>
      </c>
      <c r="AE213">
        <v>71.7898832684825</v>
      </c>
      <c r="AF213">
        <v>173.098648</v>
      </c>
    </row>
    <row r="214" spans="2:32">
      <c r="B214" s="5">
        <v>212</v>
      </c>
      <c r="C214" s="6">
        <v>111.807106</v>
      </c>
      <c r="D214" s="6">
        <v>166.449997</v>
      </c>
      <c r="E214">
        <v>107.477389034482</v>
      </c>
      <c r="F214">
        <v>157.577444630447</v>
      </c>
      <c r="G214" s="7">
        <f t="shared" si="6"/>
        <v>3.87248818113403</v>
      </c>
      <c r="H214" s="7">
        <f t="shared" si="6"/>
        <v>5.33046111713238</v>
      </c>
      <c r="J214">
        <v>186</v>
      </c>
      <c r="K214">
        <v>101.139584368671</v>
      </c>
      <c r="L214">
        <v>8.53560963132859</v>
      </c>
      <c r="M214">
        <v>0.867075769050035</v>
      </c>
      <c r="N214">
        <v>72.1789883268482</v>
      </c>
      <c r="O214" s="6">
        <v>108.033615</v>
      </c>
      <c r="Q214" s="9"/>
      <c r="R214" s="10"/>
      <c r="Z214">
        <v>186</v>
      </c>
      <c r="AA214">
        <v>157.863556461742</v>
      </c>
      <c r="AB214">
        <v>-7.89154146174203</v>
      </c>
      <c r="AC214">
        <v>-0.439051641539177</v>
      </c>
      <c r="AE214">
        <v>72.1789883268482</v>
      </c>
      <c r="AF214">
        <v>173.137924</v>
      </c>
    </row>
    <row r="215" spans="2:32">
      <c r="B215" s="5">
        <v>213</v>
      </c>
      <c r="C215" s="6">
        <v>115.161316</v>
      </c>
      <c r="D215" s="6">
        <v>168.470001</v>
      </c>
      <c r="E215">
        <v>107.721150752398</v>
      </c>
      <c r="F215">
        <v>157.566440329243</v>
      </c>
      <c r="G215" s="7">
        <f t="shared" si="6"/>
        <v>6.46064625347108</v>
      </c>
      <c r="H215" s="7">
        <f t="shared" si="6"/>
        <v>6.47210815340175</v>
      </c>
      <c r="J215">
        <v>187</v>
      </c>
      <c r="K215">
        <v>101.383346086587</v>
      </c>
      <c r="L215">
        <v>12.1183319134127</v>
      </c>
      <c r="M215">
        <v>1.2310206789284</v>
      </c>
      <c r="N215">
        <v>72.568093385214</v>
      </c>
      <c r="O215" s="6">
        <v>108.554153</v>
      </c>
      <c r="Q215" s="9"/>
      <c r="R215" s="10"/>
      <c r="Z215">
        <v>187</v>
      </c>
      <c r="AA215">
        <v>157.852552160538</v>
      </c>
      <c r="AB215">
        <v>-6.13044516053838</v>
      </c>
      <c r="AC215">
        <v>-0.3410717695838</v>
      </c>
      <c r="AE215">
        <v>72.568093385214</v>
      </c>
      <c r="AF215">
        <v>173.186996</v>
      </c>
    </row>
    <row r="216" spans="2:32">
      <c r="B216" s="5">
        <v>214</v>
      </c>
      <c r="C216" s="6">
        <v>115.341011</v>
      </c>
      <c r="D216" s="6">
        <v>168.300003</v>
      </c>
      <c r="E216">
        <v>107.964912470313</v>
      </c>
      <c r="F216">
        <v>157.555436028039</v>
      </c>
      <c r="G216" s="7">
        <f t="shared" si="6"/>
        <v>6.39503543946481</v>
      </c>
      <c r="H216" s="7">
        <f t="shared" si="6"/>
        <v>6.38417515177407</v>
      </c>
      <c r="J216">
        <v>188</v>
      </c>
      <c r="K216">
        <v>101.627107804503</v>
      </c>
      <c r="L216">
        <v>9.294027195497</v>
      </c>
      <c r="M216">
        <v>0.944118361332927</v>
      </c>
      <c r="N216">
        <v>72.9571984435797</v>
      </c>
      <c r="O216" s="6">
        <v>108.582664</v>
      </c>
      <c r="Q216" s="9"/>
      <c r="R216" s="10"/>
      <c r="Z216">
        <v>188</v>
      </c>
      <c r="AA216">
        <v>157.841547859334</v>
      </c>
      <c r="AB216">
        <v>-3.60366285933471</v>
      </c>
      <c r="AC216">
        <v>-0.200492400833868</v>
      </c>
      <c r="AE216">
        <v>72.9571984435797</v>
      </c>
      <c r="AF216">
        <v>173.196823</v>
      </c>
    </row>
    <row r="217" spans="2:32">
      <c r="B217" s="5">
        <v>215</v>
      </c>
      <c r="C217" s="6">
        <v>111.936882</v>
      </c>
      <c r="D217" s="6">
        <v>170</v>
      </c>
      <c r="E217">
        <v>108.208674188229</v>
      </c>
      <c r="F217">
        <v>157.544431726836</v>
      </c>
      <c r="G217" s="7">
        <f t="shared" si="6"/>
        <v>3.33063396546189</v>
      </c>
      <c r="H217" s="7">
        <f t="shared" si="6"/>
        <v>7.32680486656706</v>
      </c>
      <c r="J217">
        <v>189</v>
      </c>
      <c r="K217">
        <v>101.870869522418</v>
      </c>
      <c r="L217">
        <v>10.6624864775811</v>
      </c>
      <c r="M217">
        <v>1.08313103127412</v>
      </c>
      <c r="N217">
        <v>73.3463035019455</v>
      </c>
      <c r="O217" s="6">
        <v>108.672516</v>
      </c>
      <c r="Q217" s="9"/>
      <c r="R217" s="10"/>
      <c r="Z217">
        <v>189</v>
      </c>
      <c r="AA217">
        <v>157.830543558131</v>
      </c>
      <c r="AB217">
        <v>0.70304144186889</v>
      </c>
      <c r="AC217">
        <v>0.0391142212987205</v>
      </c>
      <c r="AE217">
        <v>73.3463035019455</v>
      </c>
      <c r="AF217">
        <v>173.206619</v>
      </c>
    </row>
    <row r="218" spans="2:32">
      <c r="B218" s="5">
        <v>216</v>
      </c>
      <c r="C218" s="6">
        <v>110.149963</v>
      </c>
      <c r="D218" s="6">
        <v>170.339996</v>
      </c>
      <c r="E218">
        <v>108.452435906145</v>
      </c>
      <c r="F218">
        <v>157.533427425632</v>
      </c>
      <c r="G218" s="7">
        <f t="shared" si="6"/>
        <v>1.54110545988563</v>
      </c>
      <c r="H218" s="7">
        <f t="shared" si="6"/>
        <v>7.51823933022049</v>
      </c>
      <c r="J218">
        <v>190</v>
      </c>
      <c r="K218">
        <v>102.114631240334</v>
      </c>
      <c r="L218">
        <v>7.07199175966539</v>
      </c>
      <c r="M218">
        <v>0.7183965713733</v>
      </c>
      <c r="N218">
        <v>73.7354085603112</v>
      </c>
      <c r="O218" s="6">
        <v>109.186623</v>
      </c>
      <c r="Q218" s="9"/>
      <c r="R218" s="10"/>
      <c r="Z218">
        <v>190</v>
      </c>
      <c r="AA218">
        <v>157.819539256927</v>
      </c>
      <c r="AB218">
        <v>1.55927574307256</v>
      </c>
      <c r="AC218">
        <v>0.0867514386038725</v>
      </c>
      <c r="AE218">
        <v>73.7354085603112</v>
      </c>
      <c r="AF218">
        <v>173.216461</v>
      </c>
    </row>
    <row r="219" spans="2:32">
      <c r="B219" s="5">
        <v>217</v>
      </c>
      <c r="C219" s="6">
        <v>106.655991</v>
      </c>
      <c r="D219" s="6">
        <v>168.699997</v>
      </c>
      <c r="E219">
        <v>108.696197624061</v>
      </c>
      <c r="F219">
        <v>157.522423124428</v>
      </c>
      <c r="G219" s="7">
        <f t="shared" si="6"/>
        <v>1.91288515997287</v>
      </c>
      <c r="H219" s="7">
        <f t="shared" si="6"/>
        <v>6.62571077317328</v>
      </c>
      <c r="J219">
        <v>191</v>
      </c>
      <c r="K219">
        <v>102.35839295825</v>
      </c>
      <c r="L219">
        <v>10.4569760417495</v>
      </c>
      <c r="M219">
        <v>1.06225459398457</v>
      </c>
      <c r="N219">
        <v>74.124513618677</v>
      </c>
      <c r="O219" s="6">
        <v>109.279099</v>
      </c>
      <c r="Q219" s="9"/>
      <c r="R219" s="10"/>
      <c r="Z219">
        <v>191</v>
      </c>
      <c r="AA219">
        <v>157.808534955723</v>
      </c>
      <c r="AB219">
        <v>1.3614630442762</v>
      </c>
      <c r="AC219">
        <v>0.0757459854177136</v>
      </c>
      <c r="AE219">
        <v>74.124513618677</v>
      </c>
      <c r="AF219">
        <v>173.259995</v>
      </c>
    </row>
    <row r="220" spans="2:32">
      <c r="B220" s="5">
        <v>218</v>
      </c>
      <c r="C220" s="6">
        <v>109.890411</v>
      </c>
      <c r="D220" s="6">
        <v>161.369995</v>
      </c>
      <c r="E220">
        <v>108.939959341977</v>
      </c>
      <c r="F220">
        <v>157.511418823225</v>
      </c>
      <c r="G220" s="7">
        <f t="shared" si="6"/>
        <v>0.864908638864768</v>
      </c>
      <c r="H220" s="7">
        <f t="shared" si="6"/>
        <v>2.39113608250096</v>
      </c>
      <c r="J220">
        <v>192</v>
      </c>
      <c r="K220">
        <v>102.602154676166</v>
      </c>
      <c r="L220">
        <v>12.2097653238337</v>
      </c>
      <c r="M220">
        <v>1.24030879050823</v>
      </c>
      <c r="N220">
        <v>74.5136186770428</v>
      </c>
      <c r="O220" s="6">
        <v>109.675194</v>
      </c>
      <c r="Q220" s="9"/>
      <c r="R220" s="10"/>
      <c r="Z220">
        <v>192</v>
      </c>
      <c r="AA220">
        <v>157.79753065452</v>
      </c>
      <c r="AB220">
        <v>1.18246534547986</v>
      </c>
      <c r="AC220">
        <v>0.0657873184235318</v>
      </c>
      <c r="AE220">
        <v>74.5136186770428</v>
      </c>
      <c r="AF220">
        <v>173.265564</v>
      </c>
    </row>
    <row r="221" spans="2:32">
      <c r="B221" s="5">
        <v>219</v>
      </c>
      <c r="C221" s="6">
        <v>111.617432</v>
      </c>
      <c r="D221" s="6">
        <v>162.679993</v>
      </c>
      <c r="E221">
        <v>109.183721059892</v>
      </c>
      <c r="F221">
        <v>157.500414522021</v>
      </c>
      <c r="G221" s="7">
        <f t="shared" si="6"/>
        <v>2.1804039893231</v>
      </c>
      <c r="H221" s="7">
        <f t="shared" si="6"/>
        <v>3.18390625820779</v>
      </c>
      <c r="J221">
        <v>193</v>
      </c>
      <c r="K221">
        <v>102.845916394082</v>
      </c>
      <c r="L221">
        <v>11.8636856059179</v>
      </c>
      <c r="M221">
        <v>1.20515285548713</v>
      </c>
      <c r="N221">
        <v>74.9027237354085</v>
      </c>
      <c r="O221" s="6">
        <v>109.890411</v>
      </c>
      <c r="Q221" s="9"/>
      <c r="R221" s="10"/>
      <c r="Z221">
        <v>193</v>
      </c>
      <c r="AA221">
        <v>157.786526353316</v>
      </c>
      <c r="AB221">
        <v>2.49347264668352</v>
      </c>
      <c r="AC221">
        <v>0.138726161924995</v>
      </c>
      <c r="AE221">
        <v>74.9027237354085</v>
      </c>
      <c r="AF221">
        <v>173.285187</v>
      </c>
    </row>
    <row r="222" spans="2:32">
      <c r="B222" s="5">
        <v>220</v>
      </c>
      <c r="C222" s="6">
        <v>106.935509</v>
      </c>
      <c r="D222" s="6">
        <v>158.789993</v>
      </c>
      <c r="E222">
        <v>109.427482777808</v>
      </c>
      <c r="F222">
        <v>157.489410220817</v>
      </c>
      <c r="G222" s="7">
        <f t="shared" si="6"/>
        <v>2.33035200478449</v>
      </c>
      <c r="H222" s="7">
        <f t="shared" si="6"/>
        <v>0.819058401988218</v>
      </c>
      <c r="J222">
        <v>194</v>
      </c>
      <c r="K222">
        <v>103.089678111997</v>
      </c>
      <c r="L222">
        <v>11.3204318880021</v>
      </c>
      <c r="M222">
        <v>1.14996732620493</v>
      </c>
      <c r="N222">
        <v>75.2918287937743</v>
      </c>
      <c r="O222" s="6">
        <v>110.149963</v>
      </c>
      <c r="Q222" s="9"/>
      <c r="R222" s="10"/>
      <c r="Z222">
        <v>194</v>
      </c>
      <c r="AA222">
        <v>157.775522052112</v>
      </c>
      <c r="AB222">
        <v>0.984472947887184</v>
      </c>
      <c r="AC222">
        <v>0.0547718675643081</v>
      </c>
      <c r="AE222">
        <v>75.2918287937743</v>
      </c>
      <c r="AF222">
        <v>173.294998</v>
      </c>
    </row>
    <row r="223" spans="2:32">
      <c r="B223" s="5">
        <v>221</v>
      </c>
      <c r="C223" s="6">
        <v>108.033615</v>
      </c>
      <c r="D223" s="6">
        <v>158.759995</v>
      </c>
      <c r="E223">
        <v>109.671244495724</v>
      </c>
      <c r="F223">
        <v>157.478405919614</v>
      </c>
      <c r="G223" s="7">
        <f t="shared" si="6"/>
        <v>1.51585179827964</v>
      </c>
      <c r="H223" s="7">
        <f t="shared" si="6"/>
        <v>0.807249383187495</v>
      </c>
      <c r="J223">
        <v>195</v>
      </c>
      <c r="K223">
        <v>103.333439829913</v>
      </c>
      <c r="L223">
        <v>12.0300321700864</v>
      </c>
      <c r="M223">
        <v>1.22205089573089</v>
      </c>
      <c r="N223">
        <v>75.68093385214</v>
      </c>
      <c r="O223" s="6">
        <v>110.249794</v>
      </c>
      <c r="Q223" s="9"/>
      <c r="R223" s="10"/>
      <c r="Z223">
        <v>195</v>
      </c>
      <c r="AA223">
        <v>157.764517750909</v>
      </c>
      <c r="AB223">
        <v>-0.384512750909152</v>
      </c>
      <c r="AC223">
        <v>-0.0213926462019932</v>
      </c>
      <c r="AE223">
        <v>75.68093385214</v>
      </c>
      <c r="AF223">
        <v>173.314636</v>
      </c>
    </row>
    <row r="224" spans="2:32">
      <c r="B224" s="5">
        <v>222</v>
      </c>
      <c r="C224" s="6">
        <v>112.086624</v>
      </c>
      <c r="D224" s="6">
        <v>161.490005</v>
      </c>
      <c r="E224">
        <v>109.91500621364</v>
      </c>
      <c r="F224">
        <v>157.46740161841</v>
      </c>
      <c r="G224" s="7">
        <f t="shared" si="6"/>
        <v>1.93744597603368</v>
      </c>
      <c r="H224" s="7">
        <f t="shared" si="6"/>
        <v>2.49093024772028</v>
      </c>
      <c r="J224">
        <v>196</v>
      </c>
      <c r="K224">
        <v>103.577201547829</v>
      </c>
      <c r="L224">
        <v>11.9310154521705</v>
      </c>
      <c r="M224">
        <v>1.21199244641749</v>
      </c>
      <c r="N224">
        <v>76.0700389105058</v>
      </c>
      <c r="O224" s="6">
        <v>110.921135</v>
      </c>
      <c r="Q224" s="9"/>
      <c r="R224" s="10"/>
      <c r="Z224">
        <v>196</v>
      </c>
      <c r="AA224">
        <v>157.753513449705</v>
      </c>
      <c r="AB224">
        <v>-0.903507449705529</v>
      </c>
      <c r="AC224">
        <v>-0.0502672932606656</v>
      </c>
      <c r="AE224">
        <v>76.0700389105058</v>
      </c>
      <c r="AF224">
        <v>173.470001</v>
      </c>
    </row>
    <row r="225" spans="2:32">
      <c r="B225" s="5">
        <v>223</v>
      </c>
      <c r="C225" s="6">
        <v>114.762009</v>
      </c>
      <c r="D225" s="6">
        <v>164.639999</v>
      </c>
      <c r="E225">
        <v>110.158767931556</v>
      </c>
      <c r="F225">
        <v>157.456397317206</v>
      </c>
      <c r="G225" s="7">
        <f t="shared" si="6"/>
        <v>4.0111192794159</v>
      </c>
      <c r="H225" s="7">
        <f t="shared" si="6"/>
        <v>4.36321776386428</v>
      </c>
      <c r="J225">
        <v>197</v>
      </c>
      <c r="K225">
        <v>103.820963265745</v>
      </c>
      <c r="L225">
        <v>14.2503337342547</v>
      </c>
      <c r="M225">
        <v>1.44759655320897</v>
      </c>
      <c r="N225">
        <v>76.4591439688716</v>
      </c>
      <c r="O225" s="6">
        <v>111.008476</v>
      </c>
      <c r="Q225" s="9"/>
      <c r="R225" s="10"/>
      <c r="Z225">
        <v>197</v>
      </c>
      <c r="AA225">
        <v>157.742509148501</v>
      </c>
      <c r="AB225">
        <v>-1.57251114850188</v>
      </c>
      <c r="AC225">
        <v>-0.087487799998963</v>
      </c>
      <c r="AE225">
        <v>76.4591439688716</v>
      </c>
      <c r="AF225">
        <v>173.481537</v>
      </c>
    </row>
    <row r="226" spans="2:32">
      <c r="B226" s="5">
        <v>224</v>
      </c>
      <c r="C226" s="6">
        <v>113.893501</v>
      </c>
      <c r="D226" s="6">
        <v>164.509995</v>
      </c>
      <c r="E226">
        <v>110.402529649471</v>
      </c>
      <c r="F226">
        <v>157.445393016003</v>
      </c>
      <c r="G226" s="7">
        <f t="shared" si="6"/>
        <v>3.0651190101962</v>
      </c>
      <c r="H226" s="7">
        <f t="shared" si="6"/>
        <v>4.29432994876512</v>
      </c>
      <c r="J226">
        <v>198</v>
      </c>
      <c r="K226">
        <v>104.064724983661</v>
      </c>
      <c r="L226">
        <v>20.0910750163389</v>
      </c>
      <c r="M226">
        <v>2.04091858382264</v>
      </c>
      <c r="N226">
        <v>76.8482490272373</v>
      </c>
      <c r="O226" s="6">
        <v>111.617432</v>
      </c>
      <c r="Q226" s="9"/>
      <c r="R226" s="10"/>
      <c r="Z226">
        <v>198</v>
      </c>
      <c r="AA226">
        <v>157.731504847298</v>
      </c>
      <c r="AB226">
        <v>-0.231504847298225</v>
      </c>
      <c r="AC226">
        <v>-0.0128799403416078</v>
      </c>
      <c r="AE226">
        <v>76.8482490272373</v>
      </c>
      <c r="AF226">
        <v>173.569901</v>
      </c>
    </row>
    <row r="227" spans="2:32">
      <c r="B227" s="5">
        <v>225</v>
      </c>
      <c r="C227" s="6">
        <v>115.610542</v>
      </c>
      <c r="D227" s="6">
        <v>164.610001</v>
      </c>
      <c r="E227">
        <v>110.646291367387</v>
      </c>
      <c r="F227">
        <v>157.434388714799</v>
      </c>
      <c r="G227" s="7">
        <f t="shared" si="6"/>
        <v>4.29394287643163</v>
      </c>
      <c r="H227" s="7">
        <f t="shared" si="6"/>
        <v>4.35915937161133</v>
      </c>
      <c r="J227">
        <v>199</v>
      </c>
      <c r="K227">
        <v>104.308486701576</v>
      </c>
      <c r="L227">
        <v>21.3322522984231</v>
      </c>
      <c r="M227">
        <v>2.16700152257848</v>
      </c>
      <c r="N227">
        <v>77.2373540856031</v>
      </c>
      <c r="O227" s="6">
        <v>111.807106</v>
      </c>
      <c r="Q227" s="9"/>
      <c r="R227" s="10"/>
      <c r="Z227">
        <v>199</v>
      </c>
      <c r="AA227">
        <v>157.720500546094</v>
      </c>
      <c r="AB227">
        <v>1.64949445390541</v>
      </c>
      <c r="AC227">
        <v>0.0917708221147805</v>
      </c>
      <c r="AE227">
        <v>77.2373540856031</v>
      </c>
      <c r="AF227">
        <v>173.610001</v>
      </c>
    </row>
    <row r="228" spans="2:32">
      <c r="B228" s="5">
        <v>226</v>
      </c>
      <c r="C228" s="6">
        <v>116.58886</v>
      </c>
      <c r="D228" s="6">
        <v>163.679993</v>
      </c>
      <c r="E228">
        <v>110.890053085303</v>
      </c>
      <c r="F228">
        <v>157.423384413595</v>
      </c>
      <c r="G228" s="7">
        <f t="shared" si="6"/>
        <v>4.88795148584265</v>
      </c>
      <c r="H228" s="7">
        <f t="shared" si="6"/>
        <v>3.8224638648445</v>
      </c>
      <c r="J228">
        <v>200</v>
      </c>
      <c r="K228">
        <v>104.552248419492</v>
      </c>
      <c r="L228">
        <v>20.0577675805073</v>
      </c>
      <c r="M228">
        <v>2.03753510311228</v>
      </c>
      <c r="N228">
        <v>77.6264591439688</v>
      </c>
      <c r="O228" s="6">
        <v>111.936882</v>
      </c>
      <c r="Q228" s="9"/>
      <c r="R228" s="10"/>
      <c r="Z228">
        <v>200</v>
      </c>
      <c r="AA228">
        <v>157.70949624489</v>
      </c>
      <c r="AB228">
        <v>6.82050275510908</v>
      </c>
      <c r="AC228">
        <v>0.379463625106784</v>
      </c>
      <c r="AE228">
        <v>77.6264591439688</v>
      </c>
      <c r="AF228">
        <v>173.658264</v>
      </c>
    </row>
    <row r="229" spans="2:32">
      <c r="B229" s="5">
        <v>227</v>
      </c>
      <c r="C229" s="6">
        <v>112.825348</v>
      </c>
      <c r="D229" s="6">
        <v>165.610001</v>
      </c>
      <c r="E229">
        <v>111.133814803219</v>
      </c>
      <c r="F229">
        <v>157.412380112392</v>
      </c>
      <c r="G229" s="7">
        <f t="shared" si="6"/>
        <v>1.49924926159413</v>
      </c>
      <c r="H229" s="7">
        <f t="shared" si="6"/>
        <v>4.94995521895325</v>
      </c>
      <c r="J229">
        <v>201</v>
      </c>
      <c r="K229">
        <v>104.796010137408</v>
      </c>
      <c r="L229">
        <v>21.5085858625915</v>
      </c>
      <c r="M229">
        <v>2.18491407567832</v>
      </c>
      <c r="N229">
        <v>78.0155642023346</v>
      </c>
      <c r="O229" s="6">
        <v>112.086624</v>
      </c>
      <c r="Q229" s="9"/>
      <c r="R229" s="10"/>
      <c r="Z229">
        <v>201</v>
      </c>
      <c r="AA229">
        <v>157.698491943687</v>
      </c>
      <c r="AB229">
        <v>7.61150605631274</v>
      </c>
      <c r="AC229">
        <v>0.423471668343969</v>
      </c>
      <c r="AE229">
        <v>78.0155642023346</v>
      </c>
      <c r="AF229">
        <v>173.677887</v>
      </c>
    </row>
    <row r="230" spans="2:32">
      <c r="B230" s="5">
        <v>228</v>
      </c>
      <c r="C230" s="6">
        <v>116.299355</v>
      </c>
      <c r="D230" s="6">
        <v>168.720001</v>
      </c>
      <c r="E230">
        <v>111.377576521135</v>
      </c>
      <c r="F230">
        <v>157.401375811188</v>
      </c>
      <c r="G230" s="7">
        <f t="shared" si="6"/>
        <v>4.23199120826165</v>
      </c>
      <c r="H230" s="7">
        <f t="shared" si="6"/>
        <v>6.70852603231789</v>
      </c>
      <c r="J230">
        <v>202</v>
      </c>
      <c r="K230">
        <v>105.039771855324</v>
      </c>
      <c r="L230">
        <v>19.7549291446757</v>
      </c>
      <c r="M230">
        <v>2.00677176212222</v>
      </c>
      <c r="N230">
        <v>78.4046692607004</v>
      </c>
      <c r="O230" s="6">
        <v>112.533356</v>
      </c>
      <c r="Q230" s="9"/>
      <c r="R230" s="10"/>
      <c r="Z230">
        <v>202</v>
      </c>
      <c r="AA230">
        <v>157.687487642483</v>
      </c>
      <c r="AB230">
        <v>8.30251735751636</v>
      </c>
      <c r="AC230">
        <v>0.461916584028236</v>
      </c>
      <c r="AE230">
        <v>78.4046692607004</v>
      </c>
      <c r="AF230">
        <v>173.72699</v>
      </c>
    </row>
    <row r="231" spans="2:32">
      <c r="B231" s="5">
        <v>229</v>
      </c>
      <c r="C231" s="6">
        <v>112.965111</v>
      </c>
      <c r="D231" s="6">
        <v>166.889999</v>
      </c>
      <c r="E231">
        <v>111.62133823905</v>
      </c>
      <c r="F231">
        <v>157.390371509985</v>
      </c>
      <c r="G231" s="7">
        <f t="shared" si="6"/>
        <v>1.18954670964736</v>
      </c>
      <c r="H231" s="7">
        <f t="shared" si="6"/>
        <v>5.69214904843699</v>
      </c>
      <c r="J231">
        <v>203</v>
      </c>
      <c r="K231">
        <v>105.28353357324</v>
      </c>
      <c r="L231">
        <v>19.3090184267599</v>
      </c>
      <c r="M231">
        <v>1.96147466029069</v>
      </c>
      <c r="N231">
        <v>78.7937743190661</v>
      </c>
      <c r="O231" s="6">
        <v>112.625694</v>
      </c>
      <c r="Q231" s="9"/>
      <c r="R231" s="10"/>
      <c r="Z231">
        <v>203</v>
      </c>
      <c r="AA231">
        <v>157.676483341279</v>
      </c>
      <c r="AB231">
        <v>10.70352165872</v>
      </c>
      <c r="AC231">
        <v>0.595498202384632</v>
      </c>
      <c r="AE231">
        <v>78.7937743190661</v>
      </c>
      <c r="AF231">
        <v>173.756439</v>
      </c>
    </row>
    <row r="232" spans="2:32">
      <c r="B232" s="5">
        <v>230</v>
      </c>
      <c r="C232" s="6">
        <v>114.881805</v>
      </c>
      <c r="D232" s="6">
        <v>171.550003</v>
      </c>
      <c r="E232">
        <v>111.865099956966</v>
      </c>
      <c r="F232">
        <v>157.379367208781</v>
      </c>
      <c r="G232" s="7">
        <f t="shared" si="6"/>
        <v>2.62592065212937</v>
      </c>
      <c r="H232" s="7">
        <f t="shared" si="6"/>
        <v>8.26035298362484</v>
      </c>
      <c r="J232">
        <v>204</v>
      </c>
      <c r="K232">
        <v>105.527295291155</v>
      </c>
      <c r="L232">
        <v>23.2904537088441</v>
      </c>
      <c r="M232">
        <v>2.36592216998763</v>
      </c>
      <c r="N232">
        <v>79.1828793774319</v>
      </c>
      <c r="O232" s="6">
        <v>112.815369</v>
      </c>
      <c r="Q232" s="9"/>
      <c r="R232" s="10"/>
      <c r="Z232">
        <v>204</v>
      </c>
      <c r="AA232">
        <v>157.665479040076</v>
      </c>
      <c r="AB232">
        <v>7.88452395992368</v>
      </c>
      <c r="AC232">
        <v>0.438661217728089</v>
      </c>
      <c r="AE232">
        <v>79.1828793774319</v>
      </c>
      <c r="AF232">
        <v>173.776062</v>
      </c>
    </row>
    <row r="233" spans="2:32">
      <c r="B233" s="5">
        <v>231</v>
      </c>
      <c r="C233" s="6">
        <v>114.771988</v>
      </c>
      <c r="D233" s="6">
        <v>173.779999</v>
      </c>
      <c r="E233">
        <v>112.108861674882</v>
      </c>
      <c r="F233">
        <v>157.368362907577</v>
      </c>
      <c r="G233" s="7">
        <f t="shared" si="6"/>
        <v>2.32036263510396</v>
      </c>
      <c r="H233" s="7">
        <f t="shared" si="6"/>
        <v>9.44391540272883</v>
      </c>
      <c r="J233">
        <v>205</v>
      </c>
      <c r="K233">
        <v>105.771057009071</v>
      </c>
      <c r="L233">
        <v>28.1778409909283</v>
      </c>
      <c r="M233">
        <v>2.86239931330784</v>
      </c>
      <c r="N233">
        <v>79.5719844357976</v>
      </c>
      <c r="O233" s="6">
        <v>112.825348</v>
      </c>
      <c r="Q233" s="9"/>
      <c r="R233" s="10"/>
      <c r="Z233">
        <v>205</v>
      </c>
      <c r="AA233">
        <v>157.654474738872</v>
      </c>
      <c r="AB233">
        <v>10.3155262611273</v>
      </c>
      <c r="AC233">
        <v>0.573911796604649</v>
      </c>
      <c r="AE233">
        <v>79.5719844357976</v>
      </c>
      <c r="AF233">
        <v>173.779999</v>
      </c>
    </row>
    <row r="234" spans="2:32">
      <c r="B234" s="5">
        <v>232</v>
      </c>
      <c r="C234" s="6">
        <v>116.768547</v>
      </c>
      <c r="D234" s="6">
        <v>174.380005</v>
      </c>
      <c r="E234">
        <v>112.352623392798</v>
      </c>
      <c r="F234">
        <v>157.357358606374</v>
      </c>
      <c r="G234" s="7">
        <f t="shared" si="6"/>
        <v>3.78177490484831</v>
      </c>
      <c r="H234" s="7">
        <f t="shared" si="6"/>
        <v>9.76181093332691</v>
      </c>
      <c r="J234">
        <v>206</v>
      </c>
      <c r="K234">
        <v>106.014818726987</v>
      </c>
      <c r="L234">
        <v>25.1588722730125</v>
      </c>
      <c r="M234">
        <v>2.55572237564459</v>
      </c>
      <c r="N234">
        <v>79.9610894941634</v>
      </c>
      <c r="O234" s="6">
        <v>112.965111</v>
      </c>
      <c r="Q234" s="9"/>
      <c r="R234" s="10"/>
      <c r="Z234">
        <v>206</v>
      </c>
      <c r="AA234">
        <v>157.643470437669</v>
      </c>
      <c r="AB234">
        <v>14.8265305623309</v>
      </c>
      <c r="AC234">
        <v>0.824884797638157</v>
      </c>
      <c r="AE234">
        <v>79.9610894941634</v>
      </c>
      <c r="AF234">
        <v>173.903717</v>
      </c>
    </row>
    <row r="235" spans="2:32">
      <c r="B235" s="5">
        <v>233</v>
      </c>
      <c r="C235" s="6">
        <v>124.185753</v>
      </c>
      <c r="D235" s="6">
        <v>175.360001</v>
      </c>
      <c r="E235">
        <v>112.596385110714</v>
      </c>
      <c r="F235">
        <v>157.34635430517</v>
      </c>
      <c r="G235" s="7">
        <f t="shared" si="6"/>
        <v>9.33228458926847</v>
      </c>
      <c r="H235" s="7">
        <f t="shared" si="6"/>
        <v>10.2723805840022</v>
      </c>
      <c r="J235">
        <v>207</v>
      </c>
      <c r="K235">
        <v>106.258580444903</v>
      </c>
      <c r="L235">
        <v>14.4132255550967</v>
      </c>
      <c r="M235">
        <v>1.46414364907312</v>
      </c>
      <c r="N235">
        <v>80.3501945525291</v>
      </c>
      <c r="O235" s="6">
        <v>113.29454</v>
      </c>
      <c r="Q235" s="9"/>
      <c r="R235" s="10"/>
      <c r="Z235">
        <v>207</v>
      </c>
      <c r="AA235">
        <v>157.632466136465</v>
      </c>
      <c r="AB235">
        <v>8.66753686353465</v>
      </c>
      <c r="AC235">
        <v>0.482224709391081</v>
      </c>
      <c r="AE235">
        <v>80.3501945525291</v>
      </c>
      <c r="AF235">
        <v>173.992081</v>
      </c>
    </row>
    <row r="236" spans="2:32">
      <c r="B236" s="5">
        <v>234</v>
      </c>
      <c r="C236" s="6">
        <v>120.891434</v>
      </c>
      <c r="D236" s="6">
        <v>171.550003</v>
      </c>
      <c r="E236">
        <v>112.840146828629</v>
      </c>
      <c r="F236">
        <v>157.335350003966</v>
      </c>
      <c r="G236" s="7">
        <f t="shared" si="6"/>
        <v>6.65993189506793</v>
      </c>
      <c r="H236" s="7">
        <f t="shared" si="6"/>
        <v>8.28601151119421</v>
      </c>
      <c r="J236">
        <v>208</v>
      </c>
      <c r="K236">
        <v>106.502342162819</v>
      </c>
      <c r="L236">
        <v>14.2493288371809</v>
      </c>
      <c r="M236">
        <v>1.44749447240388</v>
      </c>
      <c r="N236">
        <v>80.7392996108949</v>
      </c>
      <c r="O236" s="6">
        <v>113.501678</v>
      </c>
      <c r="Q236" s="9"/>
      <c r="R236" s="10"/>
      <c r="Z236">
        <v>208</v>
      </c>
      <c r="AA236">
        <v>157.621461835261</v>
      </c>
      <c r="AB236">
        <v>9.06854016473829</v>
      </c>
      <c r="AC236">
        <v>0.504534819337234</v>
      </c>
      <c r="AE236">
        <v>80.7392996108949</v>
      </c>
      <c r="AF236">
        <v>174.158981</v>
      </c>
    </row>
    <row r="237" spans="2:32">
      <c r="B237" s="5">
        <v>235</v>
      </c>
      <c r="C237" s="6">
        <v>120.981277</v>
      </c>
      <c r="D237" s="6">
        <v>173.470001</v>
      </c>
      <c r="E237">
        <v>113.083908546545</v>
      </c>
      <c r="F237">
        <v>157.324345702763</v>
      </c>
      <c r="G237" s="7">
        <f t="shared" si="6"/>
        <v>6.52776086456337</v>
      </c>
      <c r="H237" s="7">
        <f t="shared" si="6"/>
        <v>9.30746250312006</v>
      </c>
      <c r="J237">
        <v>209</v>
      </c>
      <c r="K237">
        <v>106.746103880734</v>
      </c>
      <c r="L237">
        <v>5.87959011926517</v>
      </c>
      <c r="M237">
        <v>0.597268425403296</v>
      </c>
      <c r="N237">
        <v>81.1284046692607</v>
      </c>
      <c r="O237" s="6">
        <v>113.893501</v>
      </c>
      <c r="Q237" s="9"/>
      <c r="R237" s="10"/>
      <c r="Z237">
        <v>209</v>
      </c>
      <c r="AA237">
        <v>157.610457534058</v>
      </c>
      <c r="AB237">
        <v>6.65954646594192</v>
      </c>
      <c r="AC237">
        <v>0.370508705042372</v>
      </c>
      <c r="AE237">
        <v>81.1284046692607</v>
      </c>
      <c r="AF237">
        <v>174.276794</v>
      </c>
    </row>
    <row r="238" spans="2:32">
      <c r="B238" s="5">
        <v>236</v>
      </c>
      <c r="C238" s="6">
        <v>120.502106</v>
      </c>
      <c r="D238" s="6">
        <v>172.610001</v>
      </c>
      <c r="E238">
        <v>113.327670264461</v>
      </c>
      <c r="F238">
        <v>157.313341401559</v>
      </c>
      <c r="G238" s="7">
        <f t="shared" si="6"/>
        <v>5.9537845218564</v>
      </c>
      <c r="H238" s="7">
        <f t="shared" si="6"/>
        <v>8.86197758520435</v>
      </c>
      <c r="J238">
        <v>210</v>
      </c>
      <c r="K238">
        <v>106.98986559865</v>
      </c>
      <c r="L238">
        <v>10.1280774013493</v>
      </c>
      <c r="M238">
        <v>1.02884397027027</v>
      </c>
      <c r="N238">
        <v>81.5175097276264</v>
      </c>
      <c r="O238" s="6">
        <v>114.41011</v>
      </c>
      <c r="Q238" s="9"/>
      <c r="R238" s="10"/>
      <c r="Z238">
        <v>210</v>
      </c>
      <c r="AA238">
        <v>157.599453232854</v>
      </c>
      <c r="AB238">
        <v>8.15054676714558</v>
      </c>
      <c r="AC238">
        <v>0.453461589843457</v>
      </c>
      <c r="AE238">
        <v>81.5175097276264</v>
      </c>
      <c r="AF238">
        <v>174.374969</v>
      </c>
    </row>
    <row r="239" spans="2:32">
      <c r="B239" s="5">
        <v>237</v>
      </c>
      <c r="C239" s="6">
        <v>118.81501</v>
      </c>
      <c r="D239" s="6">
        <v>174.860001</v>
      </c>
      <c r="E239">
        <v>113.571431982377</v>
      </c>
      <c r="F239">
        <v>157.302337100355</v>
      </c>
      <c r="G239" s="7">
        <f t="shared" si="6"/>
        <v>4.41322861280153</v>
      </c>
      <c r="H239" s="7">
        <f t="shared" si="6"/>
        <v>10.0409835292435</v>
      </c>
      <c r="J239">
        <v>211</v>
      </c>
      <c r="K239">
        <v>107.233627316566</v>
      </c>
      <c r="L239">
        <v>6.06091268343358</v>
      </c>
      <c r="M239">
        <v>0.615687777806128</v>
      </c>
      <c r="N239">
        <v>81.9066147859922</v>
      </c>
      <c r="O239" s="6">
        <v>114.709602</v>
      </c>
      <c r="Q239" s="9"/>
      <c r="R239" s="10"/>
      <c r="Z239">
        <v>211</v>
      </c>
      <c r="AA239">
        <v>157.58844893165</v>
      </c>
      <c r="AB239">
        <v>6.68155506834924</v>
      </c>
      <c r="AC239">
        <v>0.371733169624071</v>
      </c>
      <c r="AE239">
        <v>81.9066147859922</v>
      </c>
      <c r="AF239">
        <v>174.380005</v>
      </c>
    </row>
    <row r="240" spans="2:32">
      <c r="B240" s="5">
        <v>238</v>
      </c>
      <c r="C240" s="6">
        <v>115.780251</v>
      </c>
      <c r="D240" s="6">
        <v>171.589996</v>
      </c>
      <c r="E240">
        <v>113.815193700293</v>
      </c>
      <c r="F240">
        <v>157.291332799152</v>
      </c>
      <c r="G240" s="7">
        <f t="shared" si="6"/>
        <v>1.69723012580705</v>
      </c>
      <c r="H240" s="7">
        <f t="shared" si="6"/>
        <v>8.33304011549019</v>
      </c>
      <c r="J240">
        <v>212</v>
      </c>
      <c r="K240">
        <v>107.477389034482</v>
      </c>
      <c r="L240">
        <v>4.32971696551777</v>
      </c>
      <c r="M240">
        <v>0.439827127738614</v>
      </c>
      <c r="N240">
        <v>82.2957198443579</v>
      </c>
      <c r="O240" s="6">
        <v>114.752022</v>
      </c>
      <c r="Q240" s="9"/>
      <c r="R240" s="10"/>
      <c r="Z240">
        <v>212</v>
      </c>
      <c r="AA240">
        <v>157.577444630447</v>
      </c>
      <c r="AB240">
        <v>8.87255236955289</v>
      </c>
      <c r="AC240">
        <v>0.493630895989057</v>
      </c>
      <c r="AE240">
        <v>82.2957198443579</v>
      </c>
      <c r="AF240">
        <v>174.522232</v>
      </c>
    </row>
    <row r="241" spans="2:32">
      <c r="B241" s="5">
        <v>239</v>
      </c>
      <c r="C241" s="6">
        <v>117.307617</v>
      </c>
      <c r="D241" s="6">
        <v>173.259995</v>
      </c>
      <c r="E241">
        <v>114.058955418208</v>
      </c>
      <c r="F241">
        <v>157.280328497948</v>
      </c>
      <c r="G241" s="7">
        <f t="shared" si="6"/>
        <v>2.76935263444316</v>
      </c>
      <c r="H241" s="7">
        <f t="shared" si="6"/>
        <v>9.22294064596504</v>
      </c>
      <c r="J241">
        <v>213</v>
      </c>
      <c r="K241">
        <v>107.721150752398</v>
      </c>
      <c r="L241">
        <v>7.44016524760198</v>
      </c>
      <c r="M241">
        <v>0.755796865433697</v>
      </c>
      <c r="N241">
        <v>82.6848249027237</v>
      </c>
      <c r="O241" s="6">
        <v>114.762009</v>
      </c>
      <c r="Q241" s="9"/>
      <c r="R241" s="10"/>
      <c r="Z241">
        <v>213</v>
      </c>
      <c r="AA241">
        <v>157.566440329243</v>
      </c>
      <c r="AB241">
        <v>10.9035606707565</v>
      </c>
      <c r="AC241">
        <v>0.606627518125072</v>
      </c>
      <c r="AE241">
        <v>82.6848249027237</v>
      </c>
      <c r="AF241">
        <v>174.860001</v>
      </c>
    </row>
    <row r="242" spans="2:32">
      <c r="B242" s="5">
        <v>240</v>
      </c>
      <c r="C242" s="6">
        <v>116.668724</v>
      </c>
      <c r="D242" s="6">
        <v>172.869995</v>
      </c>
      <c r="E242">
        <v>114.302717136124</v>
      </c>
      <c r="F242">
        <v>157.269324196744</v>
      </c>
      <c r="G242" s="7">
        <f t="shared" si="6"/>
        <v>2.02797012151774</v>
      </c>
      <c r="H242" s="7">
        <f t="shared" si="6"/>
        <v>9.02451047288801</v>
      </c>
      <c r="J242">
        <v>214</v>
      </c>
      <c r="K242">
        <v>107.964912470313</v>
      </c>
      <c r="L242">
        <v>7.37609852968617</v>
      </c>
      <c r="M242">
        <v>0.749288753991549</v>
      </c>
      <c r="N242">
        <v>83.0739299610895</v>
      </c>
      <c r="O242" s="6">
        <v>114.771988</v>
      </c>
      <c r="Q242" s="9"/>
      <c r="R242" s="10"/>
      <c r="Z242">
        <v>214</v>
      </c>
      <c r="AA242">
        <v>157.555436028039</v>
      </c>
      <c r="AB242">
        <v>10.7445669719602</v>
      </c>
      <c r="AC242">
        <v>0.597781788201541</v>
      </c>
      <c r="AE242">
        <v>83.0739299610895</v>
      </c>
      <c r="AF242">
        <v>175.09166</v>
      </c>
    </row>
    <row r="243" spans="2:32">
      <c r="B243" s="5">
        <v>241</v>
      </c>
      <c r="C243" s="6">
        <v>115.550644</v>
      </c>
      <c r="D243" s="6">
        <v>176.850006</v>
      </c>
      <c r="E243">
        <v>114.54647885404</v>
      </c>
      <c r="F243">
        <v>157.258319895541</v>
      </c>
      <c r="G243" s="7">
        <f t="shared" si="6"/>
        <v>0.869026005566877</v>
      </c>
      <c r="H243" s="7">
        <f t="shared" si="6"/>
        <v>11.078137087798</v>
      </c>
      <c r="J243">
        <v>215</v>
      </c>
      <c r="K243">
        <v>108.208674188229</v>
      </c>
      <c r="L243">
        <v>3.72820781177037</v>
      </c>
      <c r="M243">
        <v>0.378723816481046</v>
      </c>
      <c r="N243">
        <v>83.4630350194552</v>
      </c>
      <c r="O243" s="6">
        <v>114.81192</v>
      </c>
      <c r="Q243" s="9"/>
      <c r="R243" s="10"/>
      <c r="Z243">
        <v>215</v>
      </c>
      <c r="AA243">
        <v>157.544431726836</v>
      </c>
      <c r="AB243">
        <v>12.4555682731638</v>
      </c>
      <c r="AC243">
        <v>0.692974588443548</v>
      </c>
      <c r="AE243">
        <v>83.4630350194552</v>
      </c>
      <c r="AF243">
        <v>175.268387</v>
      </c>
    </row>
    <row r="244" spans="2:32">
      <c r="B244" s="5">
        <v>242</v>
      </c>
      <c r="C244" s="6">
        <v>114.841873</v>
      </c>
      <c r="D244" s="6">
        <v>175.539993</v>
      </c>
      <c r="E244">
        <v>114.790240571956</v>
      </c>
      <c r="F244">
        <v>157.247315594337</v>
      </c>
      <c r="G244" s="7">
        <f t="shared" si="6"/>
        <v>0.0449595837260523</v>
      </c>
      <c r="H244" s="7">
        <f t="shared" si="6"/>
        <v>10.4208033127032</v>
      </c>
      <c r="J244">
        <v>216</v>
      </c>
      <c r="K244">
        <v>108.452435906145</v>
      </c>
      <c r="L244">
        <v>1.69752709385457</v>
      </c>
      <c r="M244">
        <v>0.172440478648989</v>
      </c>
      <c r="N244">
        <v>83.852140077821</v>
      </c>
      <c r="O244" s="6">
        <v>114.841873</v>
      </c>
      <c r="Q244" s="9"/>
      <c r="R244" s="10"/>
      <c r="Z244">
        <v>216</v>
      </c>
      <c r="AA244">
        <v>157.533427425632</v>
      </c>
      <c r="AB244">
        <v>12.8065685743675</v>
      </c>
      <c r="AC244">
        <v>0.71250274516316</v>
      </c>
      <c r="AE244">
        <v>83.852140077821</v>
      </c>
      <c r="AF244">
        <v>175.297852</v>
      </c>
    </row>
    <row r="245" spans="2:32">
      <c r="B245" s="5">
        <v>243</v>
      </c>
      <c r="C245" s="6">
        <v>114.851852</v>
      </c>
      <c r="D245" s="6">
        <v>170.169998</v>
      </c>
      <c r="E245">
        <v>115.034002289872</v>
      </c>
      <c r="F245">
        <v>157.236311293133</v>
      </c>
      <c r="G245" s="7">
        <f t="shared" si="6"/>
        <v>0.158595866501145</v>
      </c>
      <c r="H245" s="7">
        <f t="shared" si="6"/>
        <v>7.60045064281365</v>
      </c>
      <c r="J245">
        <v>217</v>
      </c>
      <c r="K245">
        <v>108.696197624061</v>
      </c>
      <c r="L245">
        <v>-2.04020662406122</v>
      </c>
      <c r="M245">
        <v>-0.207251011232517</v>
      </c>
      <c r="N245">
        <v>84.2412451361867</v>
      </c>
      <c r="O245" s="6">
        <v>114.851852</v>
      </c>
      <c r="Q245" s="9"/>
      <c r="R245" s="10"/>
      <c r="Z245">
        <v>217</v>
      </c>
      <c r="AA245">
        <v>157.522423124428</v>
      </c>
      <c r="AB245">
        <v>11.1775738755711</v>
      </c>
      <c r="AC245">
        <v>0.621872441814633</v>
      </c>
      <c r="AE245">
        <v>84.2412451361867</v>
      </c>
      <c r="AF245">
        <v>175.360001</v>
      </c>
    </row>
    <row r="246" spans="2:32">
      <c r="B246" s="5">
        <v>244</v>
      </c>
      <c r="C246" s="6">
        <v>116.399178</v>
      </c>
      <c r="D246" s="6">
        <v>166.75</v>
      </c>
      <c r="E246">
        <v>115.277764007787</v>
      </c>
      <c r="F246">
        <v>157.22530699193</v>
      </c>
      <c r="G246" s="7">
        <f t="shared" si="6"/>
        <v>0.963420886196471</v>
      </c>
      <c r="H246" s="7">
        <f t="shared" si="6"/>
        <v>5.71195982492953</v>
      </c>
      <c r="J246">
        <v>218</v>
      </c>
      <c r="K246">
        <v>108.939959341977</v>
      </c>
      <c r="L246">
        <v>0.95045165802297</v>
      </c>
      <c r="M246">
        <v>0.0965500576901233</v>
      </c>
      <c r="N246">
        <v>84.6303501945525</v>
      </c>
      <c r="O246" s="6">
        <v>114.881805</v>
      </c>
      <c r="Q246" s="9"/>
      <c r="R246" s="10"/>
      <c r="Z246">
        <v>218</v>
      </c>
      <c r="AA246">
        <v>157.511418823225</v>
      </c>
      <c r="AB246">
        <v>3.85857617677478</v>
      </c>
      <c r="AC246">
        <v>0.214674688415432</v>
      </c>
      <c r="AE246">
        <v>84.6303501945525</v>
      </c>
      <c r="AF246">
        <v>175.425461</v>
      </c>
    </row>
    <row r="247" spans="2:32">
      <c r="B247" s="5">
        <v>245</v>
      </c>
      <c r="C247" s="6">
        <v>111.008476</v>
      </c>
      <c r="D247" s="6">
        <v>161.160004</v>
      </c>
      <c r="E247">
        <v>115.521525725703</v>
      </c>
      <c r="F247">
        <v>157.214302690726</v>
      </c>
      <c r="G247" s="7">
        <f t="shared" si="6"/>
        <v>4.06550012064214</v>
      </c>
      <c r="H247" s="7">
        <f t="shared" si="6"/>
        <v>2.44831298792596</v>
      </c>
      <c r="J247">
        <v>219</v>
      </c>
      <c r="K247">
        <v>109.183721059892</v>
      </c>
      <c r="L247">
        <v>2.43371094010716</v>
      </c>
      <c r="M247">
        <v>0.247224495517426</v>
      </c>
      <c r="N247">
        <v>85.0194552529182</v>
      </c>
      <c r="O247" s="6">
        <v>115.121384</v>
      </c>
      <c r="Q247" s="9"/>
      <c r="R247" s="10"/>
      <c r="Z247">
        <v>219</v>
      </c>
      <c r="AA247">
        <v>157.500414522021</v>
      </c>
      <c r="AB247">
        <v>5.17957847797845</v>
      </c>
      <c r="AC247">
        <v>0.288169611002136</v>
      </c>
      <c r="AE247">
        <v>85.0194552529182</v>
      </c>
      <c r="AF247">
        <v>175.539993</v>
      </c>
    </row>
    <row r="248" spans="2:32">
      <c r="B248" s="5">
        <v>246</v>
      </c>
      <c r="C248" s="6">
        <v>115.121384</v>
      </c>
      <c r="D248" s="6">
        <v>164.600006</v>
      </c>
      <c r="E248">
        <v>115.765287443619</v>
      </c>
      <c r="F248">
        <v>157.203298389522</v>
      </c>
      <c r="G248" s="7">
        <f t="shared" si="6"/>
        <v>0.559325662397349</v>
      </c>
      <c r="H248" s="7">
        <f t="shared" si="6"/>
        <v>4.49374686564593</v>
      </c>
      <c r="J248">
        <v>220</v>
      </c>
      <c r="K248">
        <v>109.427482777808</v>
      </c>
      <c r="L248">
        <v>-2.49197377780862</v>
      </c>
      <c r="M248">
        <v>-0.253143029399484</v>
      </c>
      <c r="N248">
        <v>85.408560311284</v>
      </c>
      <c r="O248" s="6">
        <v>115.161316</v>
      </c>
      <c r="Q248" s="9"/>
      <c r="R248" s="10"/>
      <c r="Z248">
        <v>220</v>
      </c>
      <c r="AA248">
        <v>157.489410220817</v>
      </c>
      <c r="AB248">
        <v>1.30058277918212</v>
      </c>
      <c r="AC248">
        <v>0.0723588676465554</v>
      </c>
      <c r="AE248">
        <v>85.408560311284</v>
      </c>
      <c r="AF248">
        <v>175.602203</v>
      </c>
    </row>
    <row r="249" spans="2:32">
      <c r="B249" s="5">
        <v>247</v>
      </c>
      <c r="C249" s="6">
        <v>108.672516</v>
      </c>
      <c r="D249" s="6">
        <v>164.949997</v>
      </c>
      <c r="E249">
        <v>116.009049161535</v>
      </c>
      <c r="F249">
        <v>157.192294088319</v>
      </c>
      <c r="G249" s="7">
        <f t="shared" si="6"/>
        <v>6.75104748797295</v>
      </c>
      <c r="H249" s="7">
        <f t="shared" si="6"/>
        <v>4.70306338452435</v>
      </c>
      <c r="J249">
        <v>221</v>
      </c>
      <c r="K249">
        <v>109.671244495724</v>
      </c>
      <c r="L249">
        <v>-1.63762949572443</v>
      </c>
      <c r="M249">
        <v>-0.166355880336021</v>
      </c>
      <c r="N249">
        <v>85.7976653696498</v>
      </c>
      <c r="O249" s="6">
        <v>115.341011</v>
      </c>
      <c r="Q249" s="9"/>
      <c r="R249" s="10"/>
      <c r="Z249">
        <v>221</v>
      </c>
      <c r="AA249">
        <v>157.478405919614</v>
      </c>
      <c r="AB249">
        <v>1.28158908038574</v>
      </c>
      <c r="AC249">
        <v>0.071302139417238</v>
      </c>
      <c r="AE249">
        <v>85.7976653696498</v>
      </c>
      <c r="AF249">
        <v>175.80838</v>
      </c>
    </row>
    <row r="250" spans="2:32">
      <c r="B250" s="5">
        <v>248</v>
      </c>
      <c r="C250" s="6">
        <v>108.582664</v>
      </c>
      <c r="D250" s="6">
        <v>173.610001</v>
      </c>
      <c r="E250">
        <v>116.252810879451</v>
      </c>
      <c r="F250">
        <v>157.181289787115</v>
      </c>
      <c r="G250" s="7">
        <f t="shared" si="6"/>
        <v>7.06387796808062</v>
      </c>
      <c r="H250" s="7">
        <f t="shared" si="6"/>
        <v>9.46299816730317</v>
      </c>
      <c r="J250">
        <v>222</v>
      </c>
      <c r="K250">
        <v>109.91500621364</v>
      </c>
      <c r="L250">
        <v>2.17161778635977</v>
      </c>
      <c r="M250">
        <v>0.220600196531896</v>
      </c>
      <c r="N250">
        <v>86.1867704280155</v>
      </c>
      <c r="O250" s="6">
        <v>115.363472</v>
      </c>
      <c r="Q250" s="9"/>
      <c r="R250" s="10"/>
      <c r="Z250">
        <v>222</v>
      </c>
      <c r="AA250">
        <v>157.46740161841</v>
      </c>
      <c r="AB250">
        <v>4.02260338158939</v>
      </c>
      <c r="AC250">
        <v>0.223800461102564</v>
      </c>
      <c r="AE250">
        <v>86.1867704280155</v>
      </c>
      <c r="AF250">
        <v>175.886917</v>
      </c>
    </row>
    <row r="251" spans="2:32">
      <c r="B251" s="5">
        <v>249</v>
      </c>
      <c r="C251" s="6">
        <v>110.249794</v>
      </c>
      <c r="D251" s="6">
        <v>179.210007</v>
      </c>
      <c r="E251">
        <v>116.496572597366</v>
      </c>
      <c r="F251">
        <v>157.170285485912</v>
      </c>
      <c r="G251" s="7">
        <f t="shared" si="6"/>
        <v>5.66602292006641</v>
      </c>
      <c r="H251" s="7">
        <f t="shared" si="6"/>
        <v>12.2982649702636</v>
      </c>
      <c r="J251">
        <v>223</v>
      </c>
      <c r="K251">
        <v>110.158767931556</v>
      </c>
      <c r="L251">
        <v>4.60324106844397</v>
      </c>
      <c r="M251">
        <v>0.467612620766315</v>
      </c>
      <c r="N251">
        <v>86.5758754863813</v>
      </c>
      <c r="O251" s="6">
        <v>115.508217</v>
      </c>
      <c r="Q251" s="9"/>
      <c r="R251" s="10"/>
      <c r="Z251">
        <v>223</v>
      </c>
      <c r="AA251">
        <v>157.456397317206</v>
      </c>
      <c r="AB251">
        <v>7.18360168279303</v>
      </c>
      <c r="AC251">
        <v>0.399664897698915</v>
      </c>
      <c r="AE251">
        <v>86.5758754863813</v>
      </c>
      <c r="AF251">
        <v>176.151993</v>
      </c>
    </row>
    <row r="252" spans="2:32">
      <c r="B252" s="5">
        <v>250</v>
      </c>
      <c r="C252" s="6">
        <v>114.752022</v>
      </c>
      <c r="D252" s="6">
        <v>178.910004</v>
      </c>
      <c r="E252">
        <v>116.740334315282</v>
      </c>
      <c r="F252">
        <v>157.159281184708</v>
      </c>
      <c r="G252" s="7">
        <f t="shared" si="6"/>
        <v>1.73270351199738</v>
      </c>
      <c r="H252" s="7">
        <f t="shared" si="6"/>
        <v>12.15735416075</v>
      </c>
      <c r="J252">
        <v>224</v>
      </c>
      <c r="K252">
        <v>110.402529649471</v>
      </c>
      <c r="L252">
        <v>3.49097135052817</v>
      </c>
      <c r="M252">
        <v>0.354624543439869</v>
      </c>
      <c r="N252">
        <v>86.964980544747</v>
      </c>
      <c r="O252" s="6">
        <v>115.550644</v>
      </c>
      <c r="Q252" s="9"/>
      <c r="R252" s="10"/>
      <c r="Z252">
        <v>224</v>
      </c>
      <c r="AA252">
        <v>157.445393016003</v>
      </c>
      <c r="AB252">
        <v>7.06460198399671</v>
      </c>
      <c r="AC252">
        <v>0.393044263016517</v>
      </c>
      <c r="AE252">
        <v>86.964980544747</v>
      </c>
      <c r="AF252">
        <v>176.151993</v>
      </c>
    </row>
    <row r="253" spans="2:32">
      <c r="B253" s="5">
        <v>251</v>
      </c>
      <c r="C253" s="6">
        <v>118.824997</v>
      </c>
      <c r="D253" s="6">
        <v>183.279999</v>
      </c>
      <c r="E253">
        <v>116.984096033198</v>
      </c>
      <c r="F253">
        <v>157.148276883504</v>
      </c>
      <c r="G253" s="7">
        <f t="shared" si="6"/>
        <v>1.5492539560527</v>
      </c>
      <c r="H253" s="7">
        <f t="shared" si="6"/>
        <v>14.2578144145974</v>
      </c>
      <c r="J253">
        <v>225</v>
      </c>
      <c r="K253">
        <v>110.646291367387</v>
      </c>
      <c r="L253">
        <v>4.96425063261236</v>
      </c>
      <c r="M253">
        <v>0.504285179494495</v>
      </c>
      <c r="N253">
        <v>87.3540856031128</v>
      </c>
      <c r="O253" s="6">
        <v>115.610542</v>
      </c>
      <c r="Q253" s="9"/>
      <c r="R253" s="10"/>
      <c r="Z253">
        <v>225</v>
      </c>
      <c r="AA253">
        <v>157.434388714799</v>
      </c>
      <c r="AB253">
        <v>7.17561228520037</v>
      </c>
      <c r="AC253">
        <v>0.399220401760451</v>
      </c>
      <c r="AE253">
        <v>87.3540856031128</v>
      </c>
      <c r="AF253">
        <v>176.309097</v>
      </c>
    </row>
    <row r="254" spans="2:32">
      <c r="B254" s="5">
        <v>252</v>
      </c>
      <c r="C254" s="6">
        <v>118.690002</v>
      </c>
      <c r="D254" s="6">
        <v>184.270004</v>
      </c>
      <c r="E254">
        <v>117.227857751114</v>
      </c>
      <c r="F254">
        <v>157.137272582301</v>
      </c>
      <c r="G254" s="7">
        <f t="shared" si="6"/>
        <v>1.23190178131938</v>
      </c>
      <c r="H254" s="7">
        <f t="shared" si="6"/>
        <v>14.7244428440448</v>
      </c>
      <c r="J254">
        <v>226</v>
      </c>
      <c r="K254">
        <v>110.890053085303</v>
      </c>
      <c r="L254">
        <v>5.69880691469656</v>
      </c>
      <c r="M254">
        <v>0.578903862952206</v>
      </c>
      <c r="N254">
        <v>87.7431906614786</v>
      </c>
      <c r="O254" s="6">
        <v>115.780251</v>
      </c>
      <c r="Q254" s="9"/>
      <c r="R254" s="10"/>
      <c r="Z254">
        <v>226</v>
      </c>
      <c r="AA254">
        <v>157.423384413595</v>
      </c>
      <c r="AB254">
        <v>6.25660858640401</v>
      </c>
      <c r="AC254">
        <v>0.348090963425339</v>
      </c>
      <c r="AE254">
        <v>87.7431906614786</v>
      </c>
      <c r="AF254">
        <v>176.377808</v>
      </c>
    </row>
    <row r="255" spans="2:32">
      <c r="B255" s="11">
        <v>253</v>
      </c>
      <c r="C255" s="12">
        <v>116.32</v>
      </c>
      <c r="D255" s="12">
        <v>196.99</v>
      </c>
      <c r="E255">
        <v>117.47161946903</v>
      </c>
      <c r="F255" s="8">
        <v>157.126268281097</v>
      </c>
      <c r="G255" s="7">
        <f t="shared" si="6"/>
        <v>0.990044247790586</v>
      </c>
      <c r="H255" s="7">
        <f t="shared" si="6"/>
        <v>20.2364240412727</v>
      </c>
      <c r="J255">
        <v>227</v>
      </c>
      <c r="K255">
        <v>111.133814803219</v>
      </c>
      <c r="L255">
        <v>1.69153319678078</v>
      </c>
      <c r="M255">
        <v>0.171831598540907</v>
      </c>
      <c r="N255">
        <v>88.1322957198443</v>
      </c>
      <c r="O255" s="5">
        <v>115.97</v>
      </c>
      <c r="Q255" s="9"/>
      <c r="R255" s="10"/>
      <c r="Z255">
        <v>227</v>
      </c>
      <c r="AA255">
        <v>157.412380112392</v>
      </c>
      <c r="AB255">
        <v>8.19762088760768</v>
      </c>
      <c r="AC255">
        <v>0.456080592729407</v>
      </c>
      <c r="AE255">
        <v>88.1322957198443</v>
      </c>
      <c r="AF255">
        <v>176.52507</v>
      </c>
    </row>
    <row r="256" spans="2:32">
      <c r="B256" s="11">
        <v>254</v>
      </c>
      <c r="C256" s="12">
        <v>115.97</v>
      </c>
      <c r="D256" s="12">
        <v>201.98</v>
      </c>
      <c r="E256">
        <v>117.715381186945</v>
      </c>
      <c r="F256" s="8">
        <v>157.115263979893</v>
      </c>
      <c r="G256" s="7">
        <f t="shared" si="6"/>
        <v>1.50502818569026</v>
      </c>
      <c r="H256" s="7">
        <f t="shared" si="6"/>
        <v>22.2124646104104</v>
      </c>
      <c r="J256">
        <v>228</v>
      </c>
      <c r="K256">
        <v>111.377576521135</v>
      </c>
      <c r="L256">
        <v>4.92177847886496</v>
      </c>
      <c r="M256">
        <v>0.499970716091838</v>
      </c>
      <c r="N256">
        <v>88.5214007782101</v>
      </c>
      <c r="O256" s="5">
        <v>116.299355</v>
      </c>
      <c r="Q256" s="9"/>
      <c r="R256" s="10"/>
      <c r="Z256">
        <v>228</v>
      </c>
      <c r="AA256">
        <v>157.401375811188</v>
      </c>
      <c r="AB256">
        <v>11.3186251888112</v>
      </c>
      <c r="AC256">
        <v>0.629719934084625</v>
      </c>
      <c r="AE256">
        <v>88.5214007782101</v>
      </c>
      <c r="AF256">
        <v>176.603622</v>
      </c>
    </row>
    <row r="257" spans="2:32">
      <c r="B257" s="11">
        <v>255</v>
      </c>
      <c r="C257" s="12">
        <v>119.49</v>
      </c>
      <c r="D257" s="12">
        <v>199.29</v>
      </c>
      <c r="E257">
        <v>117.959142904861</v>
      </c>
      <c r="F257" s="8">
        <v>157.10425967869</v>
      </c>
      <c r="G257" s="7">
        <f t="shared" si="6"/>
        <v>1.281159172432</v>
      </c>
      <c r="H257" s="7">
        <f t="shared" si="6"/>
        <v>21.1680166196548</v>
      </c>
      <c r="J257">
        <v>229</v>
      </c>
      <c r="K257">
        <v>111.62133823905</v>
      </c>
      <c r="L257">
        <v>1.34377276094916</v>
      </c>
      <c r="M257">
        <v>0.136504930573673</v>
      </c>
      <c r="N257">
        <v>88.9105058365758</v>
      </c>
      <c r="O257" s="5">
        <v>116.32</v>
      </c>
      <c r="Q257" s="9"/>
      <c r="R257" s="10"/>
      <c r="Z257">
        <v>229</v>
      </c>
      <c r="AA257">
        <v>157.390371509985</v>
      </c>
      <c r="AB257">
        <v>9.49962749001494</v>
      </c>
      <c r="AC257">
        <v>0.52851867581534</v>
      </c>
      <c r="AE257">
        <v>88.9105058365758</v>
      </c>
      <c r="AF257">
        <v>176.658142</v>
      </c>
    </row>
    <row r="258" spans="2:32">
      <c r="B258" s="11">
        <v>256</v>
      </c>
      <c r="C258" s="12">
        <v>119.21</v>
      </c>
      <c r="D258" s="12">
        <v>197.24</v>
      </c>
      <c r="E258">
        <v>118.202904622777</v>
      </c>
      <c r="F258" s="8">
        <v>157.093255377486</v>
      </c>
      <c r="G258" s="7">
        <f t="shared" si="6"/>
        <v>0.84480779902944</v>
      </c>
      <c r="H258" s="7">
        <f t="shared" si="6"/>
        <v>20.354261114639</v>
      </c>
      <c r="J258">
        <v>230</v>
      </c>
      <c r="K258">
        <v>111.865099956966</v>
      </c>
      <c r="L258">
        <v>3.01670504303336</v>
      </c>
      <c r="M258">
        <v>0.306446985999069</v>
      </c>
      <c r="N258">
        <v>89.2996108949416</v>
      </c>
      <c r="O258" s="5">
        <v>116.399178</v>
      </c>
      <c r="Q258" s="9"/>
      <c r="R258" s="10"/>
      <c r="Z258">
        <v>230</v>
      </c>
      <c r="AA258">
        <v>157.379367208781</v>
      </c>
      <c r="AB258">
        <v>14.1706357912186</v>
      </c>
      <c r="AC258">
        <v>0.788393615613716</v>
      </c>
      <c r="AE258">
        <v>89.2996108949416</v>
      </c>
      <c r="AF258">
        <v>176.770523</v>
      </c>
    </row>
    <row r="259" spans="2:32">
      <c r="B259" s="11">
        <v>257</v>
      </c>
      <c r="C259" s="12">
        <v>119.26</v>
      </c>
      <c r="D259" s="12">
        <v>201.54</v>
      </c>
      <c r="E259">
        <v>118.446666340693</v>
      </c>
      <c r="F259" s="8">
        <v>157.082251076282</v>
      </c>
      <c r="G259" s="7">
        <f t="shared" si="6"/>
        <v>0.681983615048638</v>
      </c>
      <c r="H259" s="7">
        <f t="shared" si="6"/>
        <v>22.0590200077989</v>
      </c>
      <c r="J259">
        <v>231</v>
      </c>
      <c r="K259">
        <v>112.108861674882</v>
      </c>
      <c r="L259">
        <v>2.66312632511755</v>
      </c>
      <c r="M259">
        <v>0.270529277481645</v>
      </c>
      <c r="N259">
        <v>89.6887159533074</v>
      </c>
      <c r="O259" s="5">
        <v>116.58886</v>
      </c>
      <c r="Q259" s="9"/>
      <c r="R259" s="10"/>
      <c r="Z259">
        <v>231</v>
      </c>
      <c r="AA259">
        <v>157.368362907577</v>
      </c>
      <c r="AB259">
        <v>16.4116360924222</v>
      </c>
      <c r="AC259">
        <v>0.913073295205244</v>
      </c>
      <c r="AE259">
        <v>89.6887159533074</v>
      </c>
      <c r="AF259">
        <v>176.839249</v>
      </c>
    </row>
    <row r="260" ht="16.35" spans="10:32">
      <c r="J260">
        <v>232</v>
      </c>
      <c r="K260">
        <v>112.352623392798</v>
      </c>
      <c r="L260">
        <v>4.41592360720176</v>
      </c>
      <c r="M260">
        <v>0.448584286672056</v>
      </c>
      <c r="N260">
        <v>90.0778210116731</v>
      </c>
      <c r="O260">
        <v>116.668724</v>
      </c>
      <c r="Z260">
        <v>232</v>
      </c>
      <c r="AA260">
        <v>157.357358606374</v>
      </c>
      <c r="AB260">
        <v>17.0226463936259</v>
      </c>
      <c r="AC260">
        <v>0.947067297142807</v>
      </c>
      <c r="AE260">
        <v>90.0778210116731</v>
      </c>
      <c r="AF260">
        <v>176.839249</v>
      </c>
    </row>
    <row r="261" spans="4:32">
      <c r="D261" s="13" t="s">
        <v>21</v>
      </c>
      <c r="E261" s="14" t="s">
        <v>88</v>
      </c>
      <c r="F261" s="14"/>
      <c r="G261" s="15">
        <f>SUM(G3:G259)/COUNT(B3:B259)</f>
        <v>10.3769420549167</v>
      </c>
      <c r="J261">
        <v>233</v>
      </c>
      <c r="K261">
        <v>112.596385110714</v>
      </c>
      <c r="L261">
        <v>11.5893678892859</v>
      </c>
      <c r="M261">
        <v>1.17728674452539</v>
      </c>
      <c r="N261">
        <v>90.4669260700389</v>
      </c>
      <c r="O261">
        <v>116.768547</v>
      </c>
      <c r="Z261">
        <v>233</v>
      </c>
      <c r="AA261">
        <v>157.34635430517</v>
      </c>
      <c r="AB261">
        <v>18.0136466948295</v>
      </c>
      <c r="AC261">
        <v>1.00220231875026</v>
      </c>
      <c r="AE261">
        <v>90.4669260700389</v>
      </c>
      <c r="AF261">
        <v>176.850006</v>
      </c>
    </row>
    <row r="262" ht="16.35" spans="4:32">
      <c r="D262" s="16"/>
      <c r="E262" s="17" t="s">
        <v>89</v>
      </c>
      <c r="F262" s="17"/>
      <c r="G262" s="18">
        <f>SUM(H2:H259)/COUNT(B4:B260)</f>
        <v>10.069499570075</v>
      </c>
      <c r="J262">
        <v>234</v>
      </c>
      <c r="K262">
        <v>112.840146828629</v>
      </c>
      <c r="L262">
        <v>8.05128717137016</v>
      </c>
      <c r="M262">
        <v>0.817876674014652</v>
      </c>
      <c r="N262">
        <v>90.8560311284046</v>
      </c>
      <c r="O262">
        <v>117.117943</v>
      </c>
      <c r="Z262">
        <v>234</v>
      </c>
      <c r="AA262">
        <v>157.335350003966</v>
      </c>
      <c r="AB262">
        <v>14.2146529960332</v>
      </c>
      <c r="AC262">
        <v>0.790842544777113</v>
      </c>
      <c r="AE262">
        <v>90.8560311284046</v>
      </c>
      <c r="AF262">
        <v>177.029373</v>
      </c>
    </row>
    <row r="263" spans="10:32">
      <c r="J263">
        <v>235</v>
      </c>
      <c r="K263">
        <v>113.083908546545</v>
      </c>
      <c r="L263">
        <v>7.89736845345436</v>
      </c>
      <c r="M263">
        <v>0.802241095951405</v>
      </c>
      <c r="N263">
        <v>91.2451361867704</v>
      </c>
      <c r="O263">
        <v>117.307617</v>
      </c>
      <c r="Z263">
        <v>235</v>
      </c>
      <c r="AA263">
        <v>157.324345702763</v>
      </c>
      <c r="AB263">
        <v>16.1456552972368</v>
      </c>
      <c r="AC263">
        <v>0.898275260460043</v>
      </c>
      <c r="AE263">
        <v>91.2451361867704</v>
      </c>
      <c r="AF263">
        <v>177.163223</v>
      </c>
    </row>
    <row r="264" spans="10:32">
      <c r="J264">
        <v>236</v>
      </c>
      <c r="K264">
        <v>113.327670264461</v>
      </c>
      <c r="L264">
        <v>7.17443573553856</v>
      </c>
      <c r="M264">
        <v>0.728803173010604</v>
      </c>
      <c r="N264">
        <v>91.6342412451362</v>
      </c>
      <c r="O264">
        <v>118.071297</v>
      </c>
      <c r="Z264">
        <v>236</v>
      </c>
      <c r="AA264">
        <v>157.313341401559</v>
      </c>
      <c r="AB264">
        <v>15.2966595984405</v>
      </c>
      <c r="AC264">
        <v>0.851040768057852</v>
      </c>
      <c r="AE264">
        <v>91.6342412451362</v>
      </c>
      <c r="AF264">
        <v>177.408691</v>
      </c>
    </row>
    <row r="265" spans="10:32">
      <c r="J265">
        <v>237</v>
      </c>
      <c r="K265">
        <v>113.571431982377</v>
      </c>
      <c r="L265">
        <v>5.24357801762275</v>
      </c>
      <c r="M265">
        <v>0.532660189322226</v>
      </c>
      <c r="N265">
        <v>92.0233463035019</v>
      </c>
      <c r="O265">
        <v>118.690002</v>
      </c>
      <c r="Z265">
        <v>237</v>
      </c>
      <c r="AA265">
        <v>157.302337100355</v>
      </c>
      <c r="AB265">
        <v>17.5576638996441</v>
      </c>
      <c r="AC265">
        <v>0.976833384720031</v>
      </c>
      <c r="AE265">
        <v>92.0233463035019</v>
      </c>
      <c r="AF265">
        <v>177.438126</v>
      </c>
    </row>
    <row r="266" spans="10:32">
      <c r="J266">
        <v>238</v>
      </c>
      <c r="K266">
        <v>113.815193700293</v>
      </c>
      <c r="L266">
        <v>1.96505729970697</v>
      </c>
      <c r="M266">
        <v>0.199617091568607</v>
      </c>
      <c r="N266">
        <v>92.4124513618677</v>
      </c>
      <c r="O266">
        <v>118.81501</v>
      </c>
      <c r="Z266">
        <v>238</v>
      </c>
      <c r="AA266">
        <v>157.291332799152</v>
      </c>
      <c r="AB266">
        <v>14.2986632008478</v>
      </c>
      <c r="AC266">
        <v>0.795516513545917</v>
      </c>
      <c r="AE266">
        <v>92.4124513618677</v>
      </c>
      <c r="AF266">
        <v>177.49704</v>
      </c>
    </row>
    <row r="267" spans="10:32">
      <c r="J267">
        <v>239</v>
      </c>
      <c r="K267">
        <v>114.058955418208</v>
      </c>
      <c r="L267">
        <v>3.24866158179115</v>
      </c>
      <c r="M267">
        <v>0.330009906858453</v>
      </c>
      <c r="N267">
        <v>92.8015564202334</v>
      </c>
      <c r="O267">
        <v>118.824997</v>
      </c>
      <c r="Z267">
        <v>239</v>
      </c>
      <c r="AA267">
        <v>157.280328497948</v>
      </c>
      <c r="AB267">
        <v>15.9796665020514</v>
      </c>
      <c r="AC267">
        <v>0.88904035326776</v>
      </c>
      <c r="AE267">
        <v>92.8015564202334</v>
      </c>
      <c r="AF267">
        <v>177.516693</v>
      </c>
    </row>
    <row r="268" spans="10:32">
      <c r="J268">
        <v>240</v>
      </c>
      <c r="K268">
        <v>114.302717136124</v>
      </c>
      <c r="L268">
        <v>2.36600686387535</v>
      </c>
      <c r="M268">
        <v>0.240346889054374</v>
      </c>
      <c r="N268">
        <v>93.1906614785992</v>
      </c>
      <c r="O268">
        <v>119.21</v>
      </c>
      <c r="Z268">
        <v>240</v>
      </c>
      <c r="AA268">
        <v>157.269324196744</v>
      </c>
      <c r="AB268">
        <v>15.600670803255</v>
      </c>
      <c r="AC268">
        <v>0.867954652267576</v>
      </c>
      <c r="AE268">
        <v>93.1906614785992</v>
      </c>
      <c r="AF268">
        <v>177.565765</v>
      </c>
    </row>
    <row r="269" spans="10:32">
      <c r="J269">
        <v>241</v>
      </c>
      <c r="K269">
        <v>114.54647885404</v>
      </c>
      <c r="L269">
        <v>1.00416514595956</v>
      </c>
      <c r="M269">
        <v>0.102006453410241</v>
      </c>
      <c r="N269">
        <v>93.5797665369649</v>
      </c>
      <c r="O269">
        <v>119.26</v>
      </c>
      <c r="Z269">
        <v>241</v>
      </c>
      <c r="AA269">
        <v>157.258319895541</v>
      </c>
      <c r="AB269">
        <v>19.5916861044587</v>
      </c>
      <c r="AC269">
        <v>1.0899976875727</v>
      </c>
      <c r="AE269">
        <v>93.5797665369649</v>
      </c>
      <c r="AF269">
        <v>177.634491</v>
      </c>
    </row>
    <row r="270" spans="10:32">
      <c r="J270">
        <v>242</v>
      </c>
      <c r="K270">
        <v>114.790240571956</v>
      </c>
      <c r="L270">
        <v>0.0516324280437601</v>
      </c>
      <c r="M270">
        <v>0.00524499469723235</v>
      </c>
      <c r="N270">
        <v>93.9688715953307</v>
      </c>
      <c r="O270">
        <v>119.49</v>
      </c>
      <c r="Z270">
        <v>242</v>
      </c>
      <c r="AA270">
        <v>157.247315594337</v>
      </c>
      <c r="AB270">
        <v>18.2926774056624</v>
      </c>
      <c r="AC270">
        <v>1.0177263950318</v>
      </c>
      <c r="AE270">
        <v>93.9688715953307</v>
      </c>
      <c r="AF270">
        <v>177.752319</v>
      </c>
    </row>
    <row r="271" spans="10:32">
      <c r="J271">
        <v>243</v>
      </c>
      <c r="K271">
        <v>115.034002289872</v>
      </c>
      <c r="L271">
        <v>-0.182150289872041</v>
      </c>
      <c r="M271">
        <v>-0.0185034355476848</v>
      </c>
      <c r="N271">
        <v>94.3579766536965</v>
      </c>
      <c r="O271">
        <v>120.502106</v>
      </c>
      <c r="Z271">
        <v>243</v>
      </c>
      <c r="AA271">
        <v>157.236311293133</v>
      </c>
      <c r="AB271">
        <v>12.933686706866</v>
      </c>
      <c r="AC271">
        <v>0.719575054801709</v>
      </c>
      <c r="AE271">
        <v>94.3579766536965</v>
      </c>
      <c r="AF271">
        <v>177.810913</v>
      </c>
    </row>
    <row r="272" spans="10:32">
      <c r="J272">
        <v>244</v>
      </c>
      <c r="K272">
        <v>115.277764007787</v>
      </c>
      <c r="L272">
        <v>1.12141399221215</v>
      </c>
      <c r="M272">
        <v>0.113916983287516</v>
      </c>
      <c r="N272">
        <v>94.7470817120622</v>
      </c>
      <c r="O272">
        <v>120.671806</v>
      </c>
      <c r="Z272">
        <v>244</v>
      </c>
      <c r="AA272">
        <v>157.22530699193</v>
      </c>
      <c r="AB272">
        <v>9.52469300806973</v>
      </c>
      <c r="AC272">
        <v>0.529913214119591</v>
      </c>
      <c r="AE272">
        <v>94.7470817120622</v>
      </c>
      <c r="AF272">
        <v>177.879929</v>
      </c>
    </row>
    <row r="273" spans="10:32">
      <c r="J273">
        <v>245</v>
      </c>
      <c r="K273">
        <v>115.521525725703</v>
      </c>
      <c r="L273">
        <v>-4.51304972570363</v>
      </c>
      <c r="M273">
        <v>-0.458450682574905</v>
      </c>
      <c r="N273">
        <v>95.136186770428</v>
      </c>
      <c r="O273">
        <v>120.751671</v>
      </c>
      <c r="Z273">
        <v>245</v>
      </c>
      <c r="AA273">
        <v>157.214302690726</v>
      </c>
      <c r="AB273">
        <v>3.94570130927337</v>
      </c>
      <c r="AC273">
        <v>0.219521958448577</v>
      </c>
      <c r="AE273">
        <v>95.136186770428</v>
      </c>
      <c r="AF273">
        <v>177.968292</v>
      </c>
    </row>
    <row r="274" spans="10:32">
      <c r="J274">
        <v>246</v>
      </c>
      <c r="K274">
        <v>115.765287443619</v>
      </c>
      <c r="L274">
        <v>-0.643903443619436</v>
      </c>
      <c r="M274">
        <v>-0.0654098649873922</v>
      </c>
      <c r="N274">
        <v>95.5252918287937</v>
      </c>
      <c r="O274">
        <v>120.891434</v>
      </c>
      <c r="Z274">
        <v>246</v>
      </c>
      <c r="AA274">
        <v>157.203298389522</v>
      </c>
      <c r="AB274">
        <v>7.39670761047705</v>
      </c>
      <c r="AC274">
        <v>0.411521200783046</v>
      </c>
      <c r="AE274">
        <v>95.5252918287937</v>
      </c>
      <c r="AF274">
        <v>178.43956</v>
      </c>
    </row>
    <row r="275" spans="10:32">
      <c r="J275">
        <v>247</v>
      </c>
      <c r="K275">
        <v>116.009049161535</v>
      </c>
      <c r="L275">
        <v>-7.33653316153524</v>
      </c>
      <c r="M275">
        <v>-0.745269571589943</v>
      </c>
      <c r="N275">
        <v>95.9143968871595</v>
      </c>
      <c r="O275">
        <v>120.981277</v>
      </c>
      <c r="Z275">
        <v>247</v>
      </c>
      <c r="AA275">
        <v>157.192294088319</v>
      </c>
      <c r="AB275">
        <v>7.75770291168066</v>
      </c>
      <c r="AC275">
        <v>0.431605436587896</v>
      </c>
      <c r="AE275">
        <v>95.9143968871595</v>
      </c>
      <c r="AF275">
        <v>178.910004</v>
      </c>
    </row>
    <row r="276" spans="10:32">
      <c r="J276">
        <v>248</v>
      </c>
      <c r="K276">
        <v>116.252810879451</v>
      </c>
      <c r="L276">
        <v>-7.67014687945105</v>
      </c>
      <c r="M276">
        <v>-0.779159168645293</v>
      </c>
      <c r="N276">
        <v>96.3035019455253</v>
      </c>
      <c r="O276">
        <v>124.1558</v>
      </c>
      <c r="Z276">
        <v>248</v>
      </c>
      <c r="AA276">
        <v>157.181289787115</v>
      </c>
      <c r="AB276">
        <v>16.4287112128843</v>
      </c>
      <c r="AC276">
        <v>0.914023281935301</v>
      </c>
      <c r="AE276">
        <v>96.3035019455253</v>
      </c>
      <c r="AF276">
        <v>178.940262</v>
      </c>
    </row>
    <row r="277" spans="10:32">
      <c r="J277">
        <v>249</v>
      </c>
      <c r="K277">
        <v>116.496572597366</v>
      </c>
      <c r="L277">
        <v>-6.24677859736685</v>
      </c>
      <c r="M277">
        <v>-0.634568658870834</v>
      </c>
      <c r="N277">
        <v>96.692607003891</v>
      </c>
      <c r="O277">
        <v>124.185753</v>
      </c>
      <c r="Z277">
        <v>249</v>
      </c>
      <c r="AA277">
        <v>157.170285485912</v>
      </c>
      <c r="AB277">
        <v>22.0397215140879</v>
      </c>
      <c r="AC277">
        <v>1.22619591580915</v>
      </c>
      <c r="AE277">
        <v>96.692607003891</v>
      </c>
      <c r="AF277">
        <v>179.210007</v>
      </c>
    </row>
    <row r="278" spans="10:32">
      <c r="J278">
        <v>250</v>
      </c>
      <c r="K278">
        <v>116.740334315282</v>
      </c>
      <c r="L278">
        <v>-1.98831231528265</v>
      </c>
      <c r="M278">
        <v>-0.201979413814525</v>
      </c>
      <c r="N278">
        <v>97.0817120622568</v>
      </c>
      <c r="O278">
        <v>124.592552</v>
      </c>
      <c r="Z278">
        <v>250</v>
      </c>
      <c r="AA278">
        <v>157.159281184708</v>
      </c>
      <c r="AB278">
        <v>21.7507228152916</v>
      </c>
      <c r="AC278">
        <v>1.21011726327664</v>
      </c>
      <c r="AE278">
        <v>97.0817120622568</v>
      </c>
      <c r="AF278">
        <v>179.892593</v>
      </c>
    </row>
    <row r="279" spans="10:32">
      <c r="J279">
        <v>251</v>
      </c>
      <c r="K279">
        <v>116.984096033198</v>
      </c>
      <c r="L279">
        <v>1.84090096680154</v>
      </c>
      <c r="M279">
        <v>0.187004876098808</v>
      </c>
      <c r="N279">
        <v>97.4708171206225</v>
      </c>
      <c r="O279">
        <v>124.610016</v>
      </c>
      <c r="Z279">
        <v>251</v>
      </c>
      <c r="AA279">
        <v>157.148276883504</v>
      </c>
      <c r="AB279">
        <v>26.1317221164952</v>
      </c>
      <c r="AC279">
        <v>1.45385734170117</v>
      </c>
      <c r="AE279">
        <v>97.4708171206225</v>
      </c>
      <c r="AF279">
        <v>183.279999</v>
      </c>
    </row>
    <row r="280" spans="10:32">
      <c r="J280">
        <v>252</v>
      </c>
      <c r="K280">
        <v>117.227857751114</v>
      </c>
      <c r="L280">
        <v>1.46214424888576</v>
      </c>
      <c r="M280">
        <v>0.148529502147273</v>
      </c>
      <c r="N280">
        <v>97.8599221789883</v>
      </c>
      <c r="O280">
        <v>124.794701</v>
      </c>
      <c r="Z280">
        <v>252</v>
      </c>
      <c r="AA280">
        <v>157.137272582301</v>
      </c>
      <c r="AB280">
        <v>27.1327314176989</v>
      </c>
      <c r="AC280">
        <v>1.50954922129404</v>
      </c>
      <c r="AE280">
        <v>97.8599221789883</v>
      </c>
      <c r="AF280">
        <v>184.270004</v>
      </c>
    </row>
    <row r="281" spans="10:32">
      <c r="J281">
        <v>253</v>
      </c>
      <c r="K281">
        <v>117.47161946903</v>
      </c>
      <c r="L281">
        <v>-1.15161946903006</v>
      </c>
      <c r="M281">
        <v>-0.116985356628453</v>
      </c>
      <c r="N281">
        <v>98.2490272373541</v>
      </c>
      <c r="O281">
        <v>125.640739</v>
      </c>
      <c r="Z281" s="8">
        <v>253</v>
      </c>
      <c r="AA281" s="8">
        <v>157.126268281097</v>
      </c>
      <c r="AB281" s="8">
        <v>39.8637317189025</v>
      </c>
      <c r="AC281">
        <v>2.2178476706879</v>
      </c>
      <c r="AE281">
        <v>98.2490272373541</v>
      </c>
      <c r="AF281">
        <v>196.99</v>
      </c>
    </row>
    <row r="282" spans="10:32">
      <c r="J282">
        <v>254</v>
      </c>
      <c r="K282">
        <v>117.715381186945</v>
      </c>
      <c r="L282">
        <v>-1.74538118694584</v>
      </c>
      <c r="M282">
        <v>-0.177301657447163</v>
      </c>
      <c r="N282">
        <v>98.6381322957198</v>
      </c>
      <c r="O282">
        <v>126.304596</v>
      </c>
      <c r="Z282" s="8">
        <v>254</v>
      </c>
      <c r="AA282" s="8">
        <v>157.115263979893</v>
      </c>
      <c r="AB282" s="8">
        <v>44.8647360201062</v>
      </c>
      <c r="AC282">
        <v>2.49608217765116</v>
      </c>
      <c r="AE282">
        <v>98.6381322957198</v>
      </c>
      <c r="AF282">
        <v>197.24</v>
      </c>
    </row>
    <row r="283" spans="10:32">
      <c r="J283">
        <v>255</v>
      </c>
      <c r="K283">
        <v>117.959142904861</v>
      </c>
      <c r="L283">
        <v>1.53085709513834</v>
      </c>
      <c r="M283">
        <v>0.155509582842318</v>
      </c>
      <c r="N283">
        <v>99.0272373540856</v>
      </c>
      <c r="O283">
        <v>128.817749</v>
      </c>
      <c r="Z283" s="8">
        <v>255</v>
      </c>
      <c r="AA283" s="8">
        <v>157.10425967869</v>
      </c>
      <c r="AB283" s="8">
        <v>42.1857403213098</v>
      </c>
      <c r="AC283">
        <v>2.34703430596029</v>
      </c>
      <c r="AE283">
        <v>99.0272373540856</v>
      </c>
      <c r="AF283">
        <v>199.29</v>
      </c>
    </row>
    <row r="284" spans="10:32">
      <c r="J284">
        <v>256</v>
      </c>
      <c r="K284">
        <v>118.202904622777</v>
      </c>
      <c r="L284">
        <v>1.00709537722254</v>
      </c>
      <c r="M284">
        <v>0.102304116100498</v>
      </c>
      <c r="N284">
        <v>99.4163424124513</v>
      </c>
      <c r="O284">
        <v>131.173691</v>
      </c>
      <c r="Z284" s="8">
        <v>256</v>
      </c>
      <c r="AA284" s="8">
        <v>157.093255377486</v>
      </c>
      <c r="AB284" s="8">
        <v>40.1467446225135</v>
      </c>
      <c r="AC284">
        <v>2.23359329915726</v>
      </c>
      <c r="AE284">
        <v>99.4163424124513</v>
      </c>
      <c r="AF284">
        <v>201.54</v>
      </c>
    </row>
    <row r="285" spans="10:32">
      <c r="J285">
        <v>257</v>
      </c>
      <c r="K285">
        <v>118.446666340693</v>
      </c>
      <c r="L285">
        <v>0.813333659306749</v>
      </c>
      <c r="M285">
        <v>0.0826211528640291</v>
      </c>
      <c r="N285">
        <v>99.8054474708171</v>
      </c>
      <c r="O285">
        <v>133.948898</v>
      </c>
      <c r="Z285" s="8">
        <v>257</v>
      </c>
      <c r="AA285" s="8">
        <v>157.082251076282</v>
      </c>
      <c r="AB285" s="8">
        <v>44.4577489237171</v>
      </c>
      <c r="AC285">
        <v>2.47343915491331</v>
      </c>
      <c r="AE285">
        <v>99.8054474708171</v>
      </c>
      <c r="AF285">
        <v>201.98</v>
      </c>
    </row>
    <row r="286" spans="28:29">
      <c r="AB286" t="s">
        <v>90</v>
      </c>
      <c r="AC286">
        <f>AVERAGE(AC29:AC285)</f>
        <v>2.87016411502317e-15</v>
      </c>
    </row>
    <row r="287" spans="28:29">
      <c r="AB287" t="s">
        <v>91</v>
      </c>
      <c r="AC287">
        <f>_xlfn.STDEV.P(AC29:AC285)</f>
        <v>0.998052578482886</v>
      </c>
    </row>
    <row r="290" spans="1:31">
      <c r="A290" s="1" t="s">
        <v>28</v>
      </c>
      <c r="H290" s="19" t="s">
        <v>92</v>
      </c>
      <c r="L290" s="21" t="s">
        <v>93</v>
      </c>
      <c r="M290" s="21"/>
      <c r="N290" s="21"/>
      <c r="Y290" s="19" t="s">
        <v>92</v>
      </c>
      <c r="AC290" s="26" t="s">
        <v>93</v>
      </c>
      <c r="AD290" s="26"/>
      <c r="AE290" s="26"/>
    </row>
    <row r="291" spans="8:31">
      <c r="H291" s="20" t="s">
        <v>94</v>
      </c>
      <c r="L291" s="22" t="s">
        <v>95</v>
      </c>
      <c r="M291" s="23" t="s">
        <v>96</v>
      </c>
      <c r="N291" s="22" t="s">
        <v>97</v>
      </c>
      <c r="Y291" s="20" t="s">
        <v>94</v>
      </c>
      <c r="AC291" s="24" t="s">
        <v>95</v>
      </c>
      <c r="AD291" s="24" t="s">
        <v>96</v>
      </c>
      <c r="AE291" s="24" t="s">
        <v>97</v>
      </c>
    </row>
    <row r="292" spans="12:31">
      <c r="L292" s="24">
        <v>7.91087744575172</v>
      </c>
      <c r="M292" s="25">
        <f>_xlfn.NORM.DIST(L292,L549,L550,TRUE)</f>
        <v>0.789642499408731</v>
      </c>
      <c r="N292" s="24">
        <f>POWER((L292-M292),2)/M292</f>
        <v>64.221451098426</v>
      </c>
      <c r="AC292" s="24">
        <v>17.1300208155824</v>
      </c>
      <c r="AD292" s="27">
        <f>_xlfn.NORM.DIST(AC292,AC549,AC550,TRUE)</f>
        <v>0.830186053598818</v>
      </c>
      <c r="AE292" s="24">
        <f>POWER((AC292-AD292),2)/AD292</f>
        <v>320.030205417494</v>
      </c>
    </row>
    <row r="293" spans="12:31">
      <c r="L293" s="24">
        <v>8.17356272783592</v>
      </c>
      <c r="M293" s="25">
        <f>_xlfn.NORM.DIST(L293,L49,L550,TRUE)</f>
        <v>0.63806518577281</v>
      </c>
      <c r="N293" s="24">
        <f t="shared" ref="N293:N356" si="7">POWER((L293-M293),2)/M293</f>
        <v>88.9936082904507</v>
      </c>
      <c r="AC293" s="24">
        <v>16.7697941167861</v>
      </c>
      <c r="AD293" s="27">
        <f>_xlfn.NORM.DIST(AC293,AC49,AC550,TRUE)</f>
        <v>0.815605306161724</v>
      </c>
      <c r="AE293" s="24">
        <f t="shared" ref="AE293:AE356" si="8">POWER((AC293-AD293),2)/AD293</f>
        <v>312.082497112373</v>
      </c>
    </row>
    <row r="294" spans="12:31">
      <c r="L294" s="24">
        <v>7.87078800992012</v>
      </c>
      <c r="M294" s="25">
        <f>_xlfn.NORM.DIST(L294,L549,L550,TRUE)</f>
        <v>0.788463424939388</v>
      </c>
      <c r="N294" s="24">
        <f t="shared" si="7"/>
        <v>63.6165482639584</v>
      </c>
      <c r="AC294" s="24">
        <v>17.9335694179898</v>
      </c>
      <c r="AD294" s="27">
        <f>_xlfn.NORM.DIST(AC294,AC549,AC550,TRUE)</f>
        <v>0.841270688519413</v>
      </c>
      <c r="AE294" s="24">
        <f t="shared" si="8"/>
        <v>347.268340433465</v>
      </c>
    </row>
    <row r="295" spans="12:31">
      <c r="L295" s="24">
        <v>8.24409929200432</v>
      </c>
      <c r="M295" s="25">
        <f>_xlfn.NORM.DIST(L295,L549,L550,TRUE)</f>
        <v>0.799292630424349</v>
      </c>
      <c r="N295" s="24">
        <f t="shared" si="7"/>
        <v>69.3427464718147</v>
      </c>
      <c r="AC295" s="24">
        <v>17.8859797191934</v>
      </c>
      <c r="AD295" s="27">
        <f>_xlfn.NORM.DIST(AC295,AC549,AC550,TRUE)</f>
        <v>0.840627727708326</v>
      </c>
      <c r="AE295" s="24">
        <f t="shared" si="8"/>
        <v>345.627457835218</v>
      </c>
    </row>
    <row r="296" spans="12:31">
      <c r="L296" s="24">
        <v>7.55044657408851</v>
      </c>
      <c r="M296" s="25">
        <f>_xlfn.NORM.DIST(L296,L549,L550,TRUE)</f>
        <v>0.77890377552814</v>
      </c>
      <c r="N296" s="24">
        <f t="shared" si="7"/>
        <v>58.8696490033617</v>
      </c>
      <c r="AC296" s="24">
        <v>16.522473020397</v>
      </c>
      <c r="AD296" s="27">
        <f>_xlfn.NORM.DIST(AC296,AC549,AC550,TRUE)</f>
        <v>0.821483512732283</v>
      </c>
      <c r="AE296" s="24">
        <f t="shared" si="8"/>
        <v>300.092537097744</v>
      </c>
    </row>
    <row r="297" spans="12:31">
      <c r="L297" s="24">
        <v>8.07373685617273</v>
      </c>
      <c r="M297" s="25">
        <f>_xlfn.NORM.DIST(L297,L549,L550,TRUE)</f>
        <v>0.794392535703162</v>
      </c>
      <c r="N297" s="24">
        <f t="shared" si="7"/>
        <v>66.7036148433206</v>
      </c>
      <c r="AC297" s="24">
        <v>18.5952293216007</v>
      </c>
      <c r="AD297" s="27">
        <f>_xlfn.NORM.DIST(AC297,AC549,AC550,TRUE)</f>
        <v>0.850033655106639</v>
      </c>
      <c r="AE297" s="24">
        <f t="shared" si="8"/>
        <v>370.446472737195</v>
      </c>
    </row>
    <row r="298" spans="12:31">
      <c r="L298" s="24">
        <v>8.15939713825692</v>
      </c>
      <c r="M298" s="25">
        <f>_xlfn.NORM.DIST(L298,L549,L550,TRUE)</f>
        <v>0.796865181761906</v>
      </c>
      <c r="N298" s="24">
        <f t="shared" si="7"/>
        <v>68.0251541302838</v>
      </c>
      <c r="AC298" s="24">
        <v>16.6917436228044</v>
      </c>
      <c r="AD298" s="27">
        <f>_xlfn.NORM.DIST(AC298,AC549,AC550,TRUE)</f>
        <v>0.8239359231199</v>
      </c>
      <c r="AE298" s="24">
        <f t="shared" si="8"/>
        <v>305.590901099146</v>
      </c>
    </row>
    <row r="299" spans="12:31">
      <c r="L299" s="24">
        <v>7.71650842034111</v>
      </c>
      <c r="M299" s="25">
        <f>_xlfn.NORM.DIST(L299,L549,L550,TRUE)</f>
        <v>0.783889941013341</v>
      </c>
      <c r="N299" s="24">
        <f t="shared" si="7"/>
        <v>61.31115666287</v>
      </c>
      <c r="AC299" s="24">
        <v>17.016926924008</v>
      </c>
      <c r="AD299" s="27">
        <f>_xlfn.NORM.DIST(AC299,AC549,AC550,TRUE)</f>
        <v>0.828587040534401</v>
      </c>
      <c r="AE299" s="24">
        <f t="shared" si="8"/>
        <v>316.276185075069</v>
      </c>
    </row>
    <row r="300" spans="12:31">
      <c r="L300" s="24">
        <v>6.71061570242531</v>
      </c>
      <c r="M300" s="25">
        <f>_xlfn.NORM.DIST(L300,L549,L550,TRUE)</f>
        <v>0.752701919731555</v>
      </c>
      <c r="N300" s="24">
        <f t="shared" si="7"/>
        <v>47.1590887594279</v>
      </c>
      <c r="AC300" s="24">
        <v>14.1807632252117</v>
      </c>
      <c r="AD300" s="27">
        <f>_xlfn.NORM.DIST(AC300,AC549,AC550,TRUE)</f>
        <v>0.785381065129069</v>
      </c>
      <c r="AE300" s="24">
        <f t="shared" si="8"/>
        <v>228.470319927017</v>
      </c>
    </row>
    <row r="301" spans="12:31">
      <c r="L301" s="24">
        <v>6.17674598450952</v>
      </c>
      <c r="M301" s="25">
        <f>_xlfn.NORM.DIST(L301,L549,L550,TRUE)</f>
        <v>0.735220324749934</v>
      </c>
      <c r="N301" s="24">
        <f t="shared" si="7"/>
        <v>40.2739158712636</v>
      </c>
      <c r="AC301" s="24">
        <v>13.5143225264153</v>
      </c>
      <c r="AD301" s="27">
        <f>_xlfn.NORM.DIST(AC301,AC549,AC550,TRUE)</f>
        <v>0.774379058362643</v>
      </c>
      <c r="AE301" s="24">
        <f t="shared" si="8"/>
        <v>209.595233518272</v>
      </c>
    </row>
    <row r="302" spans="12:31">
      <c r="L302" s="24">
        <v>5.87644326659371</v>
      </c>
      <c r="M302" s="25">
        <f>_xlfn.NORM.DIST(L302,L549,L550,TRUE)</f>
        <v>0.725117910765584</v>
      </c>
      <c r="N302" s="24">
        <f t="shared" si="7"/>
        <v>36.5956384853061</v>
      </c>
      <c r="AC302" s="24">
        <v>13.7805918276189</v>
      </c>
      <c r="AD302" s="27">
        <f>_xlfn.NORM.DIST(AC302,AC549,AC550,TRUE)</f>
        <v>0.778812612876179</v>
      </c>
      <c r="AE302" s="24">
        <f t="shared" si="8"/>
        <v>217.056400928874</v>
      </c>
    </row>
    <row r="303" spans="12:31">
      <c r="L303" s="24">
        <v>6.76112254867792</v>
      </c>
      <c r="M303" s="25">
        <f>_xlfn.NORM.DIST(L303,L549,L550,TRUE)</f>
        <v>0.754323220020886</v>
      </c>
      <c r="N303" s="24">
        <f t="shared" si="7"/>
        <v>47.8331267248482</v>
      </c>
      <c r="AC303" s="24">
        <v>13.5166931288226</v>
      </c>
      <c r="AD303" s="27">
        <f>_xlfn.NORM.DIST(AC303,AC549,AC550,TRUE)</f>
        <v>0.774418750987304</v>
      </c>
      <c r="AE303" s="24">
        <f t="shared" si="8"/>
        <v>209.66118926361</v>
      </c>
    </row>
    <row r="304" spans="12:31">
      <c r="L304" s="24">
        <v>6.00600783076212</v>
      </c>
      <c r="M304" s="25">
        <f>_xlfn.NORM.DIST(L304,L549,L550,TRUE)</f>
        <v>0.729499775762506</v>
      </c>
      <c r="N304" s="24">
        <f t="shared" si="7"/>
        <v>38.165244431192</v>
      </c>
      <c r="AC304" s="24">
        <v>15.5010864300263</v>
      </c>
      <c r="AD304" s="27">
        <f>_xlfn.NORM.DIST(AC304,AC549,AC550,TRUE)</f>
        <v>0.806232686761642</v>
      </c>
      <c r="AE304" s="24">
        <f t="shared" si="8"/>
        <v>267.83673011732</v>
      </c>
    </row>
    <row r="305" spans="12:31">
      <c r="L305" s="24">
        <v>6.63499611284632</v>
      </c>
      <c r="M305" s="25">
        <f>_xlfn.NORM.DIST(L305,L549,L550,TRUE)</f>
        <v>0.750263831638738</v>
      </c>
      <c r="N305" s="24">
        <f t="shared" si="7"/>
        <v>46.1571950574334</v>
      </c>
      <c r="AC305" s="24">
        <v>16.3956967312299</v>
      </c>
      <c r="AD305" s="27">
        <f>_xlfn.NORM.DIST(AC305,AC549,AC550,TRUE)</f>
        <v>0.819632742803328</v>
      </c>
      <c r="AE305" s="24">
        <f t="shared" si="8"/>
        <v>296.003022697416</v>
      </c>
    </row>
    <row r="306" spans="12:31">
      <c r="L306" s="24">
        <v>6.24618439493052</v>
      </c>
      <c r="M306" s="25">
        <f>_xlfn.NORM.DIST(L306,L549,L550,TRUE)</f>
        <v>0.737529124134736</v>
      </c>
      <c r="N306" s="24">
        <f t="shared" si="7"/>
        <v>41.1445214832256</v>
      </c>
      <c r="AC306" s="24">
        <v>15.5525600324336</v>
      </c>
      <c r="AD306" s="27">
        <f>_xlfn.NORM.DIST(AC306,AC549,AC550,TRUE)</f>
        <v>0.807019769083548</v>
      </c>
      <c r="AE306" s="24">
        <f t="shared" si="8"/>
        <v>269.424574202181</v>
      </c>
    </row>
    <row r="307" spans="12:31">
      <c r="L307" s="24">
        <v>5.24274867701471</v>
      </c>
      <c r="M307" s="25">
        <f>_xlfn.NORM.DIST(L307,L549,L550,TRUE)</f>
        <v>0.703196075948896</v>
      </c>
      <c r="N307" s="24">
        <f t="shared" si="7"/>
        <v>29.3055358564615</v>
      </c>
      <c r="AC307" s="24">
        <v>11.4106253336372</v>
      </c>
      <c r="AD307" s="27">
        <f>_xlfn.NORM.DIST(AC307,AC549,AC550,TRUE)</f>
        <v>0.737636927509615</v>
      </c>
      <c r="AE307" s="24">
        <f t="shared" si="8"/>
        <v>154.429201235792</v>
      </c>
    </row>
    <row r="308" spans="12:31">
      <c r="L308" s="24">
        <v>3.84106195909891</v>
      </c>
      <c r="M308" s="25">
        <f>_xlfn.NORM.DIST(L308,L549,L550,TRUE)</f>
        <v>0.652082629651333</v>
      </c>
      <c r="N308" s="24">
        <f t="shared" si="7"/>
        <v>15.5955529272135</v>
      </c>
      <c r="AC308" s="24">
        <v>9.68385163484092</v>
      </c>
      <c r="AD308" s="27">
        <f>_xlfn.NORM.DIST(AC308,AC549,AC550,TRUE)</f>
        <v>0.705339198270974</v>
      </c>
      <c r="AE308" s="24">
        <f t="shared" si="8"/>
        <v>114.290664365815</v>
      </c>
    </row>
    <row r="309" spans="12:31">
      <c r="L309" s="24">
        <v>4.16027724118311</v>
      </c>
      <c r="M309" s="25">
        <f>_xlfn.NORM.DIST(L309,L549,L550,TRUE)</f>
        <v>0.664012680671832</v>
      </c>
      <c r="N309" s="24">
        <f t="shared" si="7"/>
        <v>18.4090849962674</v>
      </c>
      <c r="AC309" s="24">
        <v>10.3428359360445</v>
      </c>
      <c r="AD309" s="27">
        <f>_xlfn.NORM.DIST(AC309,AC549,AC550,TRUE)</f>
        <v>0.717879603929187</v>
      </c>
      <c r="AE309" s="24">
        <f t="shared" si="8"/>
        <v>129.046408183321</v>
      </c>
    </row>
    <row r="310" spans="12:31">
      <c r="L310" s="24">
        <v>4.86056852326731</v>
      </c>
      <c r="M310" s="25">
        <f>_xlfn.NORM.DIST(L310,L549,L550,TRUE)</f>
        <v>0.689599776594783</v>
      </c>
      <c r="N310" s="24">
        <f t="shared" si="7"/>
        <v>25.2276477982992</v>
      </c>
      <c r="AC310" s="24">
        <v>11.1392552372482</v>
      </c>
      <c r="AD310" s="27">
        <f>_xlfn.NORM.DIST(AC310,AC549,AC550,TRUE)</f>
        <v>0.73268367585444</v>
      </c>
      <c r="AE310" s="24">
        <f t="shared" si="8"/>
        <v>147.808304226399</v>
      </c>
    </row>
    <row r="311" spans="12:31">
      <c r="L311" s="24">
        <v>5.8779918053515</v>
      </c>
      <c r="M311" s="25">
        <f>_xlfn.NORM.DIST(L311,L549,L550,TRUE)</f>
        <v>0.725170488097794</v>
      </c>
      <c r="N311" s="24">
        <f t="shared" si="7"/>
        <v>36.6142417036193</v>
      </c>
      <c r="AC311" s="24">
        <v>12.5738745384518</v>
      </c>
      <c r="AD311" s="27">
        <f>_xlfn.NORM.DIST(AC311,AC549,AC550,TRUE)</f>
        <v>0.758324038554471</v>
      </c>
      <c r="AE311" s="24">
        <f t="shared" si="8"/>
        <v>184.09970740443</v>
      </c>
    </row>
    <row r="312" spans="12:31">
      <c r="L312" s="24">
        <v>4.70248308743571</v>
      </c>
      <c r="M312" s="25">
        <f>_xlfn.NORM.DIST(L312,L549,L550,TRUE)</f>
        <v>0.683897656321229</v>
      </c>
      <c r="N312" s="24">
        <f t="shared" si="7"/>
        <v>23.613224461147</v>
      </c>
      <c r="AC312" s="24">
        <v>11.6325318396555</v>
      </c>
      <c r="AD312" s="27">
        <f>_xlfn.NORM.DIST(AC312,AC549,AC550,TRUE)</f>
        <v>0.741652111344006</v>
      </c>
      <c r="AE312" s="24">
        <f t="shared" si="8"/>
        <v>159.928434696426</v>
      </c>
    </row>
    <row r="313" spans="12:31">
      <c r="L313" s="24">
        <v>4.84223536951991</v>
      </c>
      <c r="M313" s="25">
        <f>_xlfn.NORM.DIST(L313,L549,L550,TRUE)</f>
        <v>0.688940798416838</v>
      </c>
      <c r="N313" s="24">
        <f t="shared" si="7"/>
        <v>25.0382265558867</v>
      </c>
      <c r="AC313" s="24">
        <v>11.2017181408591</v>
      </c>
      <c r="AD313" s="27">
        <f>_xlfn.NORM.DIST(AC313,AC549,AC550,TRUE)</f>
        <v>0.733827962799454</v>
      </c>
      <c r="AE313" s="24">
        <f t="shared" si="8"/>
        <v>149.32208955611</v>
      </c>
    </row>
    <row r="314" spans="12:31">
      <c r="L314" s="24">
        <v>5.16146165160411</v>
      </c>
      <c r="M314" s="25">
        <f>_xlfn.NORM.DIST(L314,L549,L550,TRUE)</f>
        <v>0.700327126864837</v>
      </c>
      <c r="N314" s="24">
        <f t="shared" si="7"/>
        <v>28.4177500547708</v>
      </c>
      <c r="AC314" s="24">
        <v>13.1468344420628</v>
      </c>
      <c r="AD314" s="27">
        <f>_xlfn.NORM.DIST(AC314,AC549,AC550,TRUE)</f>
        <v>0.768178355297255</v>
      </c>
      <c r="AE314" s="24">
        <f t="shared" si="8"/>
        <v>199.473371591059</v>
      </c>
    </row>
    <row r="315" spans="12:31">
      <c r="L315" s="24">
        <v>5.0873319336883</v>
      </c>
      <c r="M315" s="25">
        <f>_xlfn.NORM.DIST(L315,L549,L550,TRUE)</f>
        <v>0.697699889879519</v>
      </c>
      <c r="N315" s="24">
        <f t="shared" si="7"/>
        <v>27.6177046313713</v>
      </c>
      <c r="AC315" s="24">
        <v>14.5127277432664</v>
      </c>
      <c r="AD315" s="27">
        <f>_xlfn.NORM.DIST(AC315,AC549,AC550,TRUE)</f>
        <v>0.790742891918881</v>
      </c>
      <c r="AE315" s="24">
        <f t="shared" si="8"/>
        <v>238.121480679623</v>
      </c>
    </row>
    <row r="316" spans="12:31">
      <c r="L316" s="24">
        <v>5.7507592157725</v>
      </c>
      <c r="M316" s="25">
        <f>_xlfn.NORM.DIST(L316,L549,L550,TRUE)</f>
        <v>0.720834124935712</v>
      </c>
      <c r="N316" s="24">
        <f t="shared" si="7"/>
        <v>35.0984304768949</v>
      </c>
      <c r="AC316" s="24">
        <v>14.1211900444701</v>
      </c>
      <c r="AD316" s="27">
        <f>_xlfn.NORM.DIST(AC316,AC549,AC550,TRUE)</f>
        <v>0.784410468960639</v>
      </c>
      <c r="AE316" s="24">
        <f t="shared" si="8"/>
        <v>226.755884175548</v>
      </c>
    </row>
    <row r="317" spans="12:31">
      <c r="L317" s="24">
        <v>6.6649254978567</v>
      </c>
      <c r="M317" s="25">
        <f>_xlfn.NORM.DIST(L317,L549,L550,TRUE)</f>
        <v>0.751230323107945</v>
      </c>
      <c r="N317" s="24">
        <f t="shared" si="7"/>
        <v>46.5526876965822</v>
      </c>
      <c r="AC317" s="24">
        <v>13.5627513456737</v>
      </c>
      <c r="AD317" s="27">
        <f>_xlfn.NORM.DIST(AC317,AC549,AC550,TRUE)</f>
        <v>0.775189150689904</v>
      </c>
      <c r="AE317" s="24">
        <f t="shared" si="8"/>
        <v>210.944318228716</v>
      </c>
    </row>
    <row r="318" spans="12:31">
      <c r="L318" s="24">
        <v>6.5563797799409</v>
      </c>
      <c r="M318" s="25">
        <f>_xlfn.NORM.DIST(L318,L549,L550,TRUE)</f>
        <v>0.747715654520263</v>
      </c>
      <c r="N318" s="24">
        <f t="shared" si="7"/>
        <v>45.124879649065</v>
      </c>
      <c r="AC318" s="24">
        <v>13.8682966468774</v>
      </c>
      <c r="AD318" s="27">
        <f>_xlfn.NORM.DIST(AC318,AC549,AC550,TRUE)</f>
        <v>0.780261968881923</v>
      </c>
      <c r="AE318" s="24">
        <f t="shared" si="8"/>
        <v>219.537358687201</v>
      </c>
    </row>
    <row r="319" spans="12:31">
      <c r="L319" s="24">
        <v>6.14789906202511</v>
      </c>
      <c r="M319" s="25">
        <f>_xlfn.NORM.DIST(L319,L549,L550,TRUE)</f>
        <v>0.734258149322276</v>
      </c>
      <c r="N319" s="24">
        <f t="shared" si="7"/>
        <v>39.914446926794</v>
      </c>
      <c r="AC319" s="24">
        <v>11.856824948081</v>
      </c>
      <c r="AD319" s="27">
        <f>_xlfn.NORM.DIST(AC319,AC549,AC550,TRUE)</f>
        <v>0.745677880037644</v>
      </c>
      <c r="AE319" s="24">
        <f t="shared" si="8"/>
        <v>165.564236881287</v>
      </c>
    </row>
    <row r="320" spans="12:31">
      <c r="L320" s="24">
        <v>5.9729703441093</v>
      </c>
      <c r="M320" s="25">
        <f>_xlfn.NORM.DIST(L320,L549,L550,TRUE)</f>
        <v>0.728385772918051</v>
      </c>
      <c r="N320" s="24">
        <f t="shared" si="7"/>
        <v>37.7624994159131</v>
      </c>
      <c r="AC320" s="24">
        <v>13.6939552492847</v>
      </c>
      <c r="AD320" s="27">
        <f>_xlfn.NORM.DIST(AC320,AC549,AC550,TRUE)</f>
        <v>0.777375555555191</v>
      </c>
      <c r="AE320" s="24">
        <f t="shared" si="8"/>
        <v>214.617027500063</v>
      </c>
    </row>
    <row r="321" spans="12:31">
      <c r="L321" s="24">
        <v>5.58663062619351</v>
      </c>
      <c r="M321" s="25">
        <f>_xlfn.NORM.DIST(L321,L549,L550,TRUE)</f>
        <v>0.715191602738941</v>
      </c>
      <c r="N321" s="24">
        <f t="shared" si="7"/>
        <v>33.1812035660858</v>
      </c>
      <c r="AC321" s="24">
        <v>13.6165955504883</v>
      </c>
      <c r="AD321" s="27">
        <f>_xlfn.NORM.DIST(AC321,AC549,AC550,TRUE)</f>
        <v>0.776087889560375</v>
      </c>
      <c r="AE321" s="24">
        <f t="shared" si="8"/>
        <v>212.448408496293</v>
      </c>
    </row>
    <row r="322" spans="12:31">
      <c r="L322" s="24">
        <v>6.4639239082777</v>
      </c>
      <c r="M322" s="25">
        <f>_xlfn.NORM.DIST(L322,L549,L550,TRUE)</f>
        <v>0.74470144912957</v>
      </c>
      <c r="N322" s="24">
        <f t="shared" si="7"/>
        <v>43.922978229002</v>
      </c>
      <c r="AC322" s="24">
        <v>13.647237851692</v>
      </c>
      <c r="AD322" s="27">
        <f>_xlfn.NORM.DIST(AC322,AC549,AC550,TRUE)</f>
        <v>0.776598441636151</v>
      </c>
      <c r="AE322" s="24">
        <f t="shared" si="8"/>
        <v>213.306324018216</v>
      </c>
    </row>
    <row r="323" spans="12:31">
      <c r="L323" s="24">
        <v>6.2865381903619</v>
      </c>
      <c r="M323" s="25">
        <f>_xlfn.NORM.DIST(L323,L549,L550,TRUE)</f>
        <v>0.738866120672217</v>
      </c>
      <c r="N323" s="24">
        <f t="shared" si="7"/>
        <v>41.6539133839491</v>
      </c>
      <c r="AC323" s="24">
        <v>13.5404291528956</v>
      </c>
      <c r="AD323" s="27">
        <f>_xlfn.NORM.DIST(AC323,AC549,AC550,TRUE)</f>
        <v>0.774815961608954</v>
      </c>
      <c r="AE323" s="24">
        <f t="shared" si="8"/>
        <v>210.322048362495</v>
      </c>
    </row>
    <row r="324" spans="12:31">
      <c r="L324" s="24">
        <v>7.4293504724461</v>
      </c>
      <c r="M324" s="25">
        <f>_xlfn.NORM.DIST(L324,L549,L550,TRUE)</f>
        <v>0.775226615583486</v>
      </c>
      <c r="N324" s="24">
        <f t="shared" si="7"/>
        <v>57.1153820217359</v>
      </c>
      <c r="AC324" s="24">
        <v>14.1110494540993</v>
      </c>
      <c r="AD324" s="27">
        <f>_xlfn.NORM.DIST(AC324,AC549,AC550,TRUE)</f>
        <v>0.784245000224969</v>
      </c>
      <c r="AE324" s="24">
        <f t="shared" si="8"/>
        <v>226.464583007679</v>
      </c>
    </row>
    <row r="325" spans="12:31">
      <c r="L325" s="24">
        <v>7.15854975453029</v>
      </c>
      <c r="M325" s="25">
        <f>_xlfn.NORM.DIST(L325,L549,L550,TRUE)</f>
        <v>0.766879359053627</v>
      </c>
      <c r="N325" s="24">
        <f t="shared" si="7"/>
        <v>53.272330206968</v>
      </c>
      <c r="AC325" s="24">
        <v>13.729353755303</v>
      </c>
      <c r="AD325" s="27">
        <f>_xlfn.NORM.DIST(AC325,AC549,AC550,TRUE)</f>
        <v>0.777963359350412</v>
      </c>
      <c r="AE325" s="24">
        <f t="shared" si="8"/>
        <v>215.612356510507</v>
      </c>
    </row>
    <row r="326" spans="12:31">
      <c r="L326" s="24">
        <v>7.33764703661449</v>
      </c>
      <c r="M326" s="25">
        <f>_xlfn.NORM.DIST(L326,L549,L550,TRUE)</f>
        <v>0.772419059912916</v>
      </c>
      <c r="N326" s="24">
        <f t="shared" si="7"/>
        <v>55.8015986696709</v>
      </c>
      <c r="AC326" s="24">
        <v>13.6814130565066</v>
      </c>
      <c r="AD326" s="27">
        <f>_xlfn.NORM.DIST(AC326,AC549,AC550,TRUE)</f>
        <v>0.777167075689262</v>
      </c>
      <c r="AE326" s="24">
        <f t="shared" si="8"/>
        <v>214.264820966271</v>
      </c>
    </row>
    <row r="327" spans="12:31">
      <c r="L327" s="24">
        <v>7.61753631869869</v>
      </c>
      <c r="M327" s="25">
        <f>_xlfn.NORM.DIST(L327,L549,L550,TRUE)</f>
        <v>0.78092608999892</v>
      </c>
      <c r="N327" s="24">
        <f t="shared" si="7"/>
        <v>59.8510409854881</v>
      </c>
      <c r="AC327" s="24">
        <v>14.2618603577102</v>
      </c>
      <c r="AD327" s="27">
        <f>_xlfn.NORM.DIST(AC327,AC549,AC550,TRUE)</f>
        <v>0.786698249813337</v>
      </c>
      <c r="AE327" s="24">
        <f t="shared" si="8"/>
        <v>230.812759373983</v>
      </c>
    </row>
    <row r="328" spans="12:31">
      <c r="L328" s="24">
        <v>9.0209536007829</v>
      </c>
      <c r="M328" s="25">
        <f>_xlfn.NORM.DIST(L328,L549,L550,TRUE)</f>
        <v>0.820734197671898</v>
      </c>
      <c r="N328" s="24">
        <f t="shared" si="7"/>
        <v>81.9310301068262</v>
      </c>
      <c r="AC328" s="24">
        <v>17.9938426589139</v>
      </c>
      <c r="AD328" s="27">
        <f>_xlfn.NORM.DIST(AC328,AC549,AC550,TRUE)</f>
        <v>0.842082566215757</v>
      </c>
      <c r="AE328" s="24">
        <f t="shared" si="8"/>
        <v>349.351579144435</v>
      </c>
    </row>
    <row r="329" spans="12:31">
      <c r="L329" s="24">
        <v>8.05930388286709</v>
      </c>
      <c r="M329" s="25">
        <f>_xlfn.NORM.DIST(L329,L549,L550,TRUE)</f>
        <v>0.793974165636465</v>
      </c>
      <c r="N329" s="24">
        <f t="shared" si="7"/>
        <v>66.4820320164459</v>
      </c>
      <c r="AC329" s="24">
        <v>16.1100099601175</v>
      </c>
      <c r="AD329" s="27">
        <f>_xlfn.NORM.DIST(AC329,AC549,AC550,TRUE)</f>
        <v>0.81541814634373</v>
      </c>
      <c r="AE329" s="24">
        <f t="shared" si="8"/>
        <v>286.87678806126</v>
      </c>
    </row>
    <row r="330" spans="12:31">
      <c r="L330" s="24">
        <v>8.3982071649513</v>
      </c>
      <c r="M330" s="25">
        <f>_xlfn.NORM.DIST(L330,L549,L550,TRUE)</f>
        <v>0.803664240639492</v>
      </c>
      <c r="N330" s="24">
        <f t="shared" si="7"/>
        <v>71.767635428596</v>
      </c>
      <c r="AC330" s="24">
        <v>14.7956052613212</v>
      </c>
      <c r="AD330" s="27">
        <f>_xlfn.NORM.DIST(AC330,AC549,AC550,TRUE)</f>
        <v>0.795249028885815</v>
      </c>
      <c r="AE330" s="24">
        <f t="shared" si="8"/>
        <v>246.476220046081</v>
      </c>
    </row>
    <row r="331" spans="12:31">
      <c r="L331" s="24">
        <v>7.8078114470355</v>
      </c>
      <c r="M331" s="25">
        <f>_xlfn.NORM.DIST(L331,L549,L550,TRUE)</f>
        <v>0.786603422126667</v>
      </c>
      <c r="N331" s="24">
        <f t="shared" si="7"/>
        <v>62.6711767865992</v>
      </c>
      <c r="AC331" s="24">
        <v>14.9047845625248</v>
      </c>
      <c r="AD331" s="27">
        <f>_xlfn.NORM.DIST(AC331,AC549,AC550,TRUE)</f>
        <v>0.796972662265721</v>
      </c>
      <c r="AE331" s="24">
        <f t="shared" si="8"/>
        <v>249.73297835244</v>
      </c>
    </row>
    <row r="332" spans="12:31">
      <c r="L332" s="24">
        <v>8.7441037291197</v>
      </c>
      <c r="M332" s="25">
        <f>_xlfn.NORM.DIST(L332,L549,L550,TRUE)</f>
        <v>0.813263963929827</v>
      </c>
      <c r="N332" s="24">
        <f t="shared" si="7"/>
        <v>77.3404726765248</v>
      </c>
      <c r="AC332" s="24">
        <v>15.0630518637285</v>
      </c>
      <c r="AD332" s="27">
        <f>_xlfn.NORM.DIST(AC332,AC549,AC550,TRUE)</f>
        <v>0.799455815763723</v>
      </c>
      <c r="AE332" s="24">
        <f t="shared" si="8"/>
        <v>254.485824241781</v>
      </c>
    </row>
    <row r="333" spans="12:31">
      <c r="L333" s="24">
        <v>10.0836010112038</v>
      </c>
      <c r="M333" s="25">
        <f>_xlfn.NORM.DIST(L333,L549,L550,TRUE)</f>
        <v>0.847630696406377</v>
      </c>
      <c r="N333" s="24">
        <f t="shared" si="7"/>
        <v>100.637161935583</v>
      </c>
      <c r="AC333" s="24">
        <v>16.3602041649321</v>
      </c>
      <c r="AD333" s="27">
        <f>_xlfn.NORM.DIST(AC333,AC549,AC550,TRUE)</f>
        <v>0.819112447793007</v>
      </c>
      <c r="AE333" s="24">
        <f t="shared" si="8"/>
        <v>294.862484889942</v>
      </c>
    </row>
    <row r="334" spans="12:31">
      <c r="L334" s="24">
        <v>10.011920293288</v>
      </c>
      <c r="M334" s="25">
        <f>_xlfn.NORM.DIST(L334,L549,L550,TRUE)</f>
        <v>0.845905358096925</v>
      </c>
      <c r="N334" s="24">
        <f t="shared" si="7"/>
        <v>99.3206024621483</v>
      </c>
      <c r="AC334" s="24">
        <v>15.9882894661358</v>
      </c>
      <c r="AD334" s="27">
        <f>_xlfn.NORM.DIST(AC334,AC549,AC550,TRUE)</f>
        <v>0.813604008712325</v>
      </c>
      <c r="AE334" s="24">
        <f t="shared" si="8"/>
        <v>283.02598839967</v>
      </c>
    </row>
    <row r="335" spans="12:31">
      <c r="L335" s="24">
        <v>11.3981175753722</v>
      </c>
      <c r="M335" s="25">
        <f>_xlfn.NORM.DIST(L335,L549,L550,TRUE)</f>
        <v>0.876999644640003</v>
      </c>
      <c r="N335" s="24">
        <f t="shared" si="7"/>
        <v>126.218890952702</v>
      </c>
      <c r="AC335" s="24">
        <v>18.5421247673394</v>
      </c>
      <c r="AD335" s="27">
        <f>_xlfn.NORM.DIST(AC335,AC549,AC550,TRUE)</f>
        <v>0.849342485300464</v>
      </c>
      <c r="AE335" s="24">
        <f t="shared" si="8"/>
        <v>368.561034326325</v>
      </c>
    </row>
    <row r="336" spans="12:31">
      <c r="L336" s="24">
        <v>10.1021408574565</v>
      </c>
      <c r="M336" s="25">
        <f>_xlfn.NORM.DIST(L336,L549,L550,TRUE)</f>
        <v>0.848074851036775</v>
      </c>
      <c r="N336" s="24">
        <f t="shared" si="7"/>
        <v>100.978984987564</v>
      </c>
      <c r="AC336" s="24">
        <v>17.7480600685431</v>
      </c>
      <c r="AD336" s="27">
        <f>_xlfn.NORM.DIST(AC336,AC549,AC550,TRUE)</f>
        <v>0.838754745083079</v>
      </c>
      <c r="AE336" s="24">
        <f t="shared" si="8"/>
        <v>340.891790118782</v>
      </c>
    </row>
    <row r="337" spans="12:31">
      <c r="L337" s="24">
        <v>9.52894113954069</v>
      </c>
      <c r="M337" s="25">
        <f>_xlfn.NORM.DIST(L337,L549,L550,TRUE)</f>
        <v>0.833944464938394</v>
      </c>
      <c r="N337" s="24">
        <f t="shared" si="7"/>
        <v>90.6570765199935</v>
      </c>
      <c r="AC337" s="24">
        <v>18.0339673697468</v>
      </c>
      <c r="AD337" s="27">
        <f>_xlfn.NORM.DIST(AC337,AC549,AC550,TRUE)</f>
        <v>0.842621529676829</v>
      </c>
      <c r="AE337" s="24">
        <f t="shared" si="8"/>
        <v>350.741538619647</v>
      </c>
    </row>
    <row r="338" spans="12:31">
      <c r="L338" s="24">
        <v>10.2439884216248</v>
      </c>
      <c r="M338" s="25">
        <f>_xlfn.NORM.DIST(L338,L549,L550,TRUE)</f>
        <v>0.851444574590497</v>
      </c>
      <c r="N338" s="24">
        <f t="shared" si="7"/>
        <v>103.612005468343</v>
      </c>
      <c r="AC338" s="24">
        <v>19.5471076709504</v>
      </c>
      <c r="AD338" s="27">
        <f>_xlfn.NORM.DIST(AC338,AC549,AC550,TRUE)</f>
        <v>0.862064016702035</v>
      </c>
      <c r="AE338" s="24">
        <f t="shared" si="8"/>
        <v>404.994118298573</v>
      </c>
    </row>
    <row r="339" spans="12:31">
      <c r="L339" s="24">
        <v>10.858228703709</v>
      </c>
      <c r="M339" s="25">
        <f>_xlfn.NORM.DIST(L339,L549,L550,TRUE)</f>
        <v>0.865456471778027</v>
      </c>
      <c r="N339" s="24">
        <f t="shared" si="7"/>
        <v>115.378993785908</v>
      </c>
      <c r="AC339" s="24">
        <v>20.510442972154</v>
      </c>
      <c r="AD339" s="27">
        <f>_xlfn.NORM.DIST(AC339,AC549,AC550,TRUE)</f>
        <v>0.873551264588975</v>
      </c>
      <c r="AE339" s="24">
        <f t="shared" si="8"/>
        <v>441.42517052628</v>
      </c>
    </row>
    <row r="340" spans="12:31">
      <c r="L340" s="24">
        <v>10.0834379857932</v>
      </c>
      <c r="M340" s="25">
        <f>_xlfn.NORM.DIST(L340,L549,L550,TRUE)</f>
        <v>0.847626787027132</v>
      </c>
      <c r="N340" s="24">
        <f t="shared" si="7"/>
        <v>100.634158576353</v>
      </c>
      <c r="AC340" s="24">
        <v>18.2633452733577</v>
      </c>
      <c r="AD340" s="27">
        <f>_xlfn.NORM.DIST(AC340,AC549,AC550,TRUE)</f>
        <v>0.845679342794223</v>
      </c>
      <c r="AE340" s="24">
        <f t="shared" si="8"/>
        <v>358.735363531909</v>
      </c>
    </row>
    <row r="341" spans="12:31">
      <c r="L341" s="24">
        <v>10.1174852678774</v>
      </c>
      <c r="M341" s="25">
        <f>_xlfn.NORM.DIST(L341,L549,L550,TRUE)</f>
        <v>0.84844180223365</v>
      </c>
      <c r="N341" s="24">
        <f t="shared" si="7"/>
        <v>101.26229818216</v>
      </c>
      <c r="AC341" s="24">
        <v>17.4103815745614</v>
      </c>
      <c r="AD341" s="27">
        <f>_xlfn.NORM.DIST(AC341,AC549,AC550,TRUE)</f>
        <v>0.834108625092307</v>
      </c>
      <c r="AE341" s="24">
        <f t="shared" si="8"/>
        <v>329.420913091377</v>
      </c>
    </row>
    <row r="342" spans="12:31">
      <c r="L342" s="24">
        <v>10.2498685499616</v>
      </c>
      <c r="M342" s="25">
        <f>_xlfn.NORM.DIST(L342,L549,L550,TRUE)</f>
        <v>0.851583175460005</v>
      </c>
      <c r="N342" s="24">
        <f t="shared" si="7"/>
        <v>103.72183308208</v>
      </c>
      <c r="AC342" s="24">
        <v>16.959959875765</v>
      </c>
      <c r="AD342" s="27">
        <f>_xlfn.NORM.DIST(AC342,AC549,AC550,TRUE)</f>
        <v>0.827777961471108</v>
      </c>
      <c r="AE342" s="24">
        <f t="shared" si="8"/>
        <v>314.392633567298</v>
      </c>
    </row>
    <row r="343" spans="12:31">
      <c r="L343" s="24">
        <v>9.77992583204587</v>
      </c>
      <c r="M343" s="25">
        <f>_xlfn.NORM.DIST(L343,L549,L550,TRUE)</f>
        <v>0.840233025638762</v>
      </c>
      <c r="N343" s="24">
        <f t="shared" si="7"/>
        <v>95.1142183588555</v>
      </c>
      <c r="AC343" s="24">
        <v>14.5655841769687</v>
      </c>
      <c r="AD343" s="27">
        <f>_xlfn.NORM.DIST(AC343,AC549,AC550,TRUE)</f>
        <v>0.791589282494519</v>
      </c>
      <c r="AE343" s="24">
        <f t="shared" si="8"/>
        <v>239.673451306883</v>
      </c>
    </row>
    <row r="344" spans="12:31">
      <c r="L344" s="24">
        <v>7.23503911413008</v>
      </c>
      <c r="M344" s="25">
        <f>_xlfn.NORM.DIST(L344,L549,L550,TRUE)</f>
        <v>0.769254381182412</v>
      </c>
      <c r="N344" s="24">
        <f t="shared" si="7"/>
        <v>54.3466156781052</v>
      </c>
      <c r="AC344" s="24">
        <v>11.0519604781723</v>
      </c>
      <c r="AD344" s="27">
        <f>_xlfn.NORM.DIST(AC344,AC549,AC550,TRUE)</f>
        <v>0.731080335108898</v>
      </c>
      <c r="AE344" s="24">
        <f t="shared" si="8"/>
        <v>145.702957407018</v>
      </c>
    </row>
    <row r="345" spans="12:31">
      <c r="L345" s="24">
        <v>9.1399743962143</v>
      </c>
      <c r="M345" s="25">
        <f>_xlfn.NORM.DIST(L345,L549,L550,TRUE)</f>
        <v>0.823887144949975</v>
      </c>
      <c r="N345" s="24">
        <f t="shared" si="7"/>
        <v>83.940267298187</v>
      </c>
      <c r="AC345" s="24">
        <v>12.948020779376</v>
      </c>
      <c r="AD345" s="27">
        <f>_xlfn.NORM.DIST(AC345,AC549,AC550,TRUE)</f>
        <v>0.764784556660146</v>
      </c>
      <c r="AE345" s="24">
        <f t="shared" si="8"/>
        <v>194.082429575595</v>
      </c>
    </row>
    <row r="346" spans="12:31">
      <c r="L346" s="24">
        <v>10.5311006782984</v>
      </c>
      <c r="M346" s="25">
        <f>_xlfn.NORM.DIST(L346,L549,L550,TRUE)</f>
        <v>0.858111192949135</v>
      </c>
      <c r="N346" s="24">
        <f t="shared" si="7"/>
        <v>109.037996884891</v>
      </c>
      <c r="AC346" s="24">
        <v>13.1651860805796</v>
      </c>
      <c r="AD346" s="27">
        <f>_xlfn.NORM.DIST(AC346,AC549,AC550,TRUE)</f>
        <v>0.768490241275718</v>
      </c>
      <c r="AE346" s="24">
        <f t="shared" si="8"/>
        <v>199.974000290627</v>
      </c>
    </row>
    <row r="347" spans="12:31">
      <c r="L347" s="24">
        <v>10.1717759603826</v>
      </c>
      <c r="M347" s="25">
        <f>_xlfn.NORM.DIST(L347,L549,L550,TRUE)</f>
        <v>0.849735393645966</v>
      </c>
      <c r="N347" s="24">
        <f t="shared" si="7"/>
        <v>102.267648232256</v>
      </c>
      <c r="AC347" s="24">
        <v>15.7975443817832</v>
      </c>
      <c r="AD347" s="27">
        <f>_xlfn.NORM.DIST(AC347,AC549,AC550,TRUE)</f>
        <v>0.810738993238891</v>
      </c>
      <c r="AE347" s="24">
        <f t="shared" si="8"/>
        <v>277.036552610859</v>
      </c>
    </row>
    <row r="348" spans="12:31">
      <c r="L348" s="24">
        <v>6.39767224246688</v>
      </c>
      <c r="M348" s="25">
        <f>_xlfn.NORM.DIST(L348,L549,L550,TRUE)</f>
        <v>0.742530020040425</v>
      </c>
      <c r="N348" s="24">
        <f t="shared" si="7"/>
        <v>43.0698189874254</v>
      </c>
      <c r="AC348" s="24">
        <v>10.7818146829869</v>
      </c>
      <c r="AD348" s="27">
        <f>_xlfn.NORM.DIST(AC348,AC549,AC550,TRUE)</f>
        <v>0.726088179139744</v>
      </c>
      <c r="AE348" s="24">
        <f t="shared" si="8"/>
        <v>139.263574900746</v>
      </c>
    </row>
    <row r="349" spans="12:31">
      <c r="L349" s="24">
        <v>5.94493352455108</v>
      </c>
      <c r="M349" s="25">
        <f>_xlfn.NORM.DIST(L349,L549,L550,TRUE)</f>
        <v>0.727438600873603</v>
      </c>
      <c r="N349" s="24">
        <f t="shared" si="7"/>
        <v>37.4220631760649</v>
      </c>
      <c r="AC349" s="24">
        <v>8.92744698419062</v>
      </c>
      <c r="AD349" s="27">
        <f>_xlfn.NORM.DIST(AC349,AC549,AC550,TRUE)</f>
        <v>0.690636081561953</v>
      </c>
      <c r="AE349" s="24">
        <f t="shared" si="8"/>
        <v>98.2356057798531</v>
      </c>
    </row>
    <row r="350" spans="12:31">
      <c r="L350" s="24">
        <v>8.20635280663528</v>
      </c>
      <c r="M350" s="25">
        <f>_xlfn.NORM.DIST(L350,L549,L550,TRUE)</f>
        <v>0.798213025464259</v>
      </c>
      <c r="N350" s="24">
        <f t="shared" si="7"/>
        <v>68.7542463810946</v>
      </c>
      <c r="AC350" s="24">
        <v>12.7575892853942</v>
      </c>
      <c r="AD350" s="27">
        <f>_xlfn.NORM.DIST(AC350,AC549,AC550,TRUE)</f>
        <v>0.761508284072645</v>
      </c>
      <c r="AE350" s="24">
        <f t="shared" si="8"/>
        <v>188.974909925655</v>
      </c>
    </row>
    <row r="351" spans="12:31">
      <c r="L351" s="24">
        <v>8.60179708871949</v>
      </c>
      <c r="M351" s="25">
        <f>_xlfn.NORM.DIST(L351,L549,L550,TRUE)</f>
        <v>0.809350210999929</v>
      </c>
      <c r="N351" s="24">
        <f t="shared" si="7"/>
        <v>75.0259004282717</v>
      </c>
      <c r="AC351" s="24">
        <v>14.4277885865979</v>
      </c>
      <c r="AD351" s="27">
        <f>_xlfn.NORM.DIST(AC351,AC549,AC550,TRUE)</f>
        <v>0.789378530378816</v>
      </c>
      <c r="AE351" s="24">
        <f t="shared" si="8"/>
        <v>235.636290706203</v>
      </c>
    </row>
    <row r="352" spans="12:31">
      <c r="L352" s="24">
        <v>9.28240537080368</v>
      </c>
      <c r="M352" s="25">
        <f>_xlfn.NORM.DIST(L352,L549,L550,TRUE)</f>
        <v>0.827613799742644</v>
      </c>
      <c r="N352" s="24">
        <f t="shared" si="7"/>
        <v>86.3730166562149</v>
      </c>
      <c r="AC352" s="24">
        <v>13.8988298878015</v>
      </c>
      <c r="AD352" s="27">
        <f>_xlfn.NORM.DIST(AC352,AC549,AC550,TRUE)</f>
        <v>0.78076526010508</v>
      </c>
      <c r="AE352" s="24">
        <f t="shared" si="8"/>
        <v>220.403786348358</v>
      </c>
    </row>
    <row r="353" spans="12:31">
      <c r="L353" s="24">
        <v>7.95188965288788</v>
      </c>
      <c r="M353" s="25">
        <f>_xlfn.NORM.DIST(L353,L549,L550,TRUE)</f>
        <v>0.790844711581078</v>
      </c>
      <c r="N353" s="24">
        <f t="shared" si="7"/>
        <v>64.8427736829576</v>
      </c>
      <c r="AC353" s="24">
        <v>12.8592971890052</v>
      </c>
      <c r="AD353" s="27">
        <f>_xlfn.NORM.DIST(AC353,AC549,AC550,TRUE)</f>
        <v>0.763261215011284</v>
      </c>
      <c r="AE353" s="24">
        <f t="shared" si="8"/>
        <v>191.695953372912</v>
      </c>
    </row>
    <row r="354" spans="12:31">
      <c r="L354" s="24">
        <v>8.08270093497208</v>
      </c>
      <c r="M354" s="25">
        <f>_xlfn.NORM.DIST(L354,L549,L550,TRUE)</f>
        <v>0.794652124293901</v>
      </c>
      <c r="N354" s="24">
        <f t="shared" si="7"/>
        <v>66.8413936652145</v>
      </c>
      <c r="AC354" s="24">
        <v>14.5099044902088</v>
      </c>
      <c r="AD354" s="27">
        <f>_xlfn.NORM.DIST(AC354,AC549,AC550,TRUE)</f>
        <v>0.79069762629099</v>
      </c>
      <c r="AE354" s="24">
        <f t="shared" si="8"/>
        <v>238.0387024277</v>
      </c>
    </row>
    <row r="355" spans="12:31">
      <c r="L355" s="24">
        <v>7.36086521705628</v>
      </c>
      <c r="M355" s="25">
        <f>_xlfn.NORM.DIST(L355,L549,L550,TRUE)</f>
        <v>0.773131759415823</v>
      </c>
      <c r="N355" s="24">
        <f t="shared" si="7"/>
        <v>56.1330349974332</v>
      </c>
      <c r="AC355" s="24">
        <v>16.6808357914125</v>
      </c>
      <c r="AD355" s="27">
        <f>_xlfn.NORM.DIST(AC355,AC549,AC550,TRUE)</f>
        <v>0.823778535192753</v>
      </c>
      <c r="AE355" s="24">
        <f t="shared" si="8"/>
        <v>305.235271477663</v>
      </c>
    </row>
    <row r="356" spans="12:31">
      <c r="L356" s="24">
        <v>8.98751049914048</v>
      </c>
      <c r="M356" s="25">
        <f>_xlfn.NORM.DIST(L356,L549,L550,TRUE)</f>
        <v>0.819841915859065</v>
      </c>
      <c r="N356" s="24">
        <f t="shared" si="7"/>
        <v>81.3703334702275</v>
      </c>
      <c r="AC356" s="24">
        <v>18.6848520926161</v>
      </c>
      <c r="AD356" s="27">
        <f>_xlfn.NORM.DIST(AC356,AC549,AC550,TRUE)</f>
        <v>0.851195316709076</v>
      </c>
      <c r="AE356" s="24">
        <f t="shared" si="8"/>
        <v>373.638467878877</v>
      </c>
    </row>
    <row r="357" spans="12:31">
      <c r="L357" s="24">
        <v>8.16956078122467</v>
      </c>
      <c r="M357" s="25">
        <f>_xlfn.NORM.DIST(L357,L549,L550,TRUE)</f>
        <v>0.79715737995214</v>
      </c>
      <c r="N357" s="24">
        <f t="shared" ref="N357:N420" si="9">POWER((L357-M357),2)/M357</f>
        <v>68.1826867291349</v>
      </c>
      <c r="AC357" s="24">
        <v>17.6551763938198</v>
      </c>
      <c r="AD357" s="27">
        <f>_xlfn.NORM.DIST(AC357,AC549,AC550,TRUE)</f>
        <v>0.837485303245555</v>
      </c>
      <c r="AE357" s="24">
        <f t="shared" ref="AE357:AE420" si="10">POWER((AC357-AD357),2)/AD357</f>
        <v>337.719041184239</v>
      </c>
    </row>
    <row r="358" spans="12:31">
      <c r="L358" s="24">
        <v>7.94552106330888</v>
      </c>
      <c r="M358" s="25">
        <f>_xlfn.NORM.DIST(L358,L549,L550,TRUE)</f>
        <v>0.790658291555003</v>
      </c>
      <c r="N358" s="24">
        <f t="shared" si="9"/>
        <v>64.7461258920704</v>
      </c>
      <c r="AC358" s="24">
        <v>18.3436246950234</v>
      </c>
      <c r="AD358" s="27">
        <f>_xlfn.NORM.DIST(AC358,AC549,AC550,TRUE)</f>
        <v>0.846740195909301</v>
      </c>
      <c r="AE358" s="24">
        <f t="shared" si="10"/>
        <v>361.552420275241</v>
      </c>
    </row>
    <row r="359" spans="12:31">
      <c r="L359" s="24">
        <v>6.23549634539307</v>
      </c>
      <c r="M359" s="25">
        <f>_xlfn.NORM.DIST(L359,L549,L550,TRUE)</f>
        <v>0.737174423013412</v>
      </c>
      <c r="N359" s="24">
        <f t="shared" si="9"/>
        <v>41.0100283166915</v>
      </c>
      <c r="AC359" s="24">
        <v>16.9899289962271</v>
      </c>
      <c r="AD359" s="27">
        <f>_xlfn.NORM.DIST(AC359,AC549,AC550,TRUE)</f>
        <v>0.828203903620945</v>
      </c>
      <c r="AE359" s="24">
        <f t="shared" si="10"/>
        <v>315.382910931705</v>
      </c>
    </row>
    <row r="360" spans="12:31">
      <c r="L360" s="24">
        <v>7.13023862747728</v>
      </c>
      <c r="M360" s="25">
        <f>_xlfn.NORM.DIST(L360,L549,L550,TRUE)</f>
        <v>0.765996859051031</v>
      </c>
      <c r="N360" s="24">
        <f t="shared" si="9"/>
        <v>52.8769443482573</v>
      </c>
      <c r="AC360" s="24">
        <v>18.4147052974307</v>
      </c>
      <c r="AD360" s="27">
        <f>_xlfn.NORM.DIST(AC360,AC549,AC550,TRUE)</f>
        <v>0.847675448381522</v>
      </c>
      <c r="AE360" s="24">
        <f t="shared" si="10"/>
        <v>364.055061765207</v>
      </c>
    </row>
    <row r="361" spans="12:31">
      <c r="L361" s="24">
        <v>6.06833890956147</v>
      </c>
      <c r="M361" s="25">
        <f>_xlfn.NORM.DIST(L361,L549,L550,TRUE)</f>
        <v>0.731595304152999</v>
      </c>
      <c r="N361" s="24">
        <f t="shared" si="9"/>
        <v>38.9297636933875</v>
      </c>
      <c r="AC361" s="24">
        <v>18.2686355986344</v>
      </c>
      <c r="AD361" s="27">
        <f>_xlfn.NORM.DIST(AC361,AC549,AC550,TRUE)</f>
        <v>0.845749400932921</v>
      </c>
      <c r="AE361" s="24">
        <f t="shared" si="10"/>
        <v>358.920695803287</v>
      </c>
    </row>
    <row r="362" spans="12:31">
      <c r="L362" s="24">
        <v>4.03795619164567</v>
      </c>
      <c r="M362" s="25">
        <f>_xlfn.NORM.DIST(L362,L549,L550,TRUE)</f>
        <v>0.659459869234356</v>
      </c>
      <c r="N362" s="24">
        <f t="shared" si="9"/>
        <v>17.308463991598</v>
      </c>
      <c r="AC362" s="24">
        <v>17.474570899838</v>
      </c>
      <c r="AD362" s="27">
        <f>_xlfn.NORM.DIST(AC362,AC549,AC550,TRUE)</f>
        <v>0.834998402877152</v>
      </c>
      <c r="AE362" s="24">
        <f t="shared" si="10"/>
        <v>331.587907147591</v>
      </c>
    </row>
    <row r="363" spans="12:31">
      <c r="L363" s="24">
        <v>0.129773473729869</v>
      </c>
      <c r="M363" s="25">
        <f>_xlfn.NORM.DIST(L363,L549,L550,TRUE)</f>
        <v>0.505269294253027</v>
      </c>
      <c r="N363" s="24">
        <f t="shared" si="9"/>
        <v>0.279053393574618</v>
      </c>
      <c r="AC363" s="24">
        <v>12.9595442010417</v>
      </c>
      <c r="AD363" s="27">
        <f>_xlfn.NORM.DIST(AC363,AC549,AC550,TRUE)</f>
        <v>0.764982010383372</v>
      </c>
      <c r="AE363" s="24">
        <f t="shared" si="10"/>
        <v>194.393260237987</v>
      </c>
    </row>
    <row r="364" spans="12:31">
      <c r="L364" s="24">
        <v>-2.60293324418591</v>
      </c>
      <c r="M364" s="25">
        <f>_xlfn.NORM.DIST(L364,L549,L550,TRUE)</f>
        <v>0.395531464559619</v>
      </c>
      <c r="N364" s="24">
        <f t="shared" si="9"/>
        <v>22.73091123004</v>
      </c>
      <c r="AC364" s="24">
        <v>5.63660950224539</v>
      </c>
      <c r="AD364" s="27">
        <f>_xlfn.NORM.DIST(AC364,AC549,AC550,TRUE)</f>
        <v>0.623318755422359</v>
      </c>
      <c r="AE364" s="24">
        <f t="shared" si="10"/>
        <v>40.3213987924225</v>
      </c>
    </row>
    <row r="365" spans="12:31">
      <c r="L365" s="24">
        <v>-1.72050496210172</v>
      </c>
      <c r="M365" s="25">
        <f>_xlfn.NORM.DIST(L365,L549,L550,TRUE)</f>
        <v>0.430494372283871</v>
      </c>
      <c r="N365" s="24">
        <f t="shared" si="9"/>
        <v>10.7476390736098</v>
      </c>
      <c r="AC365" s="24">
        <v>5.03887980344902</v>
      </c>
      <c r="AD365" s="27">
        <f>_xlfn.NORM.DIST(AC365,AC549,AC550,TRUE)</f>
        <v>0.610602133971582</v>
      </c>
      <c r="AE365" s="24">
        <f t="shared" si="10"/>
        <v>32.1152548066679</v>
      </c>
    </row>
    <row r="366" spans="12:31">
      <c r="L366" s="24">
        <v>-6.67847668001752</v>
      </c>
      <c r="M366" s="25">
        <f>_xlfn.NORM.DIST(L366,L549,L550,TRUE)</f>
        <v>0.248332732685667</v>
      </c>
      <c r="N366" s="24">
        <f t="shared" si="9"/>
        <v>193.211294061046</v>
      </c>
      <c r="AC366" s="24">
        <v>-1.59327389534732</v>
      </c>
      <c r="AD366" s="27">
        <f>_xlfn.NORM.DIST(AC366,AC549,AC550,TRUE)</f>
        <v>0.4646141056532</v>
      </c>
      <c r="AE366" s="24">
        <f t="shared" si="10"/>
        <v>9.11488259425115</v>
      </c>
    </row>
    <row r="367" spans="12:31">
      <c r="L367" s="24">
        <v>-6.96166739793332</v>
      </c>
      <c r="M367" s="25">
        <f>_xlfn.NORM.DIST(L367,L549,L550,TRUE)</f>
        <v>0.239295885097708</v>
      </c>
      <c r="N367" s="24">
        <f t="shared" si="9"/>
        <v>216.69353897326</v>
      </c>
      <c r="AC367" s="24">
        <v>1.00392740585633</v>
      </c>
      <c r="AD367" s="27">
        <f>_xlfn.NORM.DIST(AC367,AC549,AC550,TRUE)</f>
        <v>0.522314444078331</v>
      </c>
      <c r="AE367" s="24">
        <f t="shared" si="10"/>
        <v>0.44408315255741</v>
      </c>
    </row>
    <row r="368" spans="12:31">
      <c r="L368" s="24">
        <v>-0.933784115849135</v>
      </c>
      <c r="M368" s="25">
        <f>_xlfn.NORM.DIST(L368,L549,L550,TRUE)</f>
        <v>0.46214073341467</v>
      </c>
      <c r="N368" s="24">
        <f t="shared" si="9"/>
        <v>4.21647789060768</v>
      </c>
      <c r="AC368" s="24">
        <v>3.05825170705998</v>
      </c>
      <c r="AD368" s="27">
        <f>_xlfn.NORM.DIST(AC368,AC549,AC550,TRUE)</f>
        <v>0.567683689429181</v>
      </c>
      <c r="AE368" s="24">
        <f t="shared" si="10"/>
        <v>10.9267346692356</v>
      </c>
    </row>
    <row r="369" spans="12:31">
      <c r="L369" s="24">
        <v>-3.51616183376492</v>
      </c>
      <c r="M369" s="25">
        <f>_xlfn.NORM.DIST(L369,L549,L550,TRUE)</f>
        <v>0.360216401704505</v>
      </c>
      <c r="N369" s="24">
        <f t="shared" si="9"/>
        <v>41.714669718864</v>
      </c>
      <c r="AC369" s="24">
        <v>0.749554008263658</v>
      </c>
      <c r="AD369" s="27">
        <f>_xlfn.NORM.DIST(AC369,AC549,AC550,TRUE)</f>
        <v>0.516664296505384</v>
      </c>
      <c r="AE369" s="24">
        <f t="shared" si="10"/>
        <v>0.10497651610476</v>
      </c>
    </row>
    <row r="370" spans="12:31">
      <c r="L370" s="24">
        <v>-0.452840551680722</v>
      </c>
      <c r="M370" s="25">
        <f>_xlfn.NORM.DIST(L370,L549,L550,TRUE)</f>
        <v>0.481618933094176</v>
      </c>
      <c r="N370" s="24">
        <f t="shared" si="9"/>
        <v>1.81308181361512</v>
      </c>
      <c r="AC370" s="24">
        <v>9.94059630946731</v>
      </c>
      <c r="AD370" s="27">
        <f>_xlfn.NORM.DIST(AC370,AC549,AC550,TRUE)</f>
        <v>0.710255547092898</v>
      </c>
      <c r="AE370" s="24">
        <f t="shared" si="10"/>
        <v>119.95568487747</v>
      </c>
    </row>
    <row r="371" spans="12:31">
      <c r="L371" s="24">
        <v>-3.11653926959652</v>
      </c>
      <c r="M371" s="25">
        <f>_xlfn.NORM.DIST(L371,L549,L550,TRUE)</f>
        <v>0.375543567267844</v>
      </c>
      <c r="N371" s="24">
        <f t="shared" si="9"/>
        <v>32.4719782267639</v>
      </c>
      <c r="AC371" s="24">
        <v>3.76246761067096</v>
      </c>
      <c r="AD371" s="27">
        <f>_xlfn.NORM.DIST(AC371,AC549,AC550,TRUE)</f>
        <v>0.583063161378319</v>
      </c>
      <c r="AE371" s="24">
        <f t="shared" si="10"/>
        <v>17.3370799628051</v>
      </c>
    </row>
    <row r="372" spans="12:31">
      <c r="L372" s="24">
        <v>-4.31891898751233</v>
      </c>
      <c r="M372" s="25">
        <f>_xlfn.NORM.DIST(L372,L549,L550,TRUE)</f>
        <v>0.330118385090206</v>
      </c>
      <c r="N372" s="24">
        <f t="shared" si="9"/>
        <v>65.4721138477311</v>
      </c>
      <c r="AC372" s="24">
        <v>2.89496291187458</v>
      </c>
      <c r="AD372" s="27">
        <f>_xlfn.NORM.DIST(AC372,AC549,AC550,TRUE)</f>
        <v>0.564102009662802</v>
      </c>
      <c r="AE372" s="24">
        <f t="shared" si="10"/>
        <v>9.63108170578418</v>
      </c>
    </row>
    <row r="373" spans="12:31">
      <c r="L373" s="24">
        <v>-10.1960577054281</v>
      </c>
      <c r="M373" s="25">
        <f>_xlfn.NORM.DIST(L373,L549,L550,TRUE)</f>
        <v>0.14968843049243</v>
      </c>
      <c r="N373" s="24">
        <f t="shared" si="9"/>
        <v>715.048335778547</v>
      </c>
      <c r="AC373" s="24">
        <v>-8.11994178692177</v>
      </c>
      <c r="AD373" s="27">
        <f>_xlfn.NORM.DIST(AC373,AC549,AC550,TRUE)</f>
        <v>0.325403872530629</v>
      </c>
      <c r="AE373" s="24">
        <f t="shared" si="10"/>
        <v>219.185662275479</v>
      </c>
    </row>
    <row r="374" spans="12:31">
      <c r="L374" s="24">
        <v>-5.71575942334392</v>
      </c>
      <c r="M374" s="25">
        <f>_xlfn.NORM.DIST(L374,L549,L550,TRUE)</f>
        <v>0.280364550781408</v>
      </c>
      <c r="N374" s="24">
        <f t="shared" si="9"/>
        <v>128.238404651637</v>
      </c>
      <c r="AC374" s="24">
        <v>0.607156514281882</v>
      </c>
      <c r="AD374" s="27">
        <f>_xlfn.NORM.DIST(AC374,AC549,AC550,TRUE)</f>
        <v>0.513499825581112</v>
      </c>
      <c r="AE374" s="24">
        <f t="shared" si="10"/>
        <v>0.0170819441437326</v>
      </c>
    </row>
    <row r="375" spans="12:31">
      <c r="L375" s="24">
        <v>-8.40164414125973</v>
      </c>
      <c r="M375" s="25">
        <f>_xlfn.NORM.DIST(L375,L549,L550,TRUE)</f>
        <v>0.196238924572328</v>
      </c>
      <c r="N375" s="24">
        <f t="shared" si="9"/>
        <v>376.701989041299</v>
      </c>
      <c r="AC375" s="24">
        <v>-7.57477118451444</v>
      </c>
      <c r="AD375" s="27">
        <f>_xlfn.NORM.DIST(AC375,AC549,AC550,TRUE)</f>
        <v>0.336421203134045</v>
      </c>
      <c r="AE375" s="24">
        <f t="shared" si="10"/>
        <v>186.037516099869</v>
      </c>
    </row>
    <row r="376" spans="12:31">
      <c r="L376" s="24">
        <v>-15.3483098591755</v>
      </c>
      <c r="M376" s="25">
        <f>_xlfn.NORM.DIST(L376,L549,L550,TRUE)</f>
        <v>0.0591234015457104</v>
      </c>
      <c r="N376" s="24">
        <f t="shared" si="9"/>
        <v>4015.1444855561</v>
      </c>
      <c r="AC376" s="24">
        <v>-25.8645938833107</v>
      </c>
      <c r="AD376" s="27">
        <f>_xlfn.NORM.DIST(AC376,AC549,AC550,TRUE)</f>
        <v>0.0746789404792361</v>
      </c>
      <c r="AE376" s="24">
        <f t="shared" si="10"/>
        <v>9009.84762650839</v>
      </c>
    </row>
    <row r="377" spans="12:31">
      <c r="L377" s="24">
        <v>-8.26323757709133</v>
      </c>
      <c r="M377" s="25">
        <f>_xlfn.NORM.DIST(L377,L549,L550,TRUE)</f>
        <v>0.200161313710543</v>
      </c>
      <c r="N377" s="24">
        <f t="shared" si="9"/>
        <v>357.856967747577</v>
      </c>
      <c r="AC377" s="24">
        <v>-11.4814125821071</v>
      </c>
      <c r="AD377" s="27">
        <f>_xlfn.NORM.DIST(AC377,AC549,AC550,TRUE)</f>
        <v>0.261078783086707</v>
      </c>
      <c r="AE377" s="24">
        <f t="shared" si="10"/>
        <v>528.139827493596</v>
      </c>
    </row>
    <row r="378" spans="12:31">
      <c r="L378" s="24">
        <v>-17.3193422950071</v>
      </c>
      <c r="M378" s="25">
        <f>_xlfn.NORM.DIST(L378,L549,L550,TRUE)</f>
        <v>0.0389679910727611</v>
      </c>
      <c r="N378" s="24">
        <f t="shared" si="9"/>
        <v>7732.26763025114</v>
      </c>
      <c r="AC378" s="24">
        <v>-25.4280032809035</v>
      </c>
      <c r="AD378" s="27">
        <f>_xlfn.NORM.DIST(AC378,AC549,AC550,TRUE)</f>
        <v>0.0781733879365108</v>
      </c>
      <c r="AE378" s="24">
        <f t="shared" si="10"/>
        <v>8322.07820889688</v>
      </c>
    </row>
    <row r="379" spans="12:31">
      <c r="L379" s="24">
        <v>-14.9386270129229</v>
      </c>
      <c r="M379" s="25">
        <f>_xlfn.NORM.DIST(L379,L549,L550,TRUE)</f>
        <v>0.0641956058004468</v>
      </c>
      <c r="N379" s="24">
        <f t="shared" si="9"/>
        <v>3506.23198772447</v>
      </c>
      <c r="AC379" s="24">
        <v>-28.8422309796998</v>
      </c>
      <c r="AD379" s="27">
        <f>_xlfn.NORM.DIST(AC379,AC549,AC550,TRUE)</f>
        <v>0.0539406427769092</v>
      </c>
      <c r="AE379" s="24">
        <f t="shared" si="10"/>
        <v>15479.7698256771</v>
      </c>
    </row>
    <row r="380" spans="12:31">
      <c r="L380" s="24">
        <v>-16.7077867308387</v>
      </c>
      <c r="M380" s="25">
        <f>_xlfn.NORM.DIST(L380,L549,L550,TRUE)</f>
        <v>0.0445142745513143</v>
      </c>
      <c r="N380" s="24">
        <f t="shared" si="9"/>
        <v>6304.48528711124</v>
      </c>
      <c r="AC380" s="24">
        <v>-40.8639726784962</v>
      </c>
      <c r="AD380" s="27">
        <f>_xlfn.NORM.DIST(AC380,AC549,AC550,TRUE)</f>
        <v>0.0113652879073445</v>
      </c>
      <c r="AE380" s="24">
        <f t="shared" si="10"/>
        <v>147008.440744208</v>
      </c>
    </row>
    <row r="381" spans="12:31">
      <c r="L381" s="24">
        <v>-17.4173034487545</v>
      </c>
      <c r="M381" s="25">
        <f>_xlfn.NORM.DIST(L381,L549,L550,TRUE)</f>
        <v>0.0381342223100803</v>
      </c>
      <c r="N381" s="24">
        <f t="shared" si="9"/>
        <v>7989.99653935198</v>
      </c>
      <c r="AC381" s="24">
        <v>-41.4945843772925</v>
      </c>
      <c r="AD381" s="27">
        <f>_xlfn.NORM.DIST(AC381,AC549,AC550,TRUE)</f>
        <v>0.0103589584949415</v>
      </c>
      <c r="AE381" s="24">
        <f t="shared" si="10"/>
        <v>166296.671827398</v>
      </c>
    </row>
    <row r="382" spans="12:31">
      <c r="L382" s="24">
        <v>-21.4905871666703</v>
      </c>
      <c r="M382" s="25">
        <f>_xlfn.NORM.DIST(L382,L549,L550,TRUE)</f>
        <v>0.0143586597190446</v>
      </c>
      <c r="N382" s="24">
        <f t="shared" si="9"/>
        <v>32207.9291552925</v>
      </c>
      <c r="AC382" s="24">
        <v>-47.8602440760888</v>
      </c>
      <c r="AD382" s="27">
        <f>_xlfn.NORM.DIST(AC382,AC549,AC550,TRUE)</f>
        <v>0.00381595064264852</v>
      </c>
      <c r="AE382" s="24">
        <f t="shared" si="10"/>
        <v>600366.319374737</v>
      </c>
    </row>
    <row r="383" spans="12:31">
      <c r="L383" s="24">
        <v>-22.9344638845861</v>
      </c>
      <c r="M383" s="25">
        <f>_xlfn.NORM.DIST(L383,L549,L550,TRUE)</f>
        <v>0.00978986783687539</v>
      </c>
      <c r="N383" s="24">
        <f t="shared" si="9"/>
        <v>53773.839343637</v>
      </c>
      <c r="AC383" s="24">
        <v>-56.3777887748852</v>
      </c>
      <c r="AD383" s="27">
        <f>_xlfn.NORM.DIST(AC383,AC549,AC550,TRUE)</f>
        <v>0.000836873707783869</v>
      </c>
      <c r="AE383" s="24">
        <f t="shared" si="10"/>
        <v>3798123.18210035</v>
      </c>
    </row>
    <row r="384" spans="12:31">
      <c r="L384" s="24">
        <v>-17.6310836025019</v>
      </c>
      <c r="M384" s="25">
        <f>_xlfn.NORM.DIST(L384,L549,L550,TRUE)</f>
        <v>0.0363651752058567</v>
      </c>
      <c r="N384" s="24">
        <f t="shared" si="9"/>
        <v>8583.45228768914</v>
      </c>
      <c r="AC384" s="24">
        <v>-40.9186714736816</v>
      </c>
      <c r="AD384" s="27">
        <f>_xlfn.NORM.DIST(AC384,AC549,AC550,TRUE)</f>
        <v>0.0112747547222</v>
      </c>
      <c r="AE384" s="24">
        <f t="shared" si="10"/>
        <v>148585.094712654</v>
      </c>
    </row>
    <row r="385" spans="12:31">
      <c r="L385" s="24">
        <v>-18.2099893204177</v>
      </c>
      <c r="M385" s="25">
        <f>_xlfn.NORM.DIST(L385,L549,L550,TRUE)</f>
        <v>0.0319095848341805</v>
      </c>
      <c r="N385" s="24">
        <f t="shared" si="9"/>
        <v>10428.43012213</v>
      </c>
      <c r="AC385" s="24">
        <v>-30.8984741724779</v>
      </c>
      <c r="AD385" s="27">
        <f>_xlfn.NORM.DIST(AC385,AC549,AC550,TRUE)</f>
        <v>0.0424973362750533</v>
      </c>
      <c r="AE385" s="24">
        <f t="shared" si="10"/>
        <v>22527.1464477043</v>
      </c>
    </row>
    <row r="386" spans="12:31">
      <c r="L386" s="24">
        <v>-15.2698750383335</v>
      </c>
      <c r="M386" s="25">
        <f>_xlfn.NORM.DIST(L386,L549,L550,TRUE)</f>
        <v>0.0600693561918958</v>
      </c>
      <c r="N386" s="24">
        <f t="shared" si="9"/>
        <v>3912.26425647869</v>
      </c>
      <c r="AC386" s="24">
        <v>-23.2374608712742</v>
      </c>
      <c r="AD386" s="27">
        <f>_xlfn.NORM.DIST(AC386,AC549,AC550,TRUE)</f>
        <v>0.0975987903993135</v>
      </c>
      <c r="AE386" s="24">
        <f t="shared" si="10"/>
        <v>5579.21883238516</v>
      </c>
    </row>
    <row r="387" spans="12:31">
      <c r="L387" s="24">
        <v>-18.1504357562493</v>
      </c>
      <c r="M387" s="25">
        <f>_xlfn.NORM.DIST(L387,L549,L550,TRUE)</f>
        <v>0.0323460729137858</v>
      </c>
      <c r="N387" s="24">
        <f t="shared" si="9"/>
        <v>10221.1342912678</v>
      </c>
      <c r="AC387" s="24">
        <v>-29.2773445700706</v>
      </c>
      <c r="AD387" s="27">
        <f>_xlfn.NORM.DIST(AC387,AC549,AC550,TRUE)</f>
        <v>0.0513350443970508</v>
      </c>
      <c r="AE387" s="24">
        <f t="shared" si="10"/>
        <v>16756.0281291489</v>
      </c>
    </row>
    <row r="388" spans="12:31">
      <c r="L388" s="24">
        <v>-16.6519414741651</v>
      </c>
      <c r="M388" s="25">
        <f>_xlfn.NORM.DIST(L388,L549,L550,TRUE)</f>
        <v>0.0450509430500085</v>
      </c>
      <c r="N388" s="24">
        <f t="shared" si="9"/>
        <v>6188.31786653324</v>
      </c>
      <c r="AC388" s="24">
        <v>-28.7925542688669</v>
      </c>
      <c r="AD388" s="27">
        <f>_xlfn.NORM.DIST(AC388,AC549,AC550,TRUE)</f>
        <v>0.0542446661837785</v>
      </c>
      <c r="AE388" s="24">
        <f t="shared" si="10"/>
        <v>15340.4540453801</v>
      </c>
    </row>
    <row r="389" spans="12:31">
      <c r="L389" s="24">
        <v>-17.0238461920809</v>
      </c>
      <c r="M389" s="25">
        <f>_xlfn.NORM.DIST(L389,L549,L550,TRUE)</f>
        <v>0.0415732977492235</v>
      </c>
      <c r="N389" s="24">
        <f t="shared" si="9"/>
        <v>7005.18260833213</v>
      </c>
      <c r="AC389" s="24">
        <v>-26.7678629676633</v>
      </c>
      <c r="AD389" s="27">
        <f>_xlfn.NORM.DIST(AC389,AC549,AC550,TRUE)</f>
        <v>0.0678292115016254</v>
      </c>
      <c r="AE389" s="24">
        <f t="shared" si="10"/>
        <v>10617.1715517825</v>
      </c>
    </row>
    <row r="390" spans="12:31">
      <c r="L390" s="24">
        <v>-20.5648409099967</v>
      </c>
      <c r="M390" s="25">
        <f>_xlfn.NORM.DIST(L390,L549,L550,TRUE)</f>
        <v>0.0181691550723594</v>
      </c>
      <c r="N390" s="24">
        <f t="shared" si="9"/>
        <v>23317.5566861249</v>
      </c>
      <c r="AC390" s="24">
        <v>-30.7842176664596</v>
      </c>
      <c r="AD390" s="27">
        <f>_xlfn.NORM.DIST(AC390,AC549,AC550,TRUE)</f>
        <v>0.0430769789763804</v>
      </c>
      <c r="AE390" s="24">
        <f t="shared" si="10"/>
        <v>22061.0200097272</v>
      </c>
    </row>
    <row r="391" spans="12:31">
      <c r="L391" s="24">
        <v>-19.8179566279125</v>
      </c>
      <c r="M391" s="25">
        <f>_xlfn.NORM.DIST(L391,L549,L550,TRUE)</f>
        <v>0.0218424113379385</v>
      </c>
      <c r="N391" s="24">
        <f t="shared" si="9"/>
        <v>18020.7954070602</v>
      </c>
      <c r="AC391" s="24">
        <v>-27.713216365256</v>
      </c>
      <c r="AD391" s="27">
        <f>_xlfn.NORM.DIST(AC391,AC549,AC550,TRUE)</f>
        <v>0.0611908632115808</v>
      </c>
      <c r="AE391" s="24">
        <f t="shared" si="10"/>
        <v>12606.7464390134</v>
      </c>
    </row>
    <row r="392" spans="12:31">
      <c r="L392" s="24">
        <v>-20.9291463458283</v>
      </c>
      <c r="M392" s="25">
        <f>_xlfn.NORM.DIST(L392,L549,L550,TRUE)</f>
        <v>0.0165775083299936</v>
      </c>
      <c r="N392" s="24">
        <f t="shared" si="9"/>
        <v>26464.9752569194</v>
      </c>
      <c r="AC392" s="24">
        <v>-32.9930600640523</v>
      </c>
      <c r="AD392" s="27">
        <f>_xlfn.NORM.DIST(AC392,AC549,AC550,TRUE)</f>
        <v>0.0329447612547517</v>
      </c>
      <c r="AE392" s="24">
        <f t="shared" si="10"/>
        <v>33107.4487469199</v>
      </c>
    </row>
    <row r="393" spans="12:31">
      <c r="L393" s="24">
        <v>-15.9830960637441</v>
      </c>
      <c r="M393" s="25">
        <f>_xlfn.NORM.DIST(L393,L549,L550,TRUE)</f>
        <v>0.051891450129052</v>
      </c>
      <c r="N393" s="24">
        <f t="shared" si="9"/>
        <v>4954.97473920306</v>
      </c>
      <c r="AC393" s="24">
        <v>-26.5165557628487</v>
      </c>
      <c r="AD393" s="27">
        <f>_xlfn.NORM.DIST(AC393,AC549,AC550,TRUE)</f>
        <v>0.0696842963970273</v>
      </c>
      <c r="AE393" s="24">
        <f t="shared" si="10"/>
        <v>10143.2919184644</v>
      </c>
    </row>
    <row r="394" spans="12:31">
      <c r="L394" s="24">
        <v>-16.9760067816599</v>
      </c>
      <c r="M394" s="25">
        <f>_xlfn.NORM.DIST(L394,L549,L550,TRUE)</f>
        <v>0.0420080644135499</v>
      </c>
      <c r="N394" s="24">
        <f t="shared" si="9"/>
        <v>6894.21979670552</v>
      </c>
      <c r="AC394" s="24">
        <v>-25.281552461645</v>
      </c>
      <c r="AD394" s="27">
        <f>_xlfn.NORM.DIST(AC394,AC549,AC550,TRUE)</f>
        <v>0.0793729378601404</v>
      </c>
      <c r="AE394" s="24">
        <f t="shared" si="10"/>
        <v>8103.22201066285</v>
      </c>
    </row>
    <row r="395" spans="12:31">
      <c r="L395" s="24">
        <v>-15.5834664995757</v>
      </c>
      <c r="M395" s="25">
        <f>_xlfn.NORM.DIST(L395,L549,L550,TRUE)</f>
        <v>0.0563572405137894</v>
      </c>
      <c r="N395" s="24">
        <f t="shared" si="9"/>
        <v>4340.24243187027</v>
      </c>
      <c r="AC395" s="24">
        <v>-21.3122651604414</v>
      </c>
      <c r="AD395" s="27">
        <f>_xlfn.NORM.DIST(AC395,AC549,AC550,TRUE)</f>
        <v>0.117409423943091</v>
      </c>
      <c r="AE395" s="24">
        <f t="shared" si="10"/>
        <v>3911.36364841725</v>
      </c>
    </row>
    <row r="396" spans="12:31">
      <c r="L396" s="24">
        <v>-15.3540832174915</v>
      </c>
      <c r="M396" s="25">
        <f>_xlfn.NORM.DIST(L396,L549,L550,TRUE)</f>
        <v>0.0590542368764791</v>
      </c>
      <c r="N396" s="24">
        <f t="shared" si="9"/>
        <v>4022.82408092317</v>
      </c>
      <c r="AC396" s="24">
        <v>-17.1751928592377</v>
      </c>
      <c r="AD396" s="27">
        <f>_xlfn.NORM.DIST(AC396,AC549,AC550,TRUE)</f>
        <v>0.169177949339494</v>
      </c>
      <c r="AE396" s="24">
        <f t="shared" si="10"/>
        <v>1778.17026344105</v>
      </c>
    </row>
    <row r="397" spans="12:31">
      <c r="L397" s="24">
        <v>-14.3016179354073</v>
      </c>
      <c r="M397" s="25">
        <f>_xlfn.NORM.DIST(L397,L549,L550,TRUE)</f>
        <v>0.0727459548817506</v>
      </c>
      <c r="N397" s="24">
        <f t="shared" si="9"/>
        <v>2840.32751492936</v>
      </c>
      <c r="AC397" s="24">
        <v>-22.5833625580341</v>
      </c>
      <c r="AD397" s="27">
        <f>_xlfn.NORM.DIST(AC397,AC549,AC550,TRUE)</f>
        <v>0.1040344233194</v>
      </c>
      <c r="AE397" s="24">
        <f t="shared" si="10"/>
        <v>4947.57374882804</v>
      </c>
    </row>
    <row r="398" spans="12:31">
      <c r="L398" s="24">
        <v>-11.1446536533231</v>
      </c>
      <c r="M398" s="25">
        <f>_xlfn.NORM.DIST(L398,L549,L550,TRUE)</f>
        <v>0.128330132630315</v>
      </c>
      <c r="N398" s="24">
        <f t="shared" si="9"/>
        <v>990.25973739506</v>
      </c>
      <c r="AC398" s="24">
        <v>-19.9565592568304</v>
      </c>
      <c r="AD398" s="27">
        <f>_xlfn.NORM.DIST(AC398,AC549,AC550,TRUE)</f>
        <v>0.132969327220671</v>
      </c>
      <c r="AE398" s="24">
        <f t="shared" si="10"/>
        <v>3035.20493910317</v>
      </c>
    </row>
    <row r="399" spans="12:31">
      <c r="L399" s="24">
        <v>-12.0340603712389</v>
      </c>
      <c r="M399" s="25">
        <f>_xlfn.NORM.DIST(L399,L549,L550,TRUE)</f>
        <v>0.110316740802732</v>
      </c>
      <c r="N399" s="24">
        <f t="shared" si="9"/>
        <v>1336.931225182</v>
      </c>
      <c r="AC399" s="24">
        <v>-25.6213669556268</v>
      </c>
      <c r="AD399" s="27">
        <f>_xlfn.NORM.DIST(AC399,AC549,AC550,TRUE)</f>
        <v>0.076610711263292</v>
      </c>
      <c r="AE399" s="24">
        <f t="shared" si="10"/>
        <v>8620.02251745711</v>
      </c>
    </row>
    <row r="400" spans="12:31">
      <c r="L400" s="24">
        <v>-11.7208920891547</v>
      </c>
      <c r="M400" s="25">
        <f>_xlfn.NORM.DIST(L400,L549,L550,TRUE)</f>
        <v>0.116440437988318</v>
      </c>
      <c r="N400" s="24">
        <f t="shared" si="9"/>
        <v>1203.38298085255</v>
      </c>
      <c r="AC400" s="24">
        <v>-28.0879776544231</v>
      </c>
      <c r="AD400" s="27">
        <f>_xlfn.NORM.DIST(AC400,AC549,AC550,TRUE)</f>
        <v>0.0587042566792633</v>
      </c>
      <c r="AE400" s="24">
        <f t="shared" si="10"/>
        <v>13495.370649751</v>
      </c>
    </row>
    <row r="401" spans="12:31">
      <c r="L401" s="24">
        <v>-12.9232718070705</v>
      </c>
      <c r="M401" s="25">
        <f>_xlfn.NORM.DIST(L401,L549,L550,TRUE)</f>
        <v>0.094196031845728</v>
      </c>
      <c r="N401" s="24">
        <f t="shared" si="9"/>
        <v>1798.95549331363</v>
      </c>
      <c r="AC401" s="24">
        <v>-22.1642383532195</v>
      </c>
      <c r="AD401" s="27">
        <f>_xlfn.NORM.DIST(AC401,AC549,AC550,TRUE)</f>
        <v>0.108316734072764</v>
      </c>
      <c r="AE401" s="24">
        <f t="shared" si="10"/>
        <v>4579.77905596031</v>
      </c>
    </row>
    <row r="402" spans="12:31">
      <c r="L402" s="24">
        <v>-14.6135745249863</v>
      </c>
      <c r="M402" s="25">
        <f>_xlfn.NORM.DIST(L402,L549,L550,TRUE)</f>
        <v>0.0684556084572913</v>
      </c>
      <c r="N402" s="24">
        <f t="shared" si="9"/>
        <v>3148.93131033715</v>
      </c>
      <c r="AC402" s="24">
        <v>-24.7394470520158</v>
      </c>
      <c r="AD402" s="27">
        <f>_xlfn.NORM.DIST(AC402,AC549,AC550,TRUE)</f>
        <v>0.0839346189277337</v>
      </c>
      <c r="AE402" s="24">
        <f t="shared" si="10"/>
        <v>7341.43176502504</v>
      </c>
    </row>
    <row r="403" spans="12:31">
      <c r="L403" s="24">
        <v>-16.9667792429021</v>
      </c>
      <c r="M403" s="25">
        <f>_xlfn.NORM.DIST(L403,L549,L550,TRUE)</f>
        <v>0.042092346638158</v>
      </c>
      <c r="N403" s="24">
        <f t="shared" si="9"/>
        <v>6873.0240971457</v>
      </c>
      <c r="AC403" s="24">
        <v>-28.3807097508122</v>
      </c>
      <c r="AD403" s="27">
        <f>_xlfn.NORM.DIST(AC403,AC549,AC550,TRUE)</f>
        <v>0.0568176693732323</v>
      </c>
      <c r="AE403" s="24">
        <f t="shared" si="10"/>
        <v>14233.1245666121</v>
      </c>
    </row>
    <row r="404" spans="12:31">
      <c r="L404" s="24">
        <v>-15.3056269608179</v>
      </c>
      <c r="M404" s="25">
        <f>_xlfn.NORM.DIST(L404,L549,L550,TRUE)</f>
        <v>0.0596367144662212</v>
      </c>
      <c r="N404" s="24">
        <f t="shared" si="9"/>
        <v>3958.8251955887</v>
      </c>
      <c r="AC404" s="24">
        <v>-27.3529974496085</v>
      </c>
      <c r="AD404" s="27">
        <f>_xlfn.NORM.DIST(AC404,AC549,AC550,TRUE)</f>
        <v>0.0636578310577979</v>
      </c>
      <c r="AE404" s="24">
        <f t="shared" si="10"/>
        <v>11808.0206989209</v>
      </c>
    </row>
    <row r="405" spans="12:31">
      <c r="L405" s="24">
        <v>-15.8130676787337</v>
      </c>
      <c r="M405" s="25">
        <f>_xlfn.NORM.DIST(L405,L549,L550,TRUE)</f>
        <v>0.0537558624609044</v>
      </c>
      <c r="N405" s="24">
        <f t="shared" si="9"/>
        <v>4683.32341371148</v>
      </c>
      <c r="AC405" s="24">
        <v>-25.7132851484049</v>
      </c>
      <c r="AD405" s="27">
        <f>_xlfn.NORM.DIST(AC405,AC549,AC550,TRUE)</f>
        <v>0.0758762534663055</v>
      </c>
      <c r="AE405" s="24">
        <f t="shared" si="10"/>
        <v>8765.33586502274</v>
      </c>
    </row>
    <row r="406" spans="12:31">
      <c r="L406" s="24">
        <v>-14.1001793966495</v>
      </c>
      <c r="M406" s="25">
        <f>_xlfn.NORM.DIST(L406,L549,L550,TRUE)</f>
        <v>0.0756238610349946</v>
      </c>
      <c r="N406" s="24">
        <f t="shared" si="9"/>
        <v>2657.27503529062</v>
      </c>
      <c r="AC406" s="24">
        <v>-24.8731028472012</v>
      </c>
      <c r="AD406" s="27">
        <f>_xlfn.NORM.DIST(AC406,AC549,AC550,TRUE)</f>
        <v>0.0827920582590431</v>
      </c>
      <c r="AE406" s="24">
        <f t="shared" si="10"/>
        <v>7522.42067208602</v>
      </c>
    </row>
    <row r="407" spans="12:31">
      <c r="L407" s="24">
        <v>-14.2946551145653</v>
      </c>
      <c r="M407" s="25">
        <f>_xlfn.NORM.DIST(L407,L549,L550,TRUE)</f>
        <v>0.0728440115510578</v>
      </c>
      <c r="N407" s="24">
        <f t="shared" si="9"/>
        <v>2833.79548632171</v>
      </c>
      <c r="AC407" s="24">
        <v>-20.5583415459976</v>
      </c>
      <c r="AD407" s="27">
        <f>_xlfn.NORM.DIST(AC407,AC549,AC550,TRUE)</f>
        <v>0.125895501031534</v>
      </c>
      <c r="AE407" s="24">
        <f t="shared" si="10"/>
        <v>3398.35545124466</v>
      </c>
    </row>
    <row r="408" spans="12:31">
      <c r="L408" s="24">
        <v>-15.6695358324811</v>
      </c>
      <c r="M408" s="25">
        <f>_xlfn.NORM.DIST(L408,L549,L550,TRUE)</f>
        <v>0.0553706847484832</v>
      </c>
      <c r="N408" s="24">
        <f t="shared" si="9"/>
        <v>4465.76895515787</v>
      </c>
      <c r="AC408" s="24">
        <v>-17.7045032447939</v>
      </c>
      <c r="AD408" s="27">
        <f>_xlfn.NORM.DIST(AC408,AC549,AC550,TRUE)</f>
        <v>0.161839738733365</v>
      </c>
      <c r="AE408" s="24">
        <f t="shared" si="10"/>
        <v>1972.35990433063</v>
      </c>
    </row>
    <row r="409" spans="12:31">
      <c r="L409" s="24">
        <v>-13.6584535503969</v>
      </c>
      <c r="M409" s="25">
        <f>_xlfn.NORM.DIST(L409,L549,L550,TRUE)</f>
        <v>0.0822373176664382</v>
      </c>
      <c r="N409" s="24">
        <f t="shared" si="9"/>
        <v>2295.87480342556</v>
      </c>
      <c r="AC409" s="24">
        <v>-14.3373429435903</v>
      </c>
      <c r="AD409" s="27">
        <f>_xlfn.NORM.DIST(AC409,AC549,AC550,TRUE)</f>
        <v>0.212080003206647</v>
      </c>
      <c r="AE409" s="24">
        <f t="shared" si="10"/>
        <v>998.140818955567</v>
      </c>
    </row>
    <row r="410" spans="12:31">
      <c r="L410" s="24">
        <v>-12.4063952683127</v>
      </c>
      <c r="M410" s="25">
        <f>_xlfn.NORM.DIST(L410,L549,L550,TRUE)</f>
        <v>0.103340919797685</v>
      </c>
      <c r="N410" s="24">
        <f t="shared" si="9"/>
        <v>1514.34204187937</v>
      </c>
      <c r="AC410" s="24">
        <v>-18.5314016423866</v>
      </c>
      <c r="AD410" s="27">
        <f>_xlfn.NORM.DIST(AC410,AC549,AC550,TRUE)</f>
        <v>0.150797336017452</v>
      </c>
      <c r="AE410" s="24">
        <f t="shared" si="10"/>
        <v>2314.52735098907</v>
      </c>
    </row>
    <row r="411" spans="12:31">
      <c r="L411" s="24">
        <v>-13.8157689862285</v>
      </c>
      <c r="M411" s="25">
        <f>_xlfn.NORM.DIST(L411,L549,L550,TRUE)</f>
        <v>0.0798337883514245</v>
      </c>
      <c r="N411" s="24">
        <f t="shared" si="9"/>
        <v>2418.62224574575</v>
      </c>
      <c r="AC411" s="24">
        <v>-23.110409341183</v>
      </c>
      <c r="AD411" s="27">
        <f>_xlfn.NORM.DIST(AC411,AC549,AC550,TRUE)</f>
        <v>0.0988254356032321</v>
      </c>
      <c r="AE411" s="24">
        <f t="shared" si="10"/>
        <v>5450.70786317249</v>
      </c>
    </row>
    <row r="412" spans="12:31">
      <c r="L412" s="24">
        <v>-13.0516267041443</v>
      </c>
      <c r="M412" s="25">
        <f>_xlfn.NORM.DIST(L412,L549,L550,TRUE)</f>
        <v>0.0920205451333423</v>
      </c>
      <c r="N412" s="24">
        <f t="shared" si="9"/>
        <v>1877.35752666008</v>
      </c>
      <c r="AC412" s="24">
        <v>-25.1229490399793</v>
      </c>
      <c r="AD412" s="27">
        <f>_xlfn.NORM.DIST(AC412,AC549,AC550,TRUE)</f>
        <v>0.0806876861218241</v>
      </c>
      <c r="AE412" s="24">
        <f t="shared" si="10"/>
        <v>7872.6176787645</v>
      </c>
    </row>
    <row r="413" spans="12:31">
      <c r="L413" s="24">
        <v>-12.2110984220601</v>
      </c>
      <c r="M413" s="25">
        <f>_xlfn.NORM.DIST(L413,L549,L550,TRUE)</f>
        <v>0.106958867663245</v>
      </c>
      <c r="N413" s="24">
        <f t="shared" si="9"/>
        <v>1418.62510989398</v>
      </c>
      <c r="AC413" s="24">
        <v>-25.4376897387757</v>
      </c>
      <c r="AD413" s="27">
        <f>_xlfn.NORM.DIST(AC413,AC549,AC550,TRUE)</f>
        <v>0.0780945355370697</v>
      </c>
      <c r="AE413" s="24">
        <f t="shared" si="10"/>
        <v>8336.75804146662</v>
      </c>
    </row>
    <row r="414" spans="12:31">
      <c r="L414" s="24">
        <v>-11.6983141399759</v>
      </c>
      <c r="M414" s="25">
        <f>_xlfn.NORM.DIST(L414,L549,L550,TRUE)</f>
        <v>0.116891067178654</v>
      </c>
      <c r="N414" s="24">
        <f t="shared" si="9"/>
        <v>1194.26640081754</v>
      </c>
      <c r="AC414" s="24">
        <v>-27.233081437572</v>
      </c>
      <c r="AD414" s="27">
        <f>_xlfn.NORM.DIST(AC414,AC549,AC550,TRUE)</f>
        <v>0.0644960290439626</v>
      </c>
      <c r="AE414" s="24">
        <f t="shared" si="10"/>
        <v>11553.544405625</v>
      </c>
    </row>
    <row r="415" spans="12:31">
      <c r="L415" s="24">
        <v>-11.1756878578917</v>
      </c>
      <c r="M415" s="25">
        <f>_xlfn.NORM.DIST(L415,L549,L550,TRUE)</f>
        <v>0.127669071326753</v>
      </c>
      <c r="N415" s="24">
        <f t="shared" si="9"/>
        <v>1000.75826150807</v>
      </c>
      <c r="AC415" s="24">
        <v>-27.4688581363683</v>
      </c>
      <c r="AD415" s="27">
        <f>_xlfn.NORM.DIST(AC415,AC549,AC550,TRUE)</f>
        <v>0.0628560534526831</v>
      </c>
      <c r="AE415" s="24">
        <f t="shared" si="10"/>
        <v>12059.2249209632</v>
      </c>
    </row>
    <row r="416" spans="12:31">
      <c r="L416" s="24">
        <v>-9.01044557580756</v>
      </c>
      <c r="M416" s="25">
        <f>_xlfn.NORM.DIST(L416,L549,L550,TRUE)</f>
        <v>0.179545862767338</v>
      </c>
      <c r="N416" s="24">
        <f t="shared" si="9"/>
        <v>470.386459143984</v>
      </c>
      <c r="AC416" s="24">
        <v>-23.3909898351647</v>
      </c>
      <c r="AD416" s="27">
        <f>_xlfn.NORM.DIST(AC416,AC549,AC550,TRUE)</f>
        <v>0.0961314564711262</v>
      </c>
      <c r="AE416" s="24">
        <f t="shared" si="10"/>
        <v>5738.4428242144</v>
      </c>
    </row>
    <row r="417" spans="12:31">
      <c r="L417" s="24">
        <v>-8.03850929372336</v>
      </c>
      <c r="M417" s="25">
        <f>_xlfn.NORM.DIST(L417,L549,L550,TRUE)</f>
        <v>0.206629496121728</v>
      </c>
      <c r="N417" s="24">
        <f t="shared" si="9"/>
        <v>329.005853180607</v>
      </c>
      <c r="AC417" s="24">
        <v>-25.9760545339611</v>
      </c>
      <c r="AD417" s="27">
        <f>_xlfn.NORM.DIST(AC417,AC549,AC550,TRUE)</f>
        <v>0.0738062094734492</v>
      </c>
      <c r="AE417" s="24">
        <f t="shared" si="10"/>
        <v>9194.28391721496</v>
      </c>
    </row>
    <row r="418" spans="12:31">
      <c r="L418" s="24">
        <v>-9.17910601163916</v>
      </c>
      <c r="M418" s="25">
        <f>_xlfn.NORM.DIST(L418,L549,L550,TRUE)</f>
        <v>0.175083945090033</v>
      </c>
      <c r="N418" s="24">
        <f t="shared" si="9"/>
        <v>499.765239477428</v>
      </c>
      <c r="AC418" s="24">
        <v>-32.5687642327574</v>
      </c>
      <c r="AD418" s="27">
        <f>_xlfn.NORM.DIST(AC418,AC549,AC550,TRUE)</f>
        <v>0.0347218300910652</v>
      </c>
      <c r="AE418" s="24">
        <f t="shared" si="10"/>
        <v>30614.3800791159</v>
      </c>
    </row>
    <row r="419" spans="12:31">
      <c r="L419" s="24">
        <v>-10.3595517295549</v>
      </c>
      <c r="M419" s="25">
        <f>_xlfn.NORM.DIST(L419,L549,L550,TRUE)</f>
        <v>0.145847327816348</v>
      </c>
      <c r="N419" s="24">
        <f t="shared" si="9"/>
        <v>756.705049087953</v>
      </c>
      <c r="AC419" s="24">
        <v>-37.1181539315538</v>
      </c>
      <c r="AD419" s="27">
        <f>_xlfn.NORM.DIST(AC419,AC549,AC550,TRUE)</f>
        <v>0.0192671831636758</v>
      </c>
      <c r="AE419" s="24">
        <f t="shared" si="10"/>
        <v>71582.2357287823</v>
      </c>
    </row>
    <row r="420" spans="12:31">
      <c r="L420" s="24">
        <v>-10.1324804474707</v>
      </c>
      <c r="M420" s="25">
        <f>_xlfn.NORM.DIST(L420,L549,L550,TRUE)</f>
        <v>0.151200167895129</v>
      </c>
      <c r="N420" s="24">
        <f t="shared" si="9"/>
        <v>699.431015659988</v>
      </c>
      <c r="AC420" s="24">
        <v>-32.1551466303501</v>
      </c>
      <c r="AD420" s="27">
        <f>_xlfn.NORM.DIST(AC420,AC549,AC550,TRUE)</f>
        <v>0.0365292053165127</v>
      </c>
      <c r="AE420" s="24">
        <f t="shared" si="10"/>
        <v>28369.1907373684</v>
      </c>
    </row>
    <row r="421" spans="12:31">
      <c r="L421" s="24">
        <v>-10.8321361653865</v>
      </c>
      <c r="M421" s="25">
        <f>_xlfn.NORM.DIST(L421,L549,L550,TRUE)</f>
        <v>0.135119644180685</v>
      </c>
      <c r="N421" s="24">
        <f t="shared" ref="N421:N484" si="11">POWER((L421-M421),2)/M421</f>
        <v>890.179223915383</v>
      </c>
      <c r="AC421" s="24">
        <v>-33.7749173291464</v>
      </c>
      <c r="AD421" s="27">
        <f>_xlfn.NORM.DIST(AC421,AC549,AC550,TRUE)</f>
        <v>0.02986654606031</v>
      </c>
      <c r="AE421" s="24">
        <f t="shared" ref="AE421:AE484" si="12">POWER((AC421-AD421),2)/AD421</f>
        <v>38262.3223502923</v>
      </c>
    </row>
    <row r="422" spans="12:31">
      <c r="L422" s="24">
        <v>-9.26977588330235</v>
      </c>
      <c r="M422" s="25">
        <f>_xlfn.NORM.DIST(L422,L549,L550,TRUE)</f>
        <v>0.172714599258235</v>
      </c>
      <c r="N422" s="24">
        <f t="shared" si="11"/>
        <v>516.230978134848</v>
      </c>
      <c r="AC422" s="24">
        <v>-23.1936920279428</v>
      </c>
      <c r="AD422" s="27">
        <f>_xlfn.NORM.DIST(AC422,AC549,AC550,TRUE)</f>
        <v>0.0980200988160804</v>
      </c>
      <c r="AE422" s="24">
        <f t="shared" si="12"/>
        <v>5534.61851547132</v>
      </c>
    </row>
    <row r="423" spans="12:31">
      <c r="L423" s="24">
        <v>-9.96693060121816</v>
      </c>
      <c r="M423" s="25">
        <f>_xlfn.NORM.DIST(L423,L549,L550,TRUE)</f>
        <v>0.155184109526139</v>
      </c>
      <c r="N423" s="24">
        <f t="shared" si="11"/>
        <v>660.230010213826</v>
      </c>
      <c r="AC423" s="24">
        <v>-27.2496897267392</v>
      </c>
      <c r="AD423" s="27">
        <f>_xlfn.NORM.DIST(AC423,AC549,AC550,TRUE)</f>
        <v>0.0643794302505216</v>
      </c>
      <c r="AE423" s="24">
        <f t="shared" si="12"/>
        <v>11588.4587827146</v>
      </c>
    </row>
    <row r="424" spans="12:31">
      <c r="L424" s="24">
        <v>-8.69354831913396</v>
      </c>
      <c r="M424" s="25">
        <f>_xlfn.NORM.DIST(L424,L549,L550,TRUE)</f>
        <v>0.188120691788197</v>
      </c>
      <c r="N424" s="24">
        <f t="shared" si="11"/>
        <v>419.32678255505</v>
      </c>
      <c r="AC424" s="24">
        <v>-23.1816174255355</v>
      </c>
      <c r="AD424" s="27">
        <f>_xlfn.NORM.DIST(AC424,AC549,AC550,TRUE)</f>
        <v>0.0981365602431235</v>
      </c>
      <c r="AE424" s="24">
        <f t="shared" si="12"/>
        <v>5522.37559881615</v>
      </c>
    </row>
    <row r="425" spans="12:31">
      <c r="L425" s="24">
        <v>-9.53022103704977</v>
      </c>
      <c r="M425" s="25">
        <f>_xlfn.NORM.DIST(L425,L549,L550,TRUE)</f>
        <v>0.166023066156881</v>
      </c>
      <c r="N425" s="24">
        <f t="shared" si="11"/>
        <v>566.289684230561</v>
      </c>
      <c r="AC425" s="24">
        <v>-21.5199471243319</v>
      </c>
      <c r="AD425" s="27">
        <f>_xlfn.NORM.DIST(AC425,AC549,AC550,TRUE)</f>
        <v>0.115144634797046</v>
      </c>
      <c r="AE425" s="24">
        <f t="shared" si="12"/>
        <v>4065.12380060923</v>
      </c>
    </row>
    <row r="426" spans="12:31">
      <c r="L426" s="24">
        <v>-9.26577375496556</v>
      </c>
      <c r="M426" s="25">
        <f>_xlfn.NORM.DIST(L426,L549,L550,TRUE)</f>
        <v>0.172818747995327</v>
      </c>
      <c r="N426" s="24">
        <f t="shared" si="11"/>
        <v>515.494004385208</v>
      </c>
      <c r="AC426" s="24">
        <v>-20.0273298231282</v>
      </c>
      <c r="AD426" s="27">
        <f>_xlfn.NORM.DIST(AC426,AC549,AC550,TRUE)</f>
        <v>0.132123516857175</v>
      </c>
      <c r="AE426" s="24">
        <f t="shared" si="12"/>
        <v>3075.93658293526</v>
      </c>
    </row>
    <row r="427" spans="12:31">
      <c r="L427" s="24">
        <v>-10.0476364728813</v>
      </c>
      <c r="M427" s="25">
        <f>_xlfn.NORM.DIST(L427,L549,L550,TRUE)</f>
        <v>0.153233352598708</v>
      </c>
      <c r="N427" s="24">
        <f t="shared" si="11"/>
        <v>679.080261781507</v>
      </c>
      <c r="AC427" s="24">
        <v>-14.2887105219246</v>
      </c>
      <c r="AD427" s="27">
        <f>_xlfn.NORM.DIST(AC427,AC549,AC550,TRUE)</f>
        <v>0.212866688935844</v>
      </c>
      <c r="AE427" s="24">
        <f t="shared" si="12"/>
        <v>987.922265591907</v>
      </c>
    </row>
    <row r="428" spans="12:31">
      <c r="L428" s="24">
        <v>-9.94761719079717</v>
      </c>
      <c r="M428" s="25">
        <f>_xlfn.NORM.DIST(L428,L549,L550,TRUE)</f>
        <v>0.155653358067432</v>
      </c>
      <c r="N428" s="24">
        <f t="shared" si="11"/>
        <v>655.791028545195</v>
      </c>
      <c r="AC428" s="24">
        <v>-10.6482352207209</v>
      </c>
      <c r="AD428" s="27">
        <f>_xlfn.NORM.DIST(AC428,AC549,AC550,TRUE)</f>
        <v>0.276397116504148</v>
      </c>
      <c r="AE428" s="24">
        <f t="shared" si="12"/>
        <v>431.797528183519</v>
      </c>
    </row>
    <row r="429" spans="12:31">
      <c r="L429" s="24">
        <v>-10.1564979087129</v>
      </c>
      <c r="M429" s="25">
        <f>_xlfn.NORM.DIST(L429,L549,L550,TRUE)</f>
        <v>0.150627892245704</v>
      </c>
      <c r="N429" s="24">
        <f t="shared" si="11"/>
        <v>705.293293910621</v>
      </c>
      <c r="AC429" s="24">
        <v>-11.6614319195172</v>
      </c>
      <c r="AD429" s="27">
        <f>_xlfn.NORM.DIST(AC429,AC549,AC550,TRUE)</f>
        <v>0.257827322944575</v>
      </c>
      <c r="AE429" s="24">
        <f t="shared" si="12"/>
        <v>551.022829025575</v>
      </c>
    </row>
    <row r="430" spans="12:31">
      <c r="L430" s="24">
        <v>-10.4774846266287</v>
      </c>
      <c r="M430" s="25">
        <f>_xlfn.NORM.DIST(L430,L549,L550,TRUE)</f>
        <v>0.143118113470873</v>
      </c>
      <c r="N430" s="24">
        <f t="shared" si="11"/>
        <v>788.140647102412</v>
      </c>
      <c r="AC430" s="24">
        <v>-13.3508056183136</v>
      </c>
      <c r="AD430" s="27">
        <f>_xlfn.NORM.DIST(AC430,AC549,AC550,TRUE)</f>
        <v>0.228368338060057</v>
      </c>
      <c r="AE430" s="24">
        <f t="shared" si="12"/>
        <v>807.441026649517</v>
      </c>
    </row>
    <row r="431" spans="12:31">
      <c r="L431" s="24">
        <v>-9.74718634454456</v>
      </c>
      <c r="M431" s="25">
        <f>_xlfn.NORM.DIST(L431,L549,L550,TRUE)</f>
        <v>0.160578327037633</v>
      </c>
      <c r="N431" s="24">
        <f t="shared" si="11"/>
        <v>611.314133098712</v>
      </c>
      <c r="AC431" s="24">
        <v>-13.0116613171099</v>
      </c>
      <c r="AD431" s="27">
        <f>_xlfn.NORM.DIST(AC431,AC549,AC550,TRUE)</f>
        <v>0.234126107969877</v>
      </c>
      <c r="AE431" s="24">
        <f t="shared" si="12"/>
        <v>749.386243301732</v>
      </c>
    </row>
    <row r="432" spans="12:31">
      <c r="L432" s="24">
        <v>-9.61976206246038</v>
      </c>
      <c r="M432" s="25">
        <f>_xlfn.NORM.DIST(L432,L549,L550,TRUE)</f>
        <v>0.163761741824743</v>
      </c>
      <c r="N432" s="24">
        <f t="shared" si="11"/>
        <v>584.49145058221</v>
      </c>
      <c r="AC432" s="24">
        <v>-10.8428500159063</v>
      </c>
      <c r="AD432" s="27">
        <f>_xlfn.NORM.DIST(AC432,AC549,AC550,TRUE)</f>
        <v>0.272779924375015</v>
      </c>
      <c r="AE432" s="24">
        <f t="shared" si="12"/>
        <v>452.955727047615</v>
      </c>
    </row>
    <row r="433" spans="12:31">
      <c r="L433" s="24">
        <v>-9.42008878037617</v>
      </c>
      <c r="M433" s="25">
        <f>_xlfn.NORM.DIST(L433,L549,L550,TRUE)</f>
        <v>0.168831949100075</v>
      </c>
      <c r="N433" s="24">
        <f t="shared" si="11"/>
        <v>544.609010594774</v>
      </c>
      <c r="AC433" s="24">
        <v>-5.85995271470267</v>
      </c>
      <c r="AD433" s="27">
        <f>_xlfn.NORM.DIST(AC433,AC549,AC550,TRUE)</f>
        <v>0.371962956627853</v>
      </c>
      <c r="AE433" s="24">
        <f t="shared" si="12"/>
        <v>104.410324314716</v>
      </c>
    </row>
    <row r="434" spans="12:31">
      <c r="L434" s="24">
        <v>-10.3613824982919</v>
      </c>
      <c r="M434" s="25">
        <f>_xlfn.NORM.DIST(L434,L549,L550,TRUE)</f>
        <v>0.145804694479692</v>
      </c>
      <c r="N434" s="24">
        <f t="shared" si="11"/>
        <v>757.184006303173</v>
      </c>
      <c r="AC434" s="24">
        <v>-3.30335541349901</v>
      </c>
      <c r="AD434" s="27">
        <f>_xlfn.NORM.DIST(AC434,AC549,AC550,TRUE)</f>
        <v>0.42695056552577</v>
      </c>
      <c r="AE434" s="24">
        <f t="shared" si="12"/>
        <v>32.5920231069658</v>
      </c>
    </row>
    <row r="435" spans="12:31">
      <c r="L435" s="24">
        <v>-8.31821821620776</v>
      </c>
      <c r="M435" s="25">
        <f>_xlfn.NORM.DIST(L435,L549,L550,TRUE)</f>
        <v>0.198597574057632</v>
      </c>
      <c r="N435" s="24">
        <f t="shared" si="11"/>
        <v>365.24187946155</v>
      </c>
      <c r="AC435" s="24">
        <v>2.13693988770464</v>
      </c>
      <c r="AD435" s="27">
        <f>_xlfn.NORM.DIST(AC435,AC549,AC550,TRUE)</f>
        <v>0.547410722206211</v>
      </c>
      <c r="AE435" s="24">
        <f t="shared" si="12"/>
        <v>4.6155525741024</v>
      </c>
    </row>
    <row r="436" spans="12:31">
      <c r="L436" s="24">
        <v>-8.07371393412357</v>
      </c>
      <c r="M436" s="25">
        <f>_xlfn.NORM.DIST(L436,L549,L550,TRUE)</f>
        <v>0.205608128340515</v>
      </c>
      <c r="N436" s="24">
        <f t="shared" si="11"/>
        <v>333.387470462651</v>
      </c>
      <c r="AC436" s="24">
        <v>3.68923418890824</v>
      </c>
      <c r="AD436" s="27">
        <f>_xlfn.NORM.DIST(AC436,AC549,AC550,TRUE)</f>
        <v>0.581469293462138</v>
      </c>
      <c r="AE436" s="24">
        <f t="shared" si="12"/>
        <v>16.6099960117602</v>
      </c>
    </row>
    <row r="437" spans="12:31">
      <c r="L437" s="24">
        <v>-5.69423765203937</v>
      </c>
      <c r="M437" s="25">
        <f>_xlfn.NORM.DIST(L437,L549,L550,TRUE)</f>
        <v>0.281102865482031</v>
      </c>
      <c r="N437" s="24">
        <f t="shared" si="11"/>
        <v>127.016472205315</v>
      </c>
      <c r="AC437" s="24">
        <v>-1.09265350988809</v>
      </c>
      <c r="AD437" s="27">
        <f>_xlfn.NORM.DIST(AC437,AC549,AC550,TRUE)</f>
        <v>0.475715766203491</v>
      </c>
      <c r="AE437" s="24">
        <f t="shared" si="12"/>
        <v>5.17069721236828</v>
      </c>
    </row>
    <row r="438" spans="12:31">
      <c r="L438" s="24">
        <v>-3.73328736995516</v>
      </c>
      <c r="M438" s="25">
        <f>_xlfn.NORM.DIST(L438,L549,L550,TRUE)</f>
        <v>0.351980206465255</v>
      </c>
      <c r="N438" s="24">
        <f t="shared" si="11"/>
        <v>47.41576618343</v>
      </c>
      <c r="AC438" s="24">
        <v>-5.03927620868444</v>
      </c>
      <c r="AD438" s="27">
        <f>_xlfn.NORM.DIST(AC438,AC549,AC550,TRUE)</f>
        <v>0.389389391493912</v>
      </c>
      <c r="AE438" s="24">
        <f t="shared" si="12"/>
        <v>75.6836494325001</v>
      </c>
    </row>
    <row r="439" spans="12:31">
      <c r="L439" s="24">
        <v>-8.19714208787098</v>
      </c>
      <c r="M439" s="25">
        <f>_xlfn.NORM.DIST(L439,L549,L550,TRUE)</f>
        <v>0.202050941485277</v>
      </c>
      <c r="N439" s="24">
        <f t="shared" si="11"/>
        <v>349.151768488677</v>
      </c>
      <c r="AC439" s="24">
        <v>-15.6482209074807</v>
      </c>
      <c r="AD439" s="27">
        <f>_xlfn.NORM.DIST(AC439,AC549,AC550,TRUE)</f>
        <v>0.191522676849992</v>
      </c>
      <c r="AE439" s="24">
        <f t="shared" si="12"/>
        <v>1310.01446379041</v>
      </c>
    </row>
    <row r="440" spans="12:31">
      <c r="L440" s="24">
        <v>-7.71845380578676</v>
      </c>
      <c r="M440" s="25">
        <f>_xlfn.NORM.DIST(L440,L549,L550,TRUE)</f>
        <v>0.216052035518653</v>
      </c>
      <c r="N440" s="24">
        <f t="shared" si="11"/>
        <v>291.394537406588</v>
      </c>
      <c r="AC440" s="24">
        <v>-14.5732366062771</v>
      </c>
      <c r="AD440" s="27">
        <f>_xlfn.NORM.DIST(AC440,AC549,AC550,TRUE)</f>
        <v>0.20828834662165</v>
      </c>
      <c r="AE440" s="24">
        <f t="shared" si="12"/>
        <v>1048.99521973764</v>
      </c>
    </row>
    <row r="441" spans="12:31">
      <c r="L441" s="24">
        <v>-6.91840752370256</v>
      </c>
      <c r="M441" s="25">
        <f>_xlfn.NORM.DIST(L441,L549,L550,TRUE)</f>
        <v>0.240664613945047</v>
      </c>
      <c r="N441" s="24">
        <f t="shared" si="11"/>
        <v>212.961569347063</v>
      </c>
      <c r="AC441" s="24">
        <v>-12.4541383050734</v>
      </c>
      <c r="AD441" s="27">
        <f>_xlfn.NORM.DIST(AC441,AC549,AC550,TRUE)</f>
        <v>0.243763654034892</v>
      </c>
      <c r="AE441" s="24">
        <f t="shared" si="12"/>
        <v>661.446903565234</v>
      </c>
    </row>
    <row r="442" spans="12:31">
      <c r="L442" s="24">
        <v>-4.89766624161838</v>
      </c>
      <c r="M442" s="25">
        <f>_xlfn.NORM.DIST(L442,L549,L550,TRUE)</f>
        <v>0.309068622018415</v>
      </c>
      <c r="N442" s="24">
        <f t="shared" si="11"/>
        <v>87.7154327837123</v>
      </c>
      <c r="AC442" s="24">
        <v>-9.97708500386983</v>
      </c>
      <c r="AD442" s="27">
        <f>_xlfn.NORM.DIST(AC442,AC549,AC550,TRUE)</f>
        <v>0.289048874459925</v>
      </c>
      <c r="AE442" s="24">
        <f t="shared" si="12"/>
        <v>364.621744349335</v>
      </c>
    </row>
    <row r="443" spans="12:31">
      <c r="L443" s="24">
        <v>-5.26348995953418</v>
      </c>
      <c r="M443" s="25">
        <f>_xlfn.NORM.DIST(L443,L549,L550,TRUE)</f>
        <v>0.296073898217152</v>
      </c>
      <c r="N443" s="24">
        <f t="shared" si="11"/>
        <v>104.395390726896</v>
      </c>
      <c r="AC443" s="24">
        <v>-10.7317517026661</v>
      </c>
      <c r="AD443" s="27">
        <f>_xlfn.NORM.DIST(AC443,AC549,AC550,TRUE)</f>
        <v>0.274841965758968</v>
      </c>
      <c r="AE443" s="24">
        <f t="shared" si="12"/>
        <v>440.780955147357</v>
      </c>
    </row>
    <row r="444" spans="12:31">
      <c r="L444" s="24">
        <v>-5.47237067744998</v>
      </c>
      <c r="M444" s="25">
        <f>_xlfn.NORM.DIST(L444,L549,L550,TRUE)</f>
        <v>0.288768360585921</v>
      </c>
      <c r="N444" s="24">
        <f t="shared" si="11"/>
        <v>114.938918336608</v>
      </c>
      <c r="AC444" s="24">
        <v>-10.8301374014625</v>
      </c>
      <c r="AD444" s="27">
        <f>_xlfn.NORM.DIST(AC444,AC549,AC550,TRUE)</f>
        <v>0.273015487576896</v>
      </c>
      <c r="AE444" s="24">
        <f t="shared" si="12"/>
        <v>451.549489633483</v>
      </c>
    </row>
    <row r="445" spans="12:31">
      <c r="L445" s="24">
        <v>-6.21687239536578</v>
      </c>
      <c r="M445" s="25">
        <f>_xlfn.NORM.DIST(L445,L549,L550,TRUE)</f>
        <v>0.263444229671804</v>
      </c>
      <c r="N445" s="24">
        <f t="shared" si="11"/>
        <v>159.405668566189</v>
      </c>
      <c r="AC445" s="24">
        <v>-13.6630511002588</v>
      </c>
      <c r="AD445" s="27">
        <f>_xlfn.NORM.DIST(AC445,AC549,AC550,TRUE)</f>
        <v>0.223138342474395</v>
      </c>
      <c r="AE445" s="24">
        <f t="shared" si="12"/>
        <v>864.155640403225</v>
      </c>
    </row>
    <row r="446" spans="12:31">
      <c r="L446" s="24">
        <v>-4.18118411328158</v>
      </c>
      <c r="M446" s="25">
        <f>_xlfn.NORM.DIST(L446,L549,L550,TRUE)</f>
        <v>0.335211541218657</v>
      </c>
      <c r="N446" s="24">
        <f t="shared" si="11"/>
        <v>60.8506187878633</v>
      </c>
      <c r="AC446" s="24">
        <v>-14.0796287990552</v>
      </c>
      <c r="AD446" s="27">
        <f>_xlfn.NORM.DIST(AC446,AC549,AC550,TRUE)</f>
        <v>0.216268172432897</v>
      </c>
      <c r="AE446" s="24">
        <f t="shared" si="12"/>
        <v>944.99651946157</v>
      </c>
    </row>
    <row r="447" spans="12:31">
      <c r="L447" s="24">
        <v>-2.51668183119737</v>
      </c>
      <c r="M447" s="25">
        <f>_xlfn.NORM.DIST(L447,L549,L550,TRUE)</f>
        <v>0.398916815854065</v>
      </c>
      <c r="N447" s="24">
        <f t="shared" si="11"/>
        <v>21.3094939417093</v>
      </c>
      <c r="AC447" s="24">
        <v>-14.1481684978515</v>
      </c>
      <c r="AD447" s="27">
        <f>_xlfn.NORM.DIST(AC447,AC549,AC550,TRUE)</f>
        <v>0.215149669541666</v>
      </c>
      <c r="AE447" s="24">
        <f t="shared" si="12"/>
        <v>958.890195914587</v>
      </c>
    </row>
    <row r="448" spans="12:31">
      <c r="L448" s="24">
        <v>-4.37225254911319</v>
      </c>
      <c r="M448" s="25">
        <f>_xlfn.NORM.DIST(L448,L549,L550,TRUE)</f>
        <v>0.328154577858466</v>
      </c>
      <c r="N448" s="24">
        <f t="shared" si="11"/>
        <v>67.3274994469682</v>
      </c>
      <c r="AC448" s="24">
        <v>-20.6105531966479</v>
      </c>
      <c r="AD448" s="27">
        <f>_xlfn.NORM.DIST(AC448,AC549,AC550,TRUE)</f>
        <v>0.125294375470861</v>
      </c>
      <c r="AE448" s="24">
        <f t="shared" si="12"/>
        <v>3431.72127973247</v>
      </c>
    </row>
    <row r="449" spans="12:31">
      <c r="L449" s="24">
        <v>-3.42521826702898</v>
      </c>
      <c r="M449" s="25">
        <f>_xlfn.NORM.DIST(L449,L549,L550,TRUE)</f>
        <v>0.363685787473191</v>
      </c>
      <c r="N449" s="24">
        <f t="shared" si="11"/>
        <v>39.4730683152726</v>
      </c>
      <c r="AC449" s="24">
        <v>-16.5126648954442</v>
      </c>
      <c r="AD449" s="27">
        <f>_xlfn.NORM.DIST(AC449,AC549,AC550,TRUE)</f>
        <v>0.178659244843929</v>
      </c>
      <c r="AE449" s="24">
        <f t="shared" si="12"/>
        <v>1559.39482336636</v>
      </c>
    </row>
    <row r="450" spans="12:31">
      <c r="L450" s="24">
        <v>-6.46161298494477</v>
      </c>
      <c r="M450" s="25">
        <f>_xlfn.NORM.DIST(L450,L549,L550,TRUE)</f>
        <v>0.255374130989415</v>
      </c>
      <c r="N450" s="24">
        <f t="shared" si="11"/>
        <v>176.673791275656</v>
      </c>
      <c r="AC450" s="24">
        <v>-20.7277655942406</v>
      </c>
      <c r="AD450" s="27">
        <f>_xlfn.NORM.DIST(AC450,AC549,AC550,TRUE)</f>
        <v>0.123952187237857</v>
      </c>
      <c r="AE450" s="24">
        <f t="shared" si="12"/>
        <v>3507.75685469817</v>
      </c>
    </row>
    <row r="451" spans="12:31">
      <c r="L451" s="24">
        <v>-4.67504770286058</v>
      </c>
      <c r="M451" s="25">
        <f>_xlfn.NORM.DIST(L451,L549,L550,TRUE)</f>
        <v>0.317096455354824</v>
      </c>
      <c r="N451" s="24">
        <f t="shared" si="11"/>
        <v>78.5928157680525</v>
      </c>
      <c r="AC451" s="24">
        <v>-15.7150372930369</v>
      </c>
      <c r="AD451" s="27">
        <f>_xlfn.NORM.DIST(AC451,AC549,AC550,TRUE)</f>
        <v>0.190508628708373</v>
      </c>
      <c r="AE451" s="24">
        <f t="shared" si="12"/>
        <v>1327.95240186214</v>
      </c>
    </row>
    <row r="452" spans="12:31">
      <c r="L452" s="24">
        <v>-4.16647542077639</v>
      </c>
      <c r="M452" s="25">
        <f>_xlfn.NORM.DIST(L452,L549,L550,TRUE)</f>
        <v>0.33575725432837</v>
      </c>
      <c r="N452" s="24">
        <f t="shared" si="11"/>
        <v>60.3712914597426</v>
      </c>
      <c r="AC452" s="24">
        <v>-14.3616409918332</v>
      </c>
      <c r="AD452" s="27">
        <f>_xlfn.NORM.DIST(AC452,AC549,AC550,TRUE)</f>
        <v>0.211687591871518</v>
      </c>
      <c r="AE452" s="24">
        <f t="shared" si="12"/>
        <v>1003.27990002139</v>
      </c>
    </row>
    <row r="453" spans="12:31">
      <c r="L453" s="24">
        <v>-4.58212713869218</v>
      </c>
      <c r="M453" s="25">
        <f>_xlfn.NORM.DIST(L453,L549,L550,TRUE)</f>
        <v>0.320473183690204</v>
      </c>
      <c r="N453" s="24">
        <f t="shared" si="11"/>
        <v>75.0000035705282</v>
      </c>
      <c r="AC453" s="24">
        <v>-14.8279316906296</v>
      </c>
      <c r="AD453" s="27">
        <f>_xlfn.NORM.DIST(AC453,AC549,AC550,TRUE)</f>
        <v>0.204239723118822</v>
      </c>
      <c r="AE453" s="24">
        <f t="shared" si="12"/>
        <v>1106.37722163799</v>
      </c>
    </row>
    <row r="454" spans="12:31">
      <c r="L454" s="24">
        <v>-4.82588885660797</v>
      </c>
      <c r="M454" s="25">
        <f>_xlfn.NORM.DIST(L454,L549,L550,TRUE)</f>
        <v>0.311647282085263</v>
      </c>
      <c r="N454" s="24">
        <f t="shared" si="11"/>
        <v>84.6927892320198</v>
      </c>
      <c r="AC454" s="24">
        <v>-13.9120353894259</v>
      </c>
      <c r="AD454" s="27">
        <f>_xlfn.NORM.DIST(AC454,AC549,AC550,TRUE)</f>
        <v>0.219017273929823</v>
      </c>
      <c r="AE454" s="24">
        <f t="shared" si="12"/>
        <v>911.739269654668</v>
      </c>
    </row>
    <row r="455" spans="12:31">
      <c r="L455" s="24">
        <v>-2.6432125745238</v>
      </c>
      <c r="M455" s="25">
        <f>_xlfn.NORM.DIST(L455,L549,L550,TRUE)</f>
        <v>0.393953187779312</v>
      </c>
      <c r="N455" s="24">
        <f t="shared" si="11"/>
        <v>23.4149034805466</v>
      </c>
      <c r="AC455" s="24">
        <v>-11.7134090882223</v>
      </c>
      <c r="AD455" s="27">
        <f>_xlfn.NORM.DIST(AC455,AC549,AC550,TRUE)</f>
        <v>0.256892450508623</v>
      </c>
      <c r="AE455" s="24">
        <f t="shared" si="12"/>
        <v>557.774736643475</v>
      </c>
    </row>
    <row r="456" spans="12:31">
      <c r="L456" s="24">
        <v>-3.17595329243958</v>
      </c>
      <c r="M456" s="25">
        <f>_xlfn.NORM.DIST(L456,L549,L550,TRUE)</f>
        <v>0.373251646056603</v>
      </c>
      <c r="N456" s="24">
        <f t="shared" si="11"/>
        <v>33.7489622042696</v>
      </c>
      <c r="AC456" s="24">
        <v>-13.9397547870187</v>
      </c>
      <c r="AD456" s="27">
        <f>_xlfn.NORM.DIST(AC456,AC549,AC550,TRUE)</f>
        <v>0.218561199326322</v>
      </c>
      <c r="AE456" s="24">
        <f t="shared" si="12"/>
        <v>917.170624004037</v>
      </c>
    </row>
    <row r="457" spans="12:31">
      <c r="L457" s="24">
        <v>-1.25735401035538</v>
      </c>
      <c r="M457" s="25">
        <f>_xlfn.NORM.DIST(L457,L549,L550,TRUE)</f>
        <v>0.449084201832368</v>
      </c>
      <c r="N457" s="24">
        <f t="shared" si="11"/>
        <v>6.48415455305077</v>
      </c>
      <c r="AC457" s="24">
        <v>-13.312234485815</v>
      </c>
      <c r="AD457" s="27">
        <f>_xlfn.NORM.DIST(AC457,AC549,AC550,TRUE)</f>
        <v>0.229019136475552</v>
      </c>
      <c r="AE457" s="24">
        <f t="shared" si="12"/>
        <v>800.656017156764</v>
      </c>
    </row>
    <row r="458" spans="12:31">
      <c r="L458" s="24">
        <v>-1.09255372827118</v>
      </c>
      <c r="M458" s="25">
        <f>_xlfn.NORM.DIST(L458,L549,L550,TRUE)</f>
        <v>0.455728155017367</v>
      </c>
      <c r="N458" s="24">
        <f t="shared" si="11"/>
        <v>5.26010246180243</v>
      </c>
      <c r="AC458" s="24">
        <v>-17.4975041846114</v>
      </c>
      <c r="AD458" s="27">
        <f>_xlfn.NORM.DIST(AC458,AC549,AC550,TRUE)</f>
        <v>0.16468445177817</v>
      </c>
      <c r="AE458" s="24">
        <f t="shared" si="12"/>
        <v>1894.24626343967</v>
      </c>
    </row>
    <row r="459" spans="12:31">
      <c r="L459" s="24">
        <v>-1.16940744618699</v>
      </c>
      <c r="M459" s="25">
        <f>_xlfn.NORM.DIST(L459,L549,L550,TRUE)</f>
        <v>0.452628127688986</v>
      </c>
      <c r="N459" s="24">
        <f t="shared" si="11"/>
        <v>5.81271742070569</v>
      </c>
      <c r="AC459" s="24">
        <v>-16.4125708834077</v>
      </c>
      <c r="AD459" s="27">
        <f>_xlfn.NORM.DIST(AC459,AC549,AC550,TRUE)</f>
        <v>0.180120224155533</v>
      </c>
      <c r="AE459" s="24">
        <f t="shared" si="12"/>
        <v>1528.52018412587</v>
      </c>
    </row>
    <row r="460" spans="12:31">
      <c r="L460" s="24">
        <v>-1.85411016410279</v>
      </c>
      <c r="M460" s="25">
        <f>_xlfn.NORM.DIST(L460,L549,L550,TRUE)</f>
        <v>0.42515840425866</v>
      </c>
      <c r="N460" s="24">
        <f t="shared" si="11"/>
        <v>12.2191285758046</v>
      </c>
      <c r="AC460" s="24">
        <v>-15.367401582204</v>
      </c>
      <c r="AD460" s="27">
        <f>_xlfn.NORM.DIST(AC460,AC549,AC550,TRUE)</f>
        <v>0.195820609807535</v>
      </c>
      <c r="AE460" s="24">
        <f t="shared" si="12"/>
        <v>1236.91722355468</v>
      </c>
    </row>
    <row r="461" spans="12:31">
      <c r="L461" s="24">
        <v>-0.523431882018599</v>
      </c>
      <c r="M461" s="25">
        <f>_xlfn.NORM.DIST(L461,L549,L550,TRUE)</f>
        <v>0.478756116193183</v>
      </c>
      <c r="N461" s="24">
        <f t="shared" si="11"/>
        <v>2.09789650677687</v>
      </c>
      <c r="AC461" s="24">
        <v>-10.7723222810004</v>
      </c>
      <c r="AD461" s="27">
        <f>_xlfn.NORM.DIST(AC461,AC549,AC550,TRUE)</f>
        <v>0.27408806527549</v>
      </c>
      <c r="AE461" s="24">
        <f t="shared" si="12"/>
        <v>445.19698957218</v>
      </c>
    </row>
    <row r="462" spans="12:31">
      <c r="L462" s="24">
        <v>-0.102047599934394</v>
      </c>
      <c r="M462" s="25">
        <f>_xlfn.NORM.DIST(L462,L549,L550,TRUE)</f>
        <v>0.495856435189184</v>
      </c>
      <c r="N462" s="24">
        <f t="shared" si="11"/>
        <v>0.720953102243524</v>
      </c>
      <c r="AC462" s="24">
        <v>-6.95286097979681</v>
      </c>
      <c r="AD462" s="27">
        <f>_xlfn.NORM.DIST(AC462,AC549,AC550,TRUE)</f>
        <v>0.349162600646362</v>
      </c>
      <c r="AE462" s="24">
        <f t="shared" si="12"/>
        <v>152.70692872216</v>
      </c>
    </row>
    <row r="463" spans="12:31">
      <c r="L463" s="24">
        <v>-1.54407431785018</v>
      </c>
      <c r="M463" s="25">
        <f>_xlfn.NORM.DIST(L463,L549,L550,TRUE)</f>
        <v>0.437560051346441</v>
      </c>
      <c r="N463" s="24">
        <f t="shared" si="11"/>
        <v>8.97448192790379</v>
      </c>
      <c r="AC463" s="24">
        <v>-5.79831767859315</v>
      </c>
      <c r="AD463" s="27">
        <f>_xlfn.NORM.DIST(AC463,AC549,AC550,TRUE)</f>
        <v>0.373263156219174</v>
      </c>
      <c r="AE463" s="24">
        <f t="shared" si="12"/>
        <v>102.041708017541</v>
      </c>
    </row>
    <row r="464" spans="12:31">
      <c r="L464" s="24">
        <v>-1.98214903576599</v>
      </c>
      <c r="M464" s="25">
        <f>_xlfn.NORM.DIST(L464,L549,L550,TRUE)</f>
        <v>0.420057566615415</v>
      </c>
      <c r="N464" s="24">
        <f t="shared" si="11"/>
        <v>13.7376326940638</v>
      </c>
      <c r="AC464" s="24">
        <v>-3.87810237738949</v>
      </c>
      <c r="AD464" s="27">
        <f>_xlfn.NORM.DIST(AC464,AC549,AC550,TRUE)</f>
        <v>0.414422926149458</v>
      </c>
      <c r="AE464" s="24">
        <f t="shared" si="12"/>
        <v>44.4612793329804</v>
      </c>
    </row>
    <row r="465" spans="12:31">
      <c r="L465" s="24">
        <v>-0.203052753681788</v>
      </c>
      <c r="M465" s="25">
        <f>_xlfn.NORM.DIST(L465,L549,L550,TRUE)</f>
        <v>0.491755636767452</v>
      </c>
      <c r="N465" s="24">
        <f t="shared" si="11"/>
        <v>0.981704455107155</v>
      </c>
      <c r="AC465" s="24">
        <v>-5.46805107618584</v>
      </c>
      <c r="AD465" s="27">
        <f>_xlfn.NORM.DIST(AC465,AC549,AC550,TRUE)</f>
        <v>0.380254445246482</v>
      </c>
      <c r="AE465" s="24">
        <f t="shared" si="12"/>
        <v>89.9468182412582</v>
      </c>
    </row>
    <row r="466" spans="12:31">
      <c r="L466" s="24">
        <v>-1.79954447159759</v>
      </c>
      <c r="M466" s="25">
        <f>_xlfn.NORM.DIST(L466,L549,L550,TRUE)</f>
        <v>0.427336068491957</v>
      </c>
      <c r="N466" s="24">
        <f t="shared" si="11"/>
        <v>11.6044427453304</v>
      </c>
      <c r="AC466" s="24">
        <v>-4.09475677498218</v>
      </c>
      <c r="AD466" s="27">
        <f>_xlfn.NORM.DIST(AC466,AC549,AC550,TRUE)</f>
        <v>0.40972233761396</v>
      </c>
      <c r="AE466" s="24">
        <f t="shared" si="12"/>
        <v>49.5221524752024</v>
      </c>
    </row>
    <row r="467" spans="12:31">
      <c r="L467" s="24">
        <v>-1.77176818951339</v>
      </c>
      <c r="M467" s="25">
        <f>_xlfn.NORM.DIST(L467,L549,L550,TRUE)</f>
        <v>0.428445448491557</v>
      </c>
      <c r="N467" s="24">
        <f t="shared" si="11"/>
        <v>11.2988481261888</v>
      </c>
      <c r="AC467" s="24">
        <v>-4.23290747377856</v>
      </c>
      <c r="AD467" s="27">
        <f>_xlfn.NORM.DIST(AC467,AC549,AC550,TRUE)</f>
        <v>0.406731700798683</v>
      </c>
      <c r="AE467" s="24">
        <f t="shared" si="12"/>
        <v>52.9249419900184</v>
      </c>
    </row>
    <row r="468" spans="12:31">
      <c r="L468" s="24">
        <v>-6.4274409074292</v>
      </c>
      <c r="M468" s="25">
        <f>_xlfn.NORM.DIST(L468,L549,L550,TRUE)</f>
        <v>0.256493112579928</v>
      </c>
      <c r="N468" s="24">
        <f t="shared" si="11"/>
        <v>174.176115430444</v>
      </c>
      <c r="AC468" s="24">
        <v>-5.0969641725749</v>
      </c>
      <c r="AD468" s="27">
        <f>_xlfn.NORM.DIST(AC468,AC549,AC550,TRUE)</f>
        <v>0.388156674336229</v>
      </c>
      <c r="AE468" s="24">
        <f t="shared" si="12"/>
        <v>77.5113573833784</v>
      </c>
    </row>
    <row r="469" spans="12:31">
      <c r="L469" s="24">
        <v>-6.900397625345</v>
      </c>
      <c r="M469" s="25">
        <f>_xlfn.NORM.DIST(L469,L549,L550,TRUE)</f>
        <v>0.241235695322104</v>
      </c>
      <c r="N469" s="24">
        <f t="shared" si="11"/>
        <v>211.423630399151</v>
      </c>
      <c r="AC469" s="24">
        <v>-9.36177787137126</v>
      </c>
      <c r="AD469" s="27">
        <f>_xlfn.NORM.DIST(AC469,AC549,AC550,TRUE)</f>
        <v>0.30088195399634</v>
      </c>
      <c r="AE469" s="24">
        <f t="shared" si="12"/>
        <v>310.311049435384</v>
      </c>
    </row>
    <row r="470" spans="12:31">
      <c r="L470" s="24">
        <v>-4.95688834326078</v>
      </c>
      <c r="M470" s="25">
        <f>_xlfn.NORM.DIST(L470,L549,L550,TRUE)</f>
        <v>0.306948073771554</v>
      </c>
      <c r="N470" s="24">
        <f t="shared" si="11"/>
        <v>90.2692546163279</v>
      </c>
      <c r="AC470" s="24">
        <v>-8.02824857016759</v>
      </c>
      <c r="AD470" s="27">
        <f>_xlfn.NORM.DIST(AC470,AC549,AC550,TRUE)</f>
        <v>0.327246588404809</v>
      </c>
      <c r="AE470" s="24">
        <f t="shared" si="12"/>
        <v>213.338509303466</v>
      </c>
    </row>
    <row r="471" spans="12:31">
      <c r="L471" s="24">
        <v>-6.7526590611766</v>
      </c>
      <c r="M471" s="25">
        <f>_xlfn.NORM.DIST(L471,L549,L550,TRUE)</f>
        <v>0.245948064337327</v>
      </c>
      <c r="N471" s="24">
        <f t="shared" si="11"/>
        <v>199.149775092825</v>
      </c>
      <c r="AC471" s="24">
        <v>-6.77427826896394</v>
      </c>
      <c r="AD471" s="27">
        <f>_xlfn.NORM.DIST(AC471,AC549,AC550,TRUE)</f>
        <v>0.352853743742719</v>
      </c>
      <c r="AE471" s="24">
        <f t="shared" si="12"/>
        <v>143.957692464178</v>
      </c>
    </row>
    <row r="472" spans="12:31">
      <c r="L472" s="24">
        <v>-5.2152167790924</v>
      </c>
      <c r="M472" s="25">
        <f>_xlfn.NORM.DIST(L472,L549,L550,TRUE)</f>
        <v>0.297774228148573</v>
      </c>
      <c r="N472" s="24">
        <f t="shared" si="11"/>
        <v>102.067496018344</v>
      </c>
      <c r="AC472" s="24">
        <v>-4.20771696776029</v>
      </c>
      <c r="AD472" s="27">
        <f>_xlfn.NORM.DIST(AC472,AC549,AC550,TRUE)</f>
        <v>0.407276616013584</v>
      </c>
      <c r="AE472" s="24">
        <f t="shared" si="12"/>
        <v>52.2941041563841</v>
      </c>
    </row>
    <row r="473" spans="12:31">
      <c r="L473" s="24">
        <v>-4.31302049700819</v>
      </c>
      <c r="M473" s="25">
        <f>_xlfn.NORM.DIST(L473,L549,L550,TRUE)</f>
        <v>0.330335863740374</v>
      </c>
      <c r="N473" s="24">
        <f t="shared" si="11"/>
        <v>65.2692022257981</v>
      </c>
      <c r="AC473" s="24">
        <v>-9.58623866655662</v>
      </c>
      <c r="AD473" s="27">
        <f>_xlfn.NORM.DIST(AC473,AC549,AC550,TRUE)</f>
        <v>0.296540014667133</v>
      </c>
      <c r="AE473" s="24">
        <f t="shared" si="12"/>
        <v>329.36301892237</v>
      </c>
    </row>
    <row r="474" spans="12:31">
      <c r="L474" s="24">
        <v>5.477786785076</v>
      </c>
      <c r="M474" s="25">
        <f>_xlfn.NORM.DIST(L474,L549,L550,TRUE)</f>
        <v>0.711419932042105</v>
      </c>
      <c r="N474" s="24">
        <f t="shared" si="11"/>
        <v>31.9336751115312</v>
      </c>
      <c r="AC474" s="24">
        <v>-9.36641836535301</v>
      </c>
      <c r="AD474" s="27">
        <f>_xlfn.NORM.DIST(AC474,AC549,AC550,TRUE)</f>
        <v>0.300791899247873</v>
      </c>
      <c r="AE474" s="24">
        <f t="shared" si="12"/>
        <v>310.696380233935</v>
      </c>
    </row>
    <row r="475" spans="12:31">
      <c r="L475" s="24">
        <v>7.90209206716019</v>
      </c>
      <c r="M475" s="25">
        <f>_xlfn.NORM.DIST(L475,L549,L550,TRUE)</f>
        <v>0.789384442402567</v>
      </c>
      <c r="N475" s="24">
        <f t="shared" si="11"/>
        <v>64.0886835840188</v>
      </c>
      <c r="AC475" s="24">
        <v>-10.1906800641493</v>
      </c>
      <c r="AD475" s="27">
        <f>_xlfn.NORM.DIST(AC475,AC549,AC550,TRUE)</f>
        <v>0.28499298413892</v>
      </c>
      <c r="AE475" s="24">
        <f t="shared" si="12"/>
        <v>385.061148597045</v>
      </c>
    </row>
    <row r="476" spans="12:31">
      <c r="L476" s="24">
        <v>8.38327634924439</v>
      </c>
      <c r="M476" s="25">
        <f>_xlfn.NORM.DIST(L476,L549,L550,TRUE)</f>
        <v>0.803243237553646</v>
      </c>
      <c r="N476" s="24">
        <f t="shared" si="11"/>
        <v>71.5311368811751</v>
      </c>
      <c r="AC476" s="24">
        <v>-11.3729277629456</v>
      </c>
      <c r="AD476" s="27">
        <f>_xlfn.NORM.DIST(AC476,AC549,AC550,TRUE)</f>
        <v>0.263048335421647</v>
      </c>
      <c r="AE476" s="24">
        <f t="shared" si="12"/>
        <v>514.718861629533</v>
      </c>
    </row>
    <row r="477" spans="12:31">
      <c r="L477" s="24">
        <v>8.53560963132859</v>
      </c>
      <c r="M477" s="25">
        <f>_xlfn.NORM.DIST(L477,L549,L550,TRUE)</f>
        <v>0.807512878014892</v>
      </c>
      <c r="N477" s="24">
        <f t="shared" si="11"/>
        <v>73.959785725518</v>
      </c>
      <c r="AC477" s="24">
        <v>-7.89154146174203</v>
      </c>
      <c r="AD477" s="27">
        <f>_xlfn.NORM.DIST(AC477,AC549,AC550,TRUE)</f>
        <v>0.330001751783876</v>
      </c>
      <c r="AE477" s="24">
        <f t="shared" si="12"/>
        <v>204.82852726231</v>
      </c>
    </row>
    <row r="478" spans="12:31">
      <c r="L478" s="24">
        <v>12.1183319134127</v>
      </c>
      <c r="M478" s="25">
        <f>_xlfn.NORM.DIST(L478,L549,L550,TRUE)</f>
        <v>0.891290944843554</v>
      </c>
      <c r="N478" s="24">
        <f t="shared" si="11"/>
        <v>141.420093673289</v>
      </c>
      <c r="AC478" s="24">
        <v>-6.13044516053838</v>
      </c>
      <c r="AD478" s="27">
        <f>_xlfn.NORM.DIST(AC478,AC549,AC550,TRUE)</f>
        <v>0.366274308433998</v>
      </c>
      <c r="AE478" s="24">
        <f t="shared" si="12"/>
        <v>115.234300868608</v>
      </c>
    </row>
    <row r="479" spans="12:31">
      <c r="L479" s="24">
        <v>9.294027195497</v>
      </c>
      <c r="M479" s="25">
        <f>_xlfn.NORM.DIST(L479,L549,L550,TRUE)</f>
        <v>0.827915644780343</v>
      </c>
      <c r="N479" s="24">
        <f t="shared" si="11"/>
        <v>86.572883651926</v>
      </c>
      <c r="AC479" s="24">
        <v>-3.60366285933471</v>
      </c>
      <c r="AD479" s="27">
        <f>_xlfn.NORM.DIST(AC479,AC549,AC550,TRUE)</f>
        <v>0.420394793507279</v>
      </c>
      <c r="AE479" s="24">
        <f t="shared" si="12"/>
        <v>38.5186501914082</v>
      </c>
    </row>
    <row r="480" spans="12:31">
      <c r="L480" s="24">
        <v>10.6624864775811</v>
      </c>
      <c r="M480" s="25">
        <f>_xlfn.NORM.DIST(L480,L549,L550,TRUE)</f>
        <v>0.861093301185658</v>
      </c>
      <c r="N480" s="24">
        <f t="shared" si="11"/>
        <v>111.564342755906</v>
      </c>
      <c r="AC480" s="24">
        <v>0.70304144186889</v>
      </c>
      <c r="AD480" s="27">
        <f>_xlfn.NORM.DIST(AC480,AC549,AC550,TRUE)</f>
        <v>0.515630762803679</v>
      </c>
      <c r="AE480" s="24">
        <f t="shared" si="12"/>
        <v>0.0681161116856327</v>
      </c>
    </row>
    <row r="481" spans="12:31">
      <c r="L481" s="24">
        <v>7.07199175966539</v>
      </c>
      <c r="M481" s="25">
        <f>_xlfn.NORM.DIST(L481,L549,L550,TRUE)</f>
        <v>0.764175410921712</v>
      </c>
      <c r="N481" s="24">
        <f t="shared" si="11"/>
        <v>52.0672957030729</v>
      </c>
      <c r="AC481" s="24">
        <v>1.55927574307256</v>
      </c>
      <c r="AD481" s="27">
        <f>_xlfn.NORM.DIST(AC481,AC549,AC550,TRUE)</f>
        <v>0.534632731135378</v>
      </c>
      <c r="AE481" s="24">
        <f t="shared" si="12"/>
        <v>1.96376548005597</v>
      </c>
    </row>
    <row r="482" spans="12:31">
      <c r="L482" s="24">
        <v>10.4569760417495</v>
      </c>
      <c r="M482" s="25">
        <f>_xlfn.NORM.DIST(L482,L549,L550,TRUE)</f>
        <v>0.856409769782149</v>
      </c>
      <c r="N482" s="24">
        <f t="shared" si="11"/>
        <v>107.62473291948</v>
      </c>
      <c r="AC482" s="24">
        <v>1.3614630442762</v>
      </c>
      <c r="AD482" s="27">
        <f>_xlfn.NORM.DIST(AC482,AC549,AC550,TRUE)</f>
        <v>0.530248198320535</v>
      </c>
      <c r="AE482" s="24">
        <f t="shared" si="12"/>
        <v>1.30300889720221</v>
      </c>
    </row>
    <row r="483" spans="12:31">
      <c r="L483" s="24">
        <v>12.2097653238337</v>
      </c>
      <c r="M483" s="25">
        <f>_xlfn.NORM.DIST(L483,L549,L550,TRUE)</f>
        <v>0.893016126126164</v>
      </c>
      <c r="N483" s="24">
        <f t="shared" si="11"/>
        <v>143.411533853668</v>
      </c>
      <c r="AC483" s="24">
        <v>1.18246534547986</v>
      </c>
      <c r="AD483" s="27">
        <f>_xlfn.NORM.DIST(AC483,AC549,AC550,TRUE)</f>
        <v>0.526277523161289</v>
      </c>
      <c r="AE483" s="24">
        <f t="shared" si="12"/>
        <v>0.818166156085727</v>
      </c>
    </row>
    <row r="484" spans="12:31">
      <c r="L484" s="24">
        <v>11.8636856059179</v>
      </c>
      <c r="M484" s="25">
        <f>_xlfn.NORM.DIST(L484,L549,L550,TRUE)</f>
        <v>0.886381019487332</v>
      </c>
      <c r="N484" s="24">
        <f t="shared" si="11"/>
        <v>135.947423663207</v>
      </c>
      <c r="AC484" s="24">
        <v>2.49347264668352</v>
      </c>
      <c r="AD484" s="27">
        <f>_xlfn.NORM.DIST(AC484,AC549,AC550,TRUE)</f>
        <v>0.555273679852536</v>
      </c>
      <c r="AE484" s="24">
        <f t="shared" si="12"/>
        <v>6.76533999598602</v>
      </c>
    </row>
    <row r="485" spans="12:31">
      <c r="L485" s="24">
        <v>11.3204318880021</v>
      </c>
      <c r="M485" s="25">
        <f>_xlfn.NORM.DIST(L485,L549,L550,TRUE)</f>
        <v>0.875382845015688</v>
      </c>
      <c r="N485" s="24">
        <f t="shared" ref="N485:N548" si="13">POWER((L485-M485),2)/M485</f>
        <v>124.630097712774</v>
      </c>
      <c r="AC485" s="24">
        <v>0.984472947887184</v>
      </c>
      <c r="AD485" s="27">
        <f>_xlfn.NORM.DIST(AC485,AC549,AC550,TRUE)</f>
        <v>0.521882465155665</v>
      </c>
      <c r="AE485" s="24">
        <f t="shared" ref="AE485:AE548" si="14">POWER((AC485-AD485),2)/AD485</f>
        <v>0.410034766448709</v>
      </c>
    </row>
    <row r="486" spans="12:31">
      <c r="L486" s="24">
        <v>12.0300321700864</v>
      </c>
      <c r="M486" s="25">
        <f>_xlfn.NORM.DIST(L486,L549,L550,TRUE)</f>
        <v>0.889605986688449</v>
      </c>
      <c r="N486" s="24">
        <f t="shared" si="13"/>
        <v>139.510184738902</v>
      </c>
      <c r="AC486" s="24">
        <v>-0.384512750909152</v>
      </c>
      <c r="AD486" s="27">
        <f>_xlfn.NORM.DIST(AC486,AC549,AC550,TRUE)</f>
        <v>0.491449571105974</v>
      </c>
      <c r="AE486" s="24">
        <f t="shared" si="14"/>
        <v>1.56131988855612</v>
      </c>
    </row>
    <row r="487" spans="12:31">
      <c r="L487" s="24">
        <v>11.9310154521705</v>
      </c>
      <c r="M487" s="25">
        <f>_xlfn.NORM.DIST(L487,L549,L550,TRUE)</f>
        <v>0.887694345512116</v>
      </c>
      <c r="N487" s="24">
        <f t="shared" si="13"/>
        <v>137.38393364938</v>
      </c>
      <c r="AC487" s="24">
        <v>-0.903507449705529</v>
      </c>
      <c r="AD487" s="27">
        <f>_xlfn.NORM.DIST(AC487,AC549,AC550,TRUE)</f>
        <v>0.479915613699966</v>
      </c>
      <c r="AE487" s="24">
        <f t="shared" si="14"/>
        <v>3.98790811911102</v>
      </c>
    </row>
    <row r="488" spans="12:31">
      <c r="L488" s="24">
        <v>14.2503337342547</v>
      </c>
      <c r="M488" s="25">
        <f>_xlfn.NORM.DIST(L488,L549,L550,TRUE)</f>
        <v>0.926529441490821</v>
      </c>
      <c r="N488" s="24">
        <f t="shared" si="13"/>
        <v>191.600776923214</v>
      </c>
      <c r="AC488" s="24">
        <v>-1.57251114850188</v>
      </c>
      <c r="AD488" s="27">
        <f>_xlfn.NORM.DIST(AC488,AC549,AC550,TRUE)</f>
        <v>0.465074049195894</v>
      </c>
      <c r="AE488" s="24">
        <f t="shared" si="14"/>
        <v>8.92708041881802</v>
      </c>
    </row>
    <row r="489" spans="12:31">
      <c r="L489" s="24">
        <v>20.0910750163389</v>
      </c>
      <c r="M489" s="25">
        <f>_xlfn.NORM.DIST(L489,L549,L550,TRUE)</f>
        <v>0.979567683818937</v>
      </c>
      <c r="N489" s="24">
        <f t="shared" si="13"/>
        <v>372.868275009853</v>
      </c>
      <c r="AC489" s="24">
        <v>-0.231504847298225</v>
      </c>
      <c r="AD489" s="27">
        <f>_xlfn.NORM.DIST(AC489,AC549,AC550,TRUE)</f>
        <v>0.494851764063985</v>
      </c>
      <c r="AE489" s="24">
        <f t="shared" si="14"/>
        <v>1.06616559782815</v>
      </c>
    </row>
    <row r="490" spans="12:31">
      <c r="L490" s="24">
        <v>21.3322522984231</v>
      </c>
      <c r="M490" s="25">
        <f>_xlfn.NORM.DIST(L490,L549,L550,TRUE)</f>
        <v>0.985043097945277</v>
      </c>
      <c r="N490" s="24">
        <f t="shared" si="13"/>
        <v>420.295236941002</v>
      </c>
      <c r="AC490" s="24">
        <v>1.64949445390541</v>
      </c>
      <c r="AD490" s="27">
        <f>_xlfn.NORM.DIST(AC490,AC549,AC550,TRUE)</f>
        <v>0.536631072512051</v>
      </c>
      <c r="AE490" s="24">
        <f t="shared" si="14"/>
        <v>2.30785164908327</v>
      </c>
    </row>
    <row r="491" spans="12:31">
      <c r="L491" s="24">
        <v>20.0577675805073</v>
      </c>
      <c r="M491" s="25">
        <f>_xlfn.NORM.DIST(L491,L549,L550,TRUE)</f>
        <v>0.979399958516408</v>
      </c>
      <c r="N491" s="24">
        <f t="shared" si="13"/>
        <v>371.639908655084</v>
      </c>
      <c r="AC491" s="24">
        <v>6.82050275510908</v>
      </c>
      <c r="AD491" s="27">
        <f>_xlfn.NORM.DIST(AC491,AC549,AC550,TRUE)</f>
        <v>0.648103020705265</v>
      </c>
      <c r="AE491" s="24">
        <f t="shared" si="14"/>
        <v>58.7846642649644</v>
      </c>
    </row>
    <row r="492" spans="12:31">
      <c r="L492" s="24">
        <v>21.5085858625915</v>
      </c>
      <c r="M492" s="25">
        <f>_xlfn.NORM.DIST(L492,L549,L550,TRUE)</f>
        <v>0.985708023032347</v>
      </c>
      <c r="N492" s="24">
        <f t="shared" si="13"/>
        <v>427.295410989717</v>
      </c>
      <c r="AC492" s="24">
        <v>7.61150605631274</v>
      </c>
      <c r="AD492" s="27">
        <f>_xlfn.NORM.DIST(AC492,AC549,AC550,TRUE)</f>
        <v>0.664325734891306</v>
      </c>
      <c r="AE492" s="24">
        <f t="shared" si="14"/>
        <v>72.6500749308497</v>
      </c>
    </row>
    <row r="493" spans="12:31">
      <c r="L493" s="24">
        <v>19.7549291446757</v>
      </c>
      <c r="M493" s="25">
        <f>_xlfn.NORM.DIST(L493,L549,L550,TRUE)</f>
        <v>0.977820758080687</v>
      </c>
      <c r="N493" s="24">
        <f t="shared" si="13"/>
        <v>360.57712668526</v>
      </c>
      <c r="AC493" s="24">
        <v>8.30251735751636</v>
      </c>
      <c r="AD493" s="27">
        <f>_xlfn.NORM.DIST(AC493,AC549,AC550,TRUE)</f>
        <v>0.678252545011186</v>
      </c>
      <c r="AE493" s="24">
        <f t="shared" si="14"/>
        <v>85.7046749898238</v>
      </c>
    </row>
    <row r="494" spans="12:31">
      <c r="L494" s="24">
        <v>19.3090184267599</v>
      </c>
      <c r="M494" s="25">
        <f>_xlfn.NORM.DIST(L494,L549,L550,TRUE)</f>
        <v>0.975310348913974</v>
      </c>
      <c r="N494" s="24">
        <f t="shared" si="13"/>
        <v>344.633738643247</v>
      </c>
      <c r="AC494" s="24">
        <v>10.70352165872</v>
      </c>
      <c r="AD494" s="27">
        <f>_xlfn.NORM.DIST(AC494,AC549,AC550,TRUE)</f>
        <v>0.724632848692088</v>
      </c>
      <c r="AE494" s="24">
        <f t="shared" si="14"/>
        <v>137.418862617989</v>
      </c>
    </row>
    <row r="495" spans="12:31">
      <c r="L495" s="24">
        <v>23.2904537088441</v>
      </c>
      <c r="M495" s="25">
        <f>_xlfn.NORM.DIST(L495,L549,L550,TRUE)</f>
        <v>0.991118905624875</v>
      </c>
      <c r="N495" s="24">
        <f t="shared" si="13"/>
        <v>501.716120885167</v>
      </c>
      <c r="AC495" s="24">
        <v>7.88452395992368</v>
      </c>
      <c r="AD495" s="27">
        <f>_xlfn.NORM.DIST(AC495,AC549,AC550,TRUE)</f>
        <v>0.669856568359556</v>
      </c>
      <c r="AE495" s="24">
        <f t="shared" si="14"/>
        <v>77.7053298116789</v>
      </c>
    </row>
    <row r="496" spans="12:31">
      <c r="L496" s="24">
        <v>28.1778409909283</v>
      </c>
      <c r="M496" s="25">
        <f>_xlfn.NORM.DIST(L496,L549,L550,TRUE)</f>
        <v>0.997934521068163</v>
      </c>
      <c r="N496" s="24">
        <f t="shared" si="13"/>
        <v>740.276340896203</v>
      </c>
      <c r="AC496" s="24">
        <v>10.3155262611273</v>
      </c>
      <c r="AD496" s="27">
        <f>_xlfn.NORM.DIST(AC496,AC549,AC550,TRUE)</f>
        <v>0.717365045747262</v>
      </c>
      <c r="AE496" s="24">
        <f t="shared" si="14"/>
        <v>128.420947274426</v>
      </c>
    </row>
    <row r="497" spans="12:31">
      <c r="L497" s="24">
        <v>25.1588722730125</v>
      </c>
      <c r="M497" s="25">
        <f>_xlfn.NORM.DIST(L497,L549,L550,TRUE)</f>
        <v>0.994777061760887</v>
      </c>
      <c r="N497" s="24">
        <f t="shared" si="13"/>
        <v>586.969201264901</v>
      </c>
      <c r="AC497" s="24">
        <v>14.8265305623309</v>
      </c>
      <c r="AD497" s="27">
        <f>_xlfn.NORM.DIST(AC497,AC549,AC550,TRUE)</f>
        <v>0.795738133570145</v>
      </c>
      <c r="AE497" s="24">
        <f t="shared" si="14"/>
        <v>247.396885826908</v>
      </c>
    </row>
    <row r="498" spans="12:31">
      <c r="L498" s="24">
        <v>14.4132255550967</v>
      </c>
      <c r="M498" s="25">
        <f>_xlfn.NORM.DIST(L498,L549,L550,TRUE)</f>
        <v>0.928812042707193</v>
      </c>
      <c r="N498" s="24">
        <f t="shared" si="13"/>
        <v>195.765557952002</v>
      </c>
      <c r="AC498" s="24">
        <v>8.66753686353465</v>
      </c>
      <c r="AD498" s="27">
        <f>_xlfn.NORM.DIST(AC498,AC549,AC550,TRUE)</f>
        <v>0.685510933713624</v>
      </c>
      <c r="AE498" s="24">
        <f t="shared" si="14"/>
        <v>92.9419719087247</v>
      </c>
    </row>
    <row r="499" spans="12:31">
      <c r="L499" s="24">
        <v>14.2493288371809</v>
      </c>
      <c r="M499" s="25">
        <f>_xlfn.NORM.DIST(L499,L549,L550,TRUE)</f>
        <v>0.926515188184058</v>
      </c>
      <c r="N499" s="24">
        <f t="shared" si="13"/>
        <v>191.575233508893</v>
      </c>
      <c r="AC499" s="24">
        <v>9.06854016473829</v>
      </c>
      <c r="AD499" s="27">
        <f>_xlfn.NORM.DIST(AC499,AC549,AC550,TRUE)</f>
        <v>0.693402919275489</v>
      </c>
      <c r="AE499" s="24">
        <f t="shared" si="14"/>
        <v>101.157526065261</v>
      </c>
    </row>
    <row r="500" spans="12:31">
      <c r="L500" s="24">
        <v>5.87959011926517</v>
      </c>
      <c r="M500" s="25">
        <f>_xlfn.NORM.DIST(L500,L549,L550,TRUE)</f>
        <v>0.725224750240157</v>
      </c>
      <c r="N500" s="24">
        <f t="shared" si="13"/>
        <v>36.6334468709274</v>
      </c>
      <c r="AC500" s="24">
        <v>6.65954646594192</v>
      </c>
      <c r="AD500" s="27">
        <f>_xlfn.NORM.DIST(AC500,AC549,AC550,TRUE)</f>
        <v>0.644767499117188</v>
      </c>
      <c r="AE500" s="24">
        <f t="shared" si="14"/>
        <v>56.109475228344</v>
      </c>
    </row>
    <row r="501" spans="12:31">
      <c r="L501" s="24">
        <v>10.1280774013493</v>
      </c>
      <c r="M501" s="25">
        <f>_xlfn.NORM.DIST(L501,L549,L550,TRUE)</f>
        <v>0.848694761917114</v>
      </c>
      <c r="N501" s="24">
        <f t="shared" si="13"/>
        <v>101.458081318292</v>
      </c>
      <c r="AC501" s="24">
        <v>8.15054676714558</v>
      </c>
      <c r="AD501" s="27">
        <f>_xlfn.NORM.DIST(AC501,AC549,AC550,TRUE)</f>
        <v>0.675210235511758</v>
      </c>
      <c r="AE501" s="24">
        <f t="shared" si="14"/>
        <v>82.7603808743005</v>
      </c>
    </row>
    <row r="502" spans="12:31">
      <c r="L502" s="24">
        <v>6.06091268343358</v>
      </c>
      <c r="M502" s="25">
        <f>_xlfn.NORM.DIST(L502,L549,L550,TRUE)</f>
        <v>0.731346068496943</v>
      </c>
      <c r="N502" s="24">
        <f t="shared" si="13"/>
        <v>38.8383578261703</v>
      </c>
      <c r="AC502" s="24">
        <v>6.68155506834924</v>
      </c>
      <c r="AD502" s="27">
        <f>_xlfn.NORM.DIST(AC502,AC549,AC550,TRUE)</f>
        <v>0.645224248710012</v>
      </c>
      <c r="AE502" s="24">
        <f t="shared" si="14"/>
        <v>56.4722882578808</v>
      </c>
    </row>
    <row r="503" spans="12:31">
      <c r="L503" s="24">
        <v>4.32971696551777</v>
      </c>
      <c r="M503" s="25">
        <f>_xlfn.NORM.DIST(L503,L549,L550,TRUE)</f>
        <v>0.670279590017466</v>
      </c>
      <c r="N503" s="24">
        <f t="shared" si="13"/>
        <v>19.9789492394653</v>
      </c>
      <c r="AC503" s="24">
        <v>8.87255236955289</v>
      </c>
      <c r="AD503" s="27">
        <f>_xlfn.NORM.DIST(AC503,AC549,AC550,TRUE)</f>
        <v>0.689556658762511</v>
      </c>
      <c r="AE503" s="24">
        <f t="shared" si="14"/>
        <v>97.1079286261751</v>
      </c>
    </row>
    <row r="504" spans="12:31">
      <c r="L504" s="24">
        <v>7.44016524760198</v>
      </c>
      <c r="M504" s="25">
        <f>_xlfn.NORM.DIST(L504,L549,L550,TRUE)</f>
        <v>0.775556416805808</v>
      </c>
      <c r="N504" s="24">
        <f t="shared" si="13"/>
        <v>57.2711538516584</v>
      </c>
      <c r="AC504" s="24">
        <v>10.9035606707565</v>
      </c>
      <c r="AD504" s="27">
        <f>_xlfn.NORM.DIST(AC504,AC549,AC550,TRUE)</f>
        <v>0.728343644178018</v>
      </c>
      <c r="AE504" s="24">
        <f t="shared" si="14"/>
        <v>142.151362705744</v>
      </c>
    </row>
    <row r="505" spans="12:31">
      <c r="L505" s="24">
        <v>7.37609852968617</v>
      </c>
      <c r="M505" s="25">
        <f>_xlfn.NORM.DIST(L505,L549,L550,TRUE)</f>
        <v>0.773598672589586</v>
      </c>
      <c r="N505" s="24">
        <f t="shared" si="13"/>
        <v>56.3509296325896</v>
      </c>
      <c r="AC505" s="24">
        <v>10.7445669719602</v>
      </c>
      <c r="AD505" s="27">
        <f>_xlfn.NORM.DIST(AC505,AC549,AC550,TRUE)</f>
        <v>0.725396283660966</v>
      </c>
      <c r="AE505" s="24">
        <f t="shared" si="14"/>
        <v>138.384747126981</v>
      </c>
    </row>
    <row r="506" spans="12:31">
      <c r="L506" s="24">
        <v>3.72820781177037</v>
      </c>
      <c r="M506" s="25">
        <f>_xlfn.NORM.DIST(L506,L549,L550,TRUE)</f>
        <v>0.647827884685109</v>
      </c>
      <c r="N506" s="24">
        <f t="shared" si="13"/>
        <v>14.647008440833</v>
      </c>
      <c r="AC506" s="24">
        <v>12.4555682731638</v>
      </c>
      <c r="AD506" s="27">
        <f>_xlfn.NORM.DIST(AC506,AC549,AC550,TRUE)</f>
        <v>0.756261335854958</v>
      </c>
      <c r="AE506" s="24">
        <f t="shared" si="14"/>
        <v>180.987413112461</v>
      </c>
    </row>
    <row r="507" spans="12:31">
      <c r="L507" s="24">
        <v>1.69752709385457</v>
      </c>
      <c r="M507" s="25">
        <f>_xlfn.NORM.DIST(L507,L549,L550,TRUE)</f>
        <v>0.568586621401559</v>
      </c>
      <c r="N507" s="24">
        <f t="shared" si="13"/>
        <v>2.24153460945104</v>
      </c>
      <c r="AC507" s="24">
        <v>12.8065685743675</v>
      </c>
      <c r="AD507" s="27">
        <f>_xlfn.NORM.DIST(AC507,AC549,AC550,TRUE)</f>
        <v>0.762353325594688</v>
      </c>
      <c r="AE507" s="24">
        <f t="shared" si="14"/>
        <v>190.283318887095</v>
      </c>
    </row>
    <row r="508" spans="12:31">
      <c r="L508" s="24">
        <v>-2.04020662406122</v>
      </c>
      <c r="M508" s="25">
        <f>_xlfn.NORM.DIST(L508,L549,L550,TRUE)</f>
        <v>0.417749020573006</v>
      </c>
      <c r="N508" s="24">
        <f t="shared" si="13"/>
        <v>14.4621427064086</v>
      </c>
      <c r="AC508" s="24">
        <v>11.1775738755711</v>
      </c>
      <c r="AD508" s="27">
        <f>_xlfn.NORM.DIST(AC508,AC549,AC550,TRUE)</f>
        <v>0.733385946983997</v>
      </c>
      <c r="AE508" s="24">
        <f t="shared" si="14"/>
        <v>148.736230815757</v>
      </c>
    </row>
    <row r="509" spans="12:31">
      <c r="L509" s="24">
        <v>0.95045165802297</v>
      </c>
      <c r="M509" s="25">
        <f>_xlfn.NORM.DIST(L509,L549,L550,TRUE)</f>
        <v>0.538532947131012</v>
      </c>
      <c r="N509" s="24">
        <f t="shared" si="13"/>
        <v>0.315072690142419</v>
      </c>
      <c r="AC509" s="24">
        <v>3.85857617677478</v>
      </c>
      <c r="AD509" s="27">
        <f>_xlfn.NORM.DIST(AC509,AC549,AC550,TRUE)</f>
        <v>0.58515281504916</v>
      </c>
      <c r="AE509" s="24">
        <f t="shared" si="14"/>
        <v>18.3119695052494</v>
      </c>
    </row>
    <row r="510" spans="12:31">
      <c r="L510" s="24">
        <v>2.43371094010716</v>
      </c>
      <c r="M510" s="25">
        <f>_xlfn.NORM.DIST(L510,L549,L550,TRUE)</f>
        <v>0.597819397888463</v>
      </c>
      <c r="N510" s="24">
        <f t="shared" si="13"/>
        <v>5.63798660045988</v>
      </c>
      <c r="AC510" s="24">
        <v>5.17957847797845</v>
      </c>
      <c r="AD510" s="27">
        <f>_xlfn.NORM.DIST(AC510,AC549,AC550,TRUE)</f>
        <v>0.613606722990562</v>
      </c>
      <c r="AE510" s="24">
        <f t="shared" si="14"/>
        <v>33.9763194994652</v>
      </c>
    </row>
    <row r="511" spans="12:31">
      <c r="L511" s="24">
        <v>-2.49197377780862</v>
      </c>
      <c r="M511" s="25">
        <f>_xlfn.NORM.DIST(L511,L549,L550,TRUE)</f>
        <v>0.39988801718541</v>
      </c>
      <c r="N511" s="24">
        <f t="shared" si="13"/>
        <v>20.9130163494462</v>
      </c>
      <c r="AC511" s="24">
        <v>1.30058277918212</v>
      </c>
      <c r="AD511" s="27">
        <f>_xlfn.NORM.DIST(AC511,AC549,AC550,TRUE)</f>
        <v>0.528898019473311</v>
      </c>
      <c r="AE511" s="24">
        <f t="shared" si="14"/>
        <v>1.12592096480122</v>
      </c>
    </row>
    <row r="512" spans="12:31">
      <c r="L512" s="24">
        <v>-1.63762949572443</v>
      </c>
      <c r="M512" s="25">
        <f>_xlfn.NORM.DIST(L512,L549,L550,TRUE)</f>
        <v>0.433810733671157</v>
      </c>
      <c r="N512" s="24">
        <f t="shared" si="13"/>
        <v>9.89109833140058</v>
      </c>
      <c r="AC512" s="24">
        <v>1.28158908038574</v>
      </c>
      <c r="AD512" s="27">
        <f>_xlfn.NORM.DIST(AC512,AC549,AC550,TRUE)</f>
        <v>0.528476715883299</v>
      </c>
      <c r="AE512" s="24">
        <f t="shared" si="14"/>
        <v>1.07323220970762</v>
      </c>
    </row>
    <row r="513" spans="12:31">
      <c r="L513" s="24">
        <v>2.17161778635977</v>
      </c>
      <c r="M513" s="25">
        <f>_xlfn.NORM.DIST(L513,L549,L550,TRUE)</f>
        <v>0.587465710749732</v>
      </c>
      <c r="N513" s="24">
        <f t="shared" si="13"/>
        <v>4.27180302226812</v>
      </c>
      <c r="AC513" s="24">
        <v>4.02260338158939</v>
      </c>
      <c r="AD513" s="27">
        <f>_xlfn.NORM.DIST(AC513,AC549,AC550,TRUE)</f>
        <v>0.588713609253934</v>
      </c>
      <c r="AE513" s="24">
        <f t="shared" si="14"/>
        <v>20.0294316000157</v>
      </c>
    </row>
    <row r="514" spans="12:31">
      <c r="L514" s="24">
        <v>4.60324106844397</v>
      </c>
      <c r="M514" s="25">
        <f>_xlfn.NORM.DIST(L514,L549,L550,TRUE)</f>
        <v>0.680295414421496</v>
      </c>
      <c r="N514" s="24">
        <f t="shared" si="13"/>
        <v>22.6217938239384</v>
      </c>
      <c r="AC514" s="24">
        <v>7.18360168279303</v>
      </c>
      <c r="AD514" s="27">
        <f>_xlfn.NORM.DIST(AC514,AC549,AC550,TRUE)</f>
        <v>0.655585508696612</v>
      </c>
      <c r="AE514" s="24">
        <f t="shared" si="14"/>
        <v>65.0029547693763</v>
      </c>
    </row>
    <row r="515" spans="12:31">
      <c r="L515" s="24">
        <v>3.49097135052817</v>
      </c>
      <c r="M515" s="25">
        <f>_xlfn.NORM.DIST(L515,L549,L550,TRUE)</f>
        <v>0.638823750067595</v>
      </c>
      <c r="N515" s="24">
        <f t="shared" si="13"/>
        <v>12.7339441183148</v>
      </c>
      <c r="AC515" s="24">
        <v>7.06460198399671</v>
      </c>
      <c r="AD515" s="27">
        <f>_xlfn.NORM.DIST(AC515,AC549,AC550,TRUE)</f>
        <v>0.653139774959657</v>
      </c>
      <c r="AE515" s="24">
        <f t="shared" si="14"/>
        <v>62.9372903532775</v>
      </c>
    </row>
    <row r="516" spans="12:31">
      <c r="L516" s="24">
        <v>4.96425063261236</v>
      </c>
      <c r="M516" s="25">
        <f>_xlfn.NORM.DIST(L516,L549,L550,TRUE)</f>
        <v>0.69331509671868</v>
      </c>
      <c r="N516" s="24">
        <f t="shared" si="13"/>
        <v>26.3096684870846</v>
      </c>
      <c r="AC516" s="24">
        <v>7.17561228520037</v>
      </c>
      <c r="AD516" s="27">
        <f>_xlfn.NORM.DIST(AC516,AC549,AC550,TRUE)</f>
        <v>0.655421509282931</v>
      </c>
      <c r="AE516" s="24">
        <f t="shared" si="14"/>
        <v>64.8634308643157</v>
      </c>
    </row>
    <row r="517" spans="12:31">
      <c r="L517" s="24">
        <v>5.69880691469656</v>
      </c>
      <c r="M517" s="25">
        <f>_xlfn.NORM.DIST(L517,L549,L550,TRUE)</f>
        <v>0.719053963773888</v>
      </c>
      <c r="N517" s="24">
        <f t="shared" si="13"/>
        <v>34.4868962575123</v>
      </c>
      <c r="AC517" s="24">
        <v>6.25660858640401</v>
      </c>
      <c r="AD517" s="27">
        <f>_xlfn.NORM.DIST(AC517,AC549,AC550,TRUE)</f>
        <v>0.636369068601663</v>
      </c>
      <c r="AE517" s="24">
        <f t="shared" si="14"/>
        <v>49.6364355151259</v>
      </c>
    </row>
    <row r="518" spans="12:31">
      <c r="L518" s="24">
        <v>1.69153319678078</v>
      </c>
      <c r="M518" s="25">
        <f>_xlfn.NORM.DIST(L518,L549,L550,TRUE)</f>
        <v>0.568346832520766</v>
      </c>
      <c r="N518" s="24">
        <f t="shared" si="13"/>
        <v>2.21967914075343</v>
      </c>
      <c r="AC518" s="24">
        <v>8.19762088760768</v>
      </c>
      <c r="AD518" s="27">
        <f>_xlfn.NORM.DIST(AC518,AC549,AC550,TRUE)</f>
        <v>0.676153877830213</v>
      </c>
      <c r="AE518" s="24">
        <f t="shared" si="14"/>
        <v>83.6680345023128</v>
      </c>
    </row>
    <row r="519" spans="12:31">
      <c r="L519" s="24">
        <v>4.92177847886496</v>
      </c>
      <c r="M519" s="25">
        <f>_xlfn.NORM.DIST(L519,L549,L550,TRUE)</f>
        <v>0.691795531153299</v>
      </c>
      <c r="N519" s="24">
        <f t="shared" si="13"/>
        <v>25.8642256738812</v>
      </c>
      <c r="AC519" s="24">
        <v>11.3186251888112</v>
      </c>
      <c r="AD519" s="27">
        <f>_xlfn.NORM.DIST(AC519,AC549,AC550,TRUE)</f>
        <v>0.735962952132505</v>
      </c>
      <c r="AE519" s="24">
        <f t="shared" si="14"/>
        <v>152.171708767566</v>
      </c>
    </row>
    <row r="520" spans="12:31">
      <c r="L520" s="24">
        <v>1.34377276094916</v>
      </c>
      <c r="M520" s="25">
        <f>_xlfn.NORM.DIST(L520,L549,L550,TRUE)</f>
        <v>0.55439420799909</v>
      </c>
      <c r="N520" s="24">
        <f t="shared" si="13"/>
        <v>1.12396286048243</v>
      </c>
      <c r="AC520" s="24">
        <v>9.49962749001494</v>
      </c>
      <c r="AD520" s="27">
        <f>_xlfn.NORM.DIST(AC520,AC549,AC550,TRUE)</f>
        <v>0.701787992211859</v>
      </c>
      <c r="AE520" s="24">
        <f t="shared" si="14"/>
        <v>110.29253946787</v>
      </c>
    </row>
    <row r="521" spans="12:31">
      <c r="L521" s="24">
        <v>3.01670504303336</v>
      </c>
      <c r="M521" s="25">
        <f>_xlfn.NORM.DIST(L521,L549,L550,TRUE)</f>
        <v>0.62059541388553</v>
      </c>
      <c r="N521" s="24">
        <f t="shared" si="13"/>
        <v>9.25134351049837</v>
      </c>
      <c r="AC521" s="24">
        <v>14.1706357912186</v>
      </c>
      <c r="AD521" s="27">
        <f>_xlfn.NORM.DIST(AC521,AC549,AC550,TRUE)</f>
        <v>0.785216243301082</v>
      </c>
      <c r="AE521" s="24">
        <f t="shared" si="14"/>
        <v>228.178489686531</v>
      </c>
    </row>
    <row r="522" spans="12:31">
      <c r="L522" s="24">
        <v>2.66312632511755</v>
      </c>
      <c r="M522" s="25">
        <f>_xlfn.NORM.DIST(L522,L549,L550,TRUE)</f>
        <v>0.606826457375643</v>
      </c>
      <c r="N522" s="24">
        <f t="shared" si="13"/>
        <v>6.96800394030596</v>
      </c>
      <c r="AC522" s="24">
        <v>16.4116360924222</v>
      </c>
      <c r="AD522" s="27">
        <f>_xlfn.NORM.DIST(AC522,AC549,AC550,TRUE)</f>
        <v>0.819866096316043</v>
      </c>
      <c r="AE522" s="24">
        <f t="shared" si="14"/>
        <v>296.515848995132</v>
      </c>
    </row>
    <row r="523" spans="12:31">
      <c r="L523" s="24">
        <v>4.41592360720176</v>
      </c>
      <c r="M523" s="25">
        <f>_xlfn.NORM.DIST(L523,L549,L550,TRUE)</f>
        <v>0.673449917854123</v>
      </c>
      <c r="N523" s="24">
        <f t="shared" si="13"/>
        <v>20.7975514498366</v>
      </c>
      <c r="AC523" s="24">
        <v>17.0226463936259</v>
      </c>
      <c r="AD523" s="27">
        <f>_xlfn.NORM.DIST(AC523,AC549,AC550,TRUE)</f>
        <v>0.82866813734351</v>
      </c>
      <c r="AE523" s="24">
        <f t="shared" si="14"/>
        <v>316.465566789661</v>
      </c>
    </row>
    <row r="524" spans="12:31">
      <c r="L524" s="24">
        <v>11.5893678892859</v>
      </c>
      <c r="M524" s="25">
        <f>_xlfn.NORM.DIST(L524,L549,L550,TRUE)</f>
        <v>0.880917123609763</v>
      </c>
      <c r="N524" s="24">
        <f t="shared" si="13"/>
        <v>130.172197505957</v>
      </c>
      <c r="AC524" s="24">
        <v>18.0136466948295</v>
      </c>
      <c r="AD524" s="27">
        <f>_xlfn.NORM.DIST(AC524,AC549,AC550,TRUE)</f>
        <v>0.842348729437645</v>
      </c>
      <c r="AE524" s="24">
        <f t="shared" si="14"/>
        <v>350.037298700641</v>
      </c>
    </row>
    <row r="525" spans="12:31">
      <c r="L525" s="24">
        <v>8.05128717137016</v>
      </c>
      <c r="M525" s="25">
        <f>_xlfn.NORM.DIST(L525,L549,L550,TRUE)</f>
        <v>0.793741566474416</v>
      </c>
      <c r="N525" s="24">
        <f t="shared" si="13"/>
        <v>66.35909020249</v>
      </c>
      <c r="AC525" s="24">
        <v>14.2146529960332</v>
      </c>
      <c r="AD525" s="27">
        <f>_xlfn.NORM.DIST(AC525,AC549,AC550,TRUE)</f>
        <v>0.785932079022797</v>
      </c>
      <c r="AE525" s="24">
        <f t="shared" si="14"/>
        <v>229.448002289422</v>
      </c>
    </row>
    <row r="526" spans="12:31">
      <c r="L526" s="24">
        <v>7.89736845345436</v>
      </c>
      <c r="M526" s="25">
        <f>_xlfn.NORM.DIST(L526,L549,L550,TRUE)</f>
        <v>0.789245616751869</v>
      </c>
      <c r="N526" s="24">
        <f t="shared" si="13"/>
        <v>64.0173466779432</v>
      </c>
      <c r="AC526" s="24">
        <v>16.1456552972368</v>
      </c>
      <c r="AD526" s="27">
        <f>_xlfn.NORM.DIST(AC526,AC549,AC550,TRUE)</f>
        <v>0.81594732344095</v>
      </c>
      <c r="AE526" s="24">
        <f t="shared" si="14"/>
        <v>288.00872288034</v>
      </c>
    </row>
    <row r="527" spans="12:31">
      <c r="L527" s="24">
        <v>7.17443573553856</v>
      </c>
      <c r="M527" s="25">
        <f>_xlfn.NORM.DIST(L527,L549,L550,TRUE)</f>
        <v>0.767373738298071</v>
      </c>
      <c r="N527" s="24">
        <f t="shared" si="13"/>
        <v>53.4947202226747</v>
      </c>
      <c r="AC527" s="24">
        <v>15.2966595984405</v>
      </c>
      <c r="AD527" s="27">
        <f>_xlfn.NORM.DIST(AC527,AC549,AC550,TRUE)</f>
        <v>0.803087525360551</v>
      </c>
      <c r="AE527" s="24">
        <f t="shared" si="14"/>
        <v>261.570034154439</v>
      </c>
    </row>
    <row r="528" spans="12:31">
      <c r="L528" s="24">
        <v>5.24357801762275</v>
      </c>
      <c r="M528" s="25">
        <f>_xlfn.NORM.DIST(L528,L549,L550,TRUE)</f>
        <v>0.703225281855232</v>
      </c>
      <c r="N528" s="24">
        <f t="shared" si="13"/>
        <v>29.3146499380769</v>
      </c>
      <c r="AC528" s="24">
        <v>17.5576638996441</v>
      </c>
      <c r="AD528" s="27">
        <f>_xlfn.NORM.DIST(AC528,AC549,AC550,TRUE)</f>
        <v>0.836145621164757</v>
      </c>
      <c r="AE528" s="24">
        <f t="shared" si="14"/>
        <v>334.402484997794</v>
      </c>
    </row>
    <row r="529" spans="12:31">
      <c r="L529" s="24">
        <v>1.96505729970697</v>
      </c>
      <c r="M529" s="25">
        <f>_xlfn.NORM.DIST(L529,L549,L550,TRUE)</f>
        <v>0.579262285901579</v>
      </c>
      <c r="N529" s="24">
        <f t="shared" si="13"/>
        <v>3.3152992470395</v>
      </c>
      <c r="AC529" s="24">
        <v>14.2986632008478</v>
      </c>
      <c r="AD529" s="27">
        <f>_xlfn.NORM.DIST(AC529,AC549,AC550,TRUE)</f>
        <v>0.787294445636984</v>
      </c>
      <c r="AE529" s="24">
        <f t="shared" si="14"/>
        <v>231.879046843248</v>
      </c>
    </row>
    <row r="530" spans="12:31">
      <c r="L530" s="24">
        <v>3.24866158179115</v>
      </c>
      <c r="M530" s="25">
        <f>_xlfn.NORM.DIST(L530,L549,L550,TRUE)</f>
        <v>0.629547009405608</v>
      </c>
      <c r="N530" s="24">
        <f t="shared" si="13"/>
        <v>10.8963445791904</v>
      </c>
      <c r="AC530" s="24">
        <v>15.9796665020514</v>
      </c>
      <c r="AD530" s="27">
        <f>_xlfn.NORM.DIST(AC530,AC549,AC550,TRUE)</f>
        <v>0.813475073377428</v>
      </c>
      <c r="AE530" s="24">
        <f t="shared" si="14"/>
        <v>282.754038788432</v>
      </c>
    </row>
    <row r="531" spans="12:31">
      <c r="L531" s="24">
        <v>2.36600686387535</v>
      </c>
      <c r="M531" s="25">
        <f>_xlfn.NORM.DIST(L531,L549,L550,TRUE)</f>
        <v>0.595151081223291</v>
      </c>
      <c r="N531" s="24">
        <f t="shared" si="13"/>
        <v>5.26913300150031</v>
      </c>
      <c r="AC531" s="24">
        <v>15.600670803255</v>
      </c>
      <c r="AD531" s="27">
        <f>_xlfn.NORM.DIST(AC531,AC549,AC550,TRUE)</f>
        <v>0.807753662336403</v>
      </c>
      <c r="AE531" s="24">
        <f t="shared" si="14"/>
        <v>270.912293860882</v>
      </c>
    </row>
    <row r="532" spans="12:31">
      <c r="L532" s="24">
        <v>1.00416514595956</v>
      </c>
      <c r="M532" s="25">
        <f>_xlfn.NORM.DIST(L532,L549,L550,TRUE)</f>
        <v>0.54070321513676</v>
      </c>
      <c r="N532" s="24">
        <f t="shared" si="13"/>
        <v>0.397254825399308</v>
      </c>
      <c r="AC532" s="24">
        <v>19.5916861044587</v>
      </c>
      <c r="AD532" s="27">
        <f>_xlfn.NORM.DIST(AC532,AC549,AC550,TRUE)</f>
        <v>0.8626108121564</v>
      </c>
      <c r="AE532" s="24">
        <f t="shared" si="14"/>
        <v>406.647188235253</v>
      </c>
    </row>
    <row r="533" spans="12:31">
      <c r="L533" s="24">
        <v>0.0516324280437601</v>
      </c>
      <c r="M533" s="25">
        <f>_xlfn.NORM.DIST(L533,L549,L550,TRUE)</f>
        <v>0.502096523328537</v>
      </c>
      <c r="N533" s="24">
        <f t="shared" si="13"/>
        <v>0.404141219292923</v>
      </c>
      <c r="AC533" s="24">
        <v>18.2926774056624</v>
      </c>
      <c r="AD533" s="27">
        <f>_xlfn.NORM.DIST(AC533,AC549,AC550,TRUE)</f>
        <v>0.846067514106525</v>
      </c>
      <c r="AE533" s="24">
        <f t="shared" si="14"/>
        <v>359.763484158324</v>
      </c>
    </row>
    <row r="534" spans="12:31">
      <c r="L534" s="24">
        <v>-0.182150289872041</v>
      </c>
      <c r="M534" s="25">
        <f>_xlfn.NORM.DIST(L534,L549,L550,TRUE)</f>
        <v>0.49260421737147</v>
      </c>
      <c r="N534" s="24">
        <f t="shared" si="13"/>
        <v>0.924258520308402</v>
      </c>
      <c r="AC534" s="24">
        <v>12.933686706866</v>
      </c>
      <c r="AD534" s="27">
        <f>_xlfn.NORM.DIST(AC534,AC549,AC550,TRUE)</f>
        <v>0.764538814670006</v>
      </c>
      <c r="AE534" s="24">
        <f t="shared" si="14"/>
        <v>193.696065628868</v>
      </c>
    </row>
    <row r="535" spans="12:31">
      <c r="L535" s="24">
        <v>1.12141399221215</v>
      </c>
      <c r="M535" s="25">
        <f>_xlfn.NORM.DIST(L535,L549,L550,TRUE)</f>
        <v>0.545436299918095</v>
      </c>
      <c r="N535" s="24">
        <f t="shared" si="13"/>
        <v>0.608229232396529</v>
      </c>
      <c r="AC535" s="24">
        <v>9.52469300806973</v>
      </c>
      <c r="AD535" s="27">
        <f>_xlfn.NORM.DIST(AC535,AC549,AC550,TRUE)</f>
        <v>0.702272313078336</v>
      </c>
      <c r="AE535" s="24">
        <f t="shared" si="14"/>
        <v>110.833227324925</v>
      </c>
    </row>
    <row r="536" spans="12:31">
      <c r="L536" s="24">
        <v>-4.51304972570363</v>
      </c>
      <c r="M536" s="25">
        <f>_xlfn.NORM.DIST(L536,L549,L550,TRUE)</f>
        <v>0.322993139329812</v>
      </c>
      <c r="N536" s="24">
        <f t="shared" si="13"/>
        <v>72.4080723230466</v>
      </c>
      <c r="AC536" s="24">
        <v>3.94570130927337</v>
      </c>
      <c r="AD536" s="27">
        <f>_xlfn.NORM.DIST(AC536,AC549,AC550,TRUE)</f>
        <v>0.587045066988904</v>
      </c>
      <c r="AE536" s="24">
        <f t="shared" si="14"/>
        <v>19.2158530718897</v>
      </c>
    </row>
    <row r="537" spans="12:31">
      <c r="L537" s="24">
        <v>-0.643903443619436</v>
      </c>
      <c r="M537" s="25">
        <f>_xlfn.NORM.DIST(L537,L549,L550,TRUE)</f>
        <v>0.473873027252268</v>
      </c>
      <c r="N537" s="24">
        <f t="shared" si="13"/>
        <v>2.63662240089741</v>
      </c>
      <c r="AC537" s="24">
        <v>7.39670761047705</v>
      </c>
      <c r="AD537" s="27">
        <f>_xlfn.NORM.DIST(AC537,AC549,AC550,TRUE)</f>
        <v>0.659949082271936</v>
      </c>
      <c r="AE537" s="24">
        <f t="shared" si="14"/>
        <v>68.7688136652997</v>
      </c>
    </row>
    <row r="538" spans="12:31">
      <c r="L538" s="24">
        <v>-7.33653316153524</v>
      </c>
      <c r="M538" s="25">
        <f>_xlfn.NORM.DIST(L538,L549,L550,TRUE)</f>
        <v>0.227615162981712</v>
      </c>
      <c r="N538" s="24">
        <f t="shared" si="13"/>
        <v>251.37314722697</v>
      </c>
      <c r="AC538" s="24">
        <v>7.75770291168066</v>
      </c>
      <c r="AD538" s="27">
        <f>_xlfn.NORM.DIST(AC538,AC549,AC550,TRUE)</f>
        <v>0.667291933564969</v>
      </c>
      <c r="AE538" s="24">
        <f t="shared" si="14"/>
        <v>75.3402301298593</v>
      </c>
    </row>
    <row r="539" spans="12:31">
      <c r="L539" s="24">
        <v>-7.67014687945105</v>
      </c>
      <c r="M539" s="25">
        <f>_xlfn.NORM.DIST(L539,L549,L550,TRUE)</f>
        <v>0.217495516007475</v>
      </c>
      <c r="N539" s="24">
        <f t="shared" si="13"/>
        <v>286.051426257893</v>
      </c>
      <c r="AC539" s="24">
        <v>16.4287112128843</v>
      </c>
      <c r="AD539" s="27">
        <f>_xlfn.NORM.DIST(AC539,AC549,AC550,TRUE)</f>
        <v>0.820115867076439</v>
      </c>
      <c r="AE539" s="24">
        <f t="shared" si="14"/>
        <v>297.065644562718</v>
      </c>
    </row>
    <row r="540" spans="12:31">
      <c r="L540" s="24">
        <v>-6.24677859736685</v>
      </c>
      <c r="M540" s="25">
        <f>_xlfn.NORM.DIST(L540,L549,L550,TRUE)</f>
        <v>0.262451163439017</v>
      </c>
      <c r="N540" s="24">
        <f t="shared" si="13"/>
        <v>161.439833315145</v>
      </c>
      <c r="AC540" s="24">
        <v>22.0397215140879</v>
      </c>
      <c r="AD540" s="27">
        <f>_xlfn.NORM.DIST(AC540,AC549,AC550,TRUE)</f>
        <v>0.890386934472381</v>
      </c>
      <c r="AE540" s="24">
        <f t="shared" si="14"/>
        <v>502.359520162518</v>
      </c>
    </row>
    <row r="541" spans="12:31">
      <c r="L541" s="24">
        <v>-1.98831231528265</v>
      </c>
      <c r="M541" s="25">
        <f>_xlfn.NORM.DIST(L541,L549,L550,TRUE)</f>
        <v>0.419812363898182</v>
      </c>
      <c r="N541" s="24">
        <f t="shared" si="13"/>
        <v>13.8134675611561</v>
      </c>
      <c r="AC541" s="24">
        <v>21.7507228152916</v>
      </c>
      <c r="AD541" s="27">
        <f>_xlfn.NORM.DIST(AC541,AC549,AC550,TRUE)</f>
        <v>0.887335360378824</v>
      </c>
      <c r="AE541" s="24">
        <f t="shared" si="14"/>
        <v>490.548394135877</v>
      </c>
    </row>
    <row r="542" spans="12:31">
      <c r="L542" s="24">
        <v>1.84090096680154</v>
      </c>
      <c r="M542" s="25">
        <f>_xlfn.NORM.DIST(L542,L549,L550,TRUE)</f>
        <v>0.574314636209579</v>
      </c>
      <c r="N542" s="24">
        <f t="shared" si="13"/>
        <v>2.79331368503899</v>
      </c>
      <c r="AC542" s="24">
        <v>26.1317221164952</v>
      </c>
      <c r="AD542" s="27">
        <f>_xlfn.NORM.DIST(AC542,AC549,AC550,TRUE)</f>
        <v>0.927399585845783</v>
      </c>
      <c r="AE542" s="24">
        <f t="shared" si="14"/>
        <v>684.988309165192</v>
      </c>
    </row>
    <row r="543" spans="12:31">
      <c r="L543" s="24">
        <v>1.46214424888576</v>
      </c>
      <c r="M543" s="25">
        <f>_xlfn.NORM.DIST(L543,L549,L550,TRUE)</f>
        <v>0.559151895832214</v>
      </c>
      <c r="N543" s="24">
        <f t="shared" si="13"/>
        <v>1.45827134943285</v>
      </c>
      <c r="AC543" s="24">
        <v>27.1327314176989</v>
      </c>
      <c r="AD543" s="27">
        <f>_xlfn.NORM.DIST(AC543,AC549,AC550,TRUE)</f>
        <v>0.934795968257868</v>
      </c>
      <c r="AE543" s="24">
        <f t="shared" si="14"/>
        <v>734.204944306897</v>
      </c>
    </row>
    <row r="544" spans="12:31">
      <c r="L544" s="24">
        <v>-1.15161946903006</v>
      </c>
      <c r="M544" s="25">
        <f>_xlfn.NORM.DIST(L544,L549,L550,TRUE)</f>
        <v>0.453345386681252</v>
      </c>
      <c r="N544" s="24">
        <f t="shared" si="13"/>
        <v>5.68200816363344</v>
      </c>
      <c r="AC544" s="30">
        <v>39.8637317189025</v>
      </c>
      <c r="AD544" s="27">
        <f>_xlfn.NORM.DIST(AC544,AC549,AC550,TRUE)</f>
        <v>0.98686426552119</v>
      </c>
      <c r="AE544" s="24">
        <f t="shared" si="14"/>
        <v>1531.52857570495</v>
      </c>
    </row>
    <row r="545" spans="12:31">
      <c r="L545" s="24">
        <v>-1.74538118694584</v>
      </c>
      <c r="M545" s="25">
        <f>_xlfn.NORM.DIST(L545,L549,L550,TRUE)</f>
        <v>0.429499865029781</v>
      </c>
      <c r="N545" s="24">
        <f t="shared" si="13"/>
        <v>11.0130595498897</v>
      </c>
      <c r="AC545" s="30">
        <v>44.8647360201062</v>
      </c>
      <c r="AD545" s="27">
        <f>_xlfn.NORM.DIST(AC545,AC549,AC550,TRUE)</f>
        <v>0.993807012028509</v>
      </c>
      <c r="AE545" s="24">
        <f t="shared" si="14"/>
        <v>1936.65207503746</v>
      </c>
    </row>
    <row r="546" spans="12:31">
      <c r="L546" s="24">
        <v>1.53085709513834</v>
      </c>
      <c r="M546" s="25">
        <f>_xlfn.NORM.DIST(L546,L549,L550,TRUE)</f>
        <v>0.561909794856153</v>
      </c>
      <c r="N546" s="24">
        <f t="shared" si="13"/>
        <v>1.67083556705838</v>
      </c>
      <c r="AC546" s="30">
        <v>42.1857403213098</v>
      </c>
      <c r="AD546" s="27">
        <f>_xlfn.NORM.DIST(AC546,AC549,AC550,TRUE)</f>
        <v>0.990653916784928</v>
      </c>
      <c r="AE546" s="30">
        <f t="shared" si="14"/>
        <v>1713.04540881828</v>
      </c>
    </row>
    <row r="547" spans="12:31">
      <c r="L547" s="24">
        <v>1.00709537722254</v>
      </c>
      <c r="M547" s="25">
        <f>_xlfn.NORM.DIST(L547,L549,L550,TRUE)</f>
        <v>0.540821575451123</v>
      </c>
      <c r="N547" s="24">
        <f t="shared" si="13"/>
        <v>0.402001821094171</v>
      </c>
      <c r="AC547" s="30">
        <v>40.1467446225135</v>
      </c>
      <c r="AD547" s="27">
        <f>_xlfn.NORM.DIST(AC547,AC549,AC550,TRUE)</f>
        <v>0.98738789207539</v>
      </c>
      <c r="AE547" s="24">
        <f t="shared" si="14"/>
        <v>1553.04235736428</v>
      </c>
    </row>
    <row r="548" spans="12:31">
      <c r="L548" s="24">
        <v>0.813333659306749</v>
      </c>
      <c r="M548" s="25">
        <f>_xlfn.NORM.DIST(L548,L549,L550,TRUE)</f>
        <v>0.532987704167644</v>
      </c>
      <c r="N548" s="24">
        <f t="shared" si="13"/>
        <v>0.147459038826412</v>
      </c>
      <c r="AC548" s="30">
        <v>44.4577489237171</v>
      </c>
      <c r="AD548" s="27">
        <f>_xlfn.NORM.DIST(AC548,AC549,AC550,TRUE)</f>
        <v>0.993398854642075</v>
      </c>
      <c r="AE548" s="24">
        <f t="shared" si="14"/>
        <v>1901.70314582028</v>
      </c>
    </row>
    <row r="549" spans="11:31">
      <c r="K549" s="5" t="s">
        <v>98</v>
      </c>
      <c r="L549" s="5">
        <f>AVERAGE(L292:L548)</f>
        <v>5.21575865074582e-14</v>
      </c>
      <c r="M549" s="28" t="s">
        <v>99</v>
      </c>
      <c r="N549" s="5">
        <f>SUM(N292:N548)</f>
        <v>328223.002610262</v>
      </c>
      <c r="AB549" t="s">
        <v>98</v>
      </c>
      <c r="AC549" s="5">
        <f>AVERAGE(AC292:AC548)</f>
        <v>3.45041764291286e-14</v>
      </c>
      <c r="AD549" s="5" t="s">
        <v>99</v>
      </c>
      <c r="AE549" s="5">
        <f>SUM(AE292:AE548)</f>
        <v>5480423.93447921</v>
      </c>
    </row>
    <row r="550" ht="30" spans="11:31">
      <c r="K550" s="5" t="s">
        <v>100</v>
      </c>
      <c r="L550" s="5">
        <f>_xlfn.STDEV.P(L292:L548)</f>
        <v>9.8249628297239</v>
      </c>
      <c r="M550" s="29" t="s">
        <v>101</v>
      </c>
      <c r="N550" s="5">
        <f>1-_xlfn.CHISQ.DIST(N549,L551,TRUE)</f>
        <v>0</v>
      </c>
      <c r="AB550" t="s">
        <v>100</v>
      </c>
      <c r="AC550" s="5">
        <f>_xlfn.STDEV.P(AC292:AC548)</f>
        <v>17.9390590056442</v>
      </c>
      <c r="AD550" s="29" t="s">
        <v>101</v>
      </c>
      <c r="AE550" s="5">
        <f>1-_xlfn.CHISQ.DIST(AE549,AC551,TRUE)</f>
        <v>0</v>
      </c>
    </row>
    <row r="551" spans="11:31">
      <c r="K551" s="5" t="s">
        <v>102</v>
      </c>
      <c r="L551" s="5">
        <f>COUNT(L292:L548)-1</f>
        <v>256</v>
      </c>
      <c r="M551" s="5"/>
      <c r="N551" s="5"/>
      <c r="AB551" t="s">
        <v>102</v>
      </c>
      <c r="AC551" s="5">
        <f>COUNT(AC292:AC548)-1</f>
        <v>256</v>
      </c>
      <c r="AD551" s="5"/>
      <c r="AE551" s="5"/>
    </row>
    <row r="553" spans="10:30">
      <c r="J553" t="s">
        <v>103</v>
      </c>
      <c r="AB553" s="5" t="s">
        <v>103</v>
      </c>
      <c r="AD553" s="5"/>
    </row>
  </sheetData>
  <mergeCells count="5">
    <mergeCell ref="E261:F261"/>
    <mergeCell ref="E262:F262"/>
    <mergeCell ref="L290:N290"/>
    <mergeCell ref="AC290:AE290"/>
    <mergeCell ref="D261:D262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4"/>
  <sheetViews>
    <sheetView workbookViewId="0">
      <selection activeCell="A1" sqref="A1"/>
    </sheetView>
  </sheetViews>
  <sheetFormatPr defaultColWidth="9" defaultRowHeight="15.6" outlineLevelCol="2"/>
  <sheetData>
    <row r="1" spans="1:3">
      <c r="A1">
        <v>1</v>
      </c>
      <c r="B1">
        <v>7.90655762999585</v>
      </c>
      <c r="C1">
        <v>0</v>
      </c>
    </row>
    <row r="2" spans="1:3">
      <c r="A2">
        <v>2</v>
      </c>
      <c r="B2">
        <v>8.16929169722665</v>
      </c>
      <c r="C2">
        <v>0</v>
      </c>
    </row>
    <row r="3" spans="1:3">
      <c r="A3">
        <v>3</v>
      </c>
      <c r="B3">
        <v>7.86656576445744</v>
      </c>
      <c r="C3">
        <v>0</v>
      </c>
    </row>
    <row r="4" spans="1:3">
      <c r="A4">
        <v>4</v>
      </c>
      <c r="B4">
        <v>8.23992583168824</v>
      </c>
      <c r="C4">
        <v>0</v>
      </c>
    </row>
    <row r="5" spans="1:3">
      <c r="A5">
        <v>5</v>
      </c>
      <c r="B5">
        <v>7.54632189891902</v>
      </c>
      <c r="C5">
        <v>0</v>
      </c>
    </row>
    <row r="6" spans="1:3">
      <c r="A6">
        <v>6</v>
      </c>
      <c r="B6">
        <v>8.06966096614982</v>
      </c>
      <c r="C6">
        <v>0</v>
      </c>
    </row>
    <row r="7" spans="1:3">
      <c r="A7">
        <v>7</v>
      </c>
      <c r="B7">
        <v>8.15537003338061</v>
      </c>
      <c r="C7">
        <v>0</v>
      </c>
    </row>
    <row r="8" spans="1:3">
      <c r="A8">
        <v>8</v>
      </c>
      <c r="B8">
        <v>7.7125301006114</v>
      </c>
      <c r="C8">
        <v>0</v>
      </c>
    </row>
    <row r="9" spans="1:3">
      <c r="A9">
        <v>9</v>
      </c>
      <c r="B9">
        <v>6.70668616784219</v>
      </c>
      <c r="C9">
        <v>0</v>
      </c>
    </row>
    <row r="10" spans="1:3">
      <c r="A10">
        <v>10</v>
      </c>
      <c r="B10">
        <v>6.172865235073</v>
      </c>
      <c r="C10">
        <v>0</v>
      </c>
    </row>
    <row r="11" spans="1:3">
      <c r="A11">
        <v>11</v>
      </c>
      <c r="B11">
        <v>5.87261130230378</v>
      </c>
      <c r="C11">
        <v>0</v>
      </c>
    </row>
    <row r="12" spans="1:3">
      <c r="A12">
        <v>12</v>
      </c>
      <c r="B12">
        <v>6.75733936953458</v>
      </c>
      <c r="C12">
        <v>0</v>
      </c>
    </row>
    <row r="13" spans="1:3">
      <c r="A13">
        <v>13</v>
      </c>
      <c r="B13">
        <v>6.00227343676537</v>
      </c>
      <c r="C13">
        <v>0</v>
      </c>
    </row>
    <row r="14" spans="1:3">
      <c r="A14">
        <v>14</v>
      </c>
      <c r="B14">
        <v>6.63131050399616</v>
      </c>
      <c r="C14">
        <v>0</v>
      </c>
    </row>
    <row r="15" spans="1:3">
      <c r="A15">
        <v>15</v>
      </c>
      <c r="B15">
        <v>6.24254757122696</v>
      </c>
      <c r="C15">
        <v>0</v>
      </c>
    </row>
    <row r="16" spans="1:3">
      <c r="A16">
        <v>16</v>
      </c>
      <c r="B16">
        <v>5.23916063845775</v>
      </c>
      <c r="C16">
        <v>0</v>
      </c>
    </row>
    <row r="17" spans="1:3">
      <c r="A17">
        <v>17</v>
      </c>
      <c r="B17">
        <v>3.83752270568854</v>
      </c>
      <c r="C17">
        <v>0</v>
      </c>
    </row>
    <row r="18" spans="1:3">
      <c r="A18">
        <v>18</v>
      </c>
      <c r="B18">
        <v>4.15678677291933</v>
      </c>
      <c r="C18">
        <v>0</v>
      </c>
    </row>
    <row r="19" spans="1:3">
      <c r="A19">
        <v>19</v>
      </c>
      <c r="B19">
        <v>4.85712684015012</v>
      </c>
      <c r="C19">
        <v>0</v>
      </c>
    </row>
    <row r="20" spans="1:3">
      <c r="A20">
        <v>20</v>
      </c>
      <c r="B20">
        <v>5.87459890738091</v>
      </c>
      <c r="C20">
        <v>0</v>
      </c>
    </row>
    <row r="21" spans="1:3">
      <c r="A21">
        <v>21</v>
      </c>
      <c r="B21">
        <v>4.69913897461171</v>
      </c>
      <c r="C21">
        <v>0</v>
      </c>
    </row>
    <row r="22" spans="1:3">
      <c r="A22">
        <v>22</v>
      </c>
      <c r="B22">
        <v>4.8389400418425</v>
      </c>
      <c r="C22">
        <v>0</v>
      </c>
    </row>
    <row r="23" spans="1:3">
      <c r="A23">
        <v>23</v>
      </c>
      <c r="B23">
        <v>5.1582151090733</v>
      </c>
      <c r="C23">
        <v>0</v>
      </c>
    </row>
    <row r="24" spans="1:3">
      <c r="A24">
        <v>24</v>
      </c>
      <c r="B24">
        <v>5.08413417630408</v>
      </c>
      <c r="C24">
        <v>0</v>
      </c>
    </row>
    <row r="25" spans="1:3">
      <c r="A25">
        <v>25</v>
      </c>
      <c r="B25">
        <v>5.74761024353488</v>
      </c>
      <c r="C25">
        <v>0</v>
      </c>
    </row>
    <row r="26" spans="1:3">
      <c r="A26">
        <v>26</v>
      </c>
      <c r="B26">
        <v>6.66182531076567</v>
      </c>
      <c r="C26">
        <v>0</v>
      </c>
    </row>
    <row r="27" spans="1:3">
      <c r="A27">
        <v>27</v>
      </c>
      <c r="B27">
        <v>6.55332837799646</v>
      </c>
      <c r="C27">
        <v>0</v>
      </c>
    </row>
    <row r="28" spans="1:3">
      <c r="A28">
        <v>28</v>
      </c>
      <c r="B28">
        <v>6.14489644522726</v>
      </c>
      <c r="C28">
        <v>0</v>
      </c>
    </row>
    <row r="29" spans="1:3">
      <c r="A29">
        <v>29</v>
      </c>
      <c r="B29">
        <v>5.97001651245805</v>
      </c>
      <c r="C29">
        <v>0</v>
      </c>
    </row>
    <row r="30" spans="1:3">
      <c r="A30">
        <v>30</v>
      </c>
      <c r="B30">
        <v>5.58372557968885</v>
      </c>
      <c r="C30">
        <v>0</v>
      </c>
    </row>
    <row r="31" spans="1:3">
      <c r="A31">
        <v>31</v>
      </c>
      <c r="B31">
        <v>6.46106764691964</v>
      </c>
      <c r="C31">
        <v>0</v>
      </c>
    </row>
    <row r="32" spans="1:3">
      <c r="A32">
        <v>32</v>
      </c>
      <c r="B32">
        <v>6.28373071415044</v>
      </c>
      <c r="C32">
        <v>0</v>
      </c>
    </row>
    <row r="33" spans="1:3">
      <c r="A33">
        <v>33</v>
      </c>
      <c r="B33">
        <v>7.42659178138123</v>
      </c>
      <c r="C33">
        <v>0</v>
      </c>
    </row>
    <row r="34" spans="1:3">
      <c r="A34">
        <v>34</v>
      </c>
      <c r="B34">
        <v>7.15583984861202</v>
      </c>
      <c r="C34">
        <v>0</v>
      </c>
    </row>
    <row r="35" spans="1:3">
      <c r="A35">
        <v>35</v>
      </c>
      <c r="B35">
        <v>7.33498591584281</v>
      </c>
      <c r="C35">
        <v>0</v>
      </c>
    </row>
    <row r="36" spans="1:3">
      <c r="A36">
        <v>36</v>
      </c>
      <c r="B36">
        <v>7.61492398307361</v>
      </c>
      <c r="C36">
        <v>0</v>
      </c>
    </row>
    <row r="37" spans="1:3">
      <c r="A37">
        <v>37</v>
      </c>
      <c r="B37">
        <v>9.01839005030439</v>
      </c>
      <c r="C37">
        <v>0</v>
      </c>
    </row>
    <row r="38" spans="1:3">
      <c r="A38">
        <v>38</v>
      </c>
      <c r="B38">
        <v>8.05678911753519</v>
      </c>
      <c r="C38">
        <v>0</v>
      </c>
    </row>
    <row r="39" spans="1:3">
      <c r="A39">
        <v>39</v>
      </c>
      <c r="B39">
        <v>8.39574118476598</v>
      </c>
      <c r="C39">
        <v>0</v>
      </c>
    </row>
    <row r="40" spans="1:3">
      <c r="A40">
        <v>40</v>
      </c>
      <c r="B40">
        <v>7.80539425199679</v>
      </c>
      <c r="C40">
        <v>0</v>
      </c>
    </row>
    <row r="41" spans="1:3">
      <c r="A41">
        <v>41</v>
      </c>
      <c r="B41">
        <v>8.74173531922757</v>
      </c>
      <c r="C41">
        <v>0</v>
      </c>
    </row>
    <row r="42" spans="1:3">
      <c r="A42">
        <v>42</v>
      </c>
      <c r="B42">
        <v>10.0812813864584</v>
      </c>
      <c r="C42">
        <v>0</v>
      </c>
    </row>
    <row r="43" spans="1:3">
      <c r="A43">
        <v>43</v>
      </c>
      <c r="B43">
        <v>10.0096494536891</v>
      </c>
      <c r="C43">
        <v>0</v>
      </c>
    </row>
    <row r="44" spans="1:3">
      <c r="A44">
        <v>44</v>
      </c>
      <c r="B44">
        <v>11.3958955209199</v>
      </c>
      <c r="C44">
        <v>0</v>
      </c>
    </row>
    <row r="45" spans="1:3">
      <c r="A45">
        <v>45</v>
      </c>
      <c r="B45">
        <v>10.0999675881507</v>
      </c>
      <c r="C45">
        <v>0</v>
      </c>
    </row>
    <row r="46" spans="1:3">
      <c r="A46">
        <v>46</v>
      </c>
      <c r="B46">
        <v>9.52681665538152</v>
      </c>
      <c r="C46">
        <v>0</v>
      </c>
    </row>
    <row r="47" spans="1:3">
      <c r="A47">
        <v>47</v>
      </c>
      <c r="B47">
        <v>10.2419127226123</v>
      </c>
      <c r="C47">
        <v>0</v>
      </c>
    </row>
    <row r="48" spans="1:3">
      <c r="A48">
        <v>48</v>
      </c>
      <c r="B48">
        <v>10.8562017898431</v>
      </c>
      <c r="C48">
        <v>0</v>
      </c>
    </row>
    <row r="49" spans="1:3">
      <c r="A49">
        <v>49</v>
      </c>
      <c r="B49">
        <v>10.0814598570739</v>
      </c>
      <c r="C49">
        <v>0</v>
      </c>
    </row>
    <row r="50" spans="1:3">
      <c r="A50">
        <v>50</v>
      </c>
      <c r="B50">
        <v>10.1155559243047</v>
      </c>
      <c r="C50">
        <v>0</v>
      </c>
    </row>
    <row r="51" spans="1:3">
      <c r="A51">
        <v>51</v>
      </c>
      <c r="B51">
        <v>10.2479879915355</v>
      </c>
      <c r="C51">
        <v>0</v>
      </c>
    </row>
    <row r="52" spans="1:3">
      <c r="A52">
        <v>52</v>
      </c>
      <c r="B52">
        <v>9.77809405876628</v>
      </c>
      <c r="C52">
        <v>0</v>
      </c>
    </row>
    <row r="53" spans="1:3">
      <c r="A53">
        <v>53</v>
      </c>
      <c r="B53">
        <v>7.23325612599707</v>
      </c>
      <c r="C53">
        <v>0</v>
      </c>
    </row>
    <row r="54" spans="1:3">
      <c r="A54">
        <v>54</v>
      </c>
      <c r="B54">
        <v>9.13824019322789</v>
      </c>
      <c r="C54">
        <v>0</v>
      </c>
    </row>
    <row r="55" spans="1:3">
      <c r="A55">
        <v>55</v>
      </c>
      <c r="B55">
        <v>10.5294152604587</v>
      </c>
      <c r="C55">
        <v>0</v>
      </c>
    </row>
    <row r="56" spans="1:3">
      <c r="A56">
        <v>56</v>
      </c>
      <c r="B56">
        <v>10.1701393276895</v>
      </c>
      <c r="C56">
        <v>0</v>
      </c>
    </row>
    <row r="57" spans="1:3">
      <c r="A57">
        <v>57</v>
      </c>
      <c r="B57">
        <v>6.39608439492025</v>
      </c>
      <c r="C57">
        <v>0</v>
      </c>
    </row>
    <row r="58" spans="1:3">
      <c r="A58">
        <v>58</v>
      </c>
      <c r="B58">
        <v>5.94339446215105</v>
      </c>
      <c r="C58">
        <v>0</v>
      </c>
    </row>
    <row r="59" spans="1:3">
      <c r="A59">
        <v>59</v>
      </c>
      <c r="B59">
        <v>8.20486252938184</v>
      </c>
      <c r="C59">
        <v>0</v>
      </c>
    </row>
    <row r="60" spans="1:3">
      <c r="A60">
        <v>60</v>
      </c>
      <c r="B60">
        <v>8.60035559661263</v>
      </c>
      <c r="C60">
        <v>0</v>
      </c>
    </row>
    <row r="61" spans="1:3">
      <c r="A61">
        <v>61</v>
      </c>
      <c r="B61">
        <v>9.28101266384343</v>
      </c>
      <c r="C61">
        <v>0</v>
      </c>
    </row>
    <row r="62" spans="1:3">
      <c r="A62">
        <v>62</v>
      </c>
      <c r="B62">
        <v>7.95054573107421</v>
      </c>
      <c r="C62">
        <v>0</v>
      </c>
    </row>
    <row r="63" spans="1:3">
      <c r="A63">
        <v>63</v>
      </c>
      <c r="B63">
        <v>8.081405798305</v>
      </c>
      <c r="C63">
        <v>0</v>
      </c>
    </row>
    <row r="64" spans="1:3">
      <c r="A64">
        <v>64</v>
      </c>
      <c r="B64">
        <v>7.35961886553581</v>
      </c>
      <c r="C64">
        <v>0</v>
      </c>
    </row>
    <row r="65" spans="1:3">
      <c r="A65">
        <v>65</v>
      </c>
      <c r="B65">
        <v>8.98631293276661</v>
      </c>
      <c r="C65">
        <v>0</v>
      </c>
    </row>
    <row r="66" spans="1:3">
      <c r="A66">
        <v>66</v>
      </c>
      <c r="B66">
        <v>8.16841199999739</v>
      </c>
      <c r="C66">
        <v>0</v>
      </c>
    </row>
    <row r="67" spans="1:3">
      <c r="A67">
        <v>67</v>
      </c>
      <c r="B67">
        <v>7.94442106722818</v>
      </c>
      <c r="C67">
        <v>0</v>
      </c>
    </row>
    <row r="68" spans="1:3">
      <c r="A68">
        <v>68</v>
      </c>
      <c r="B68">
        <v>6.23444513445898</v>
      </c>
      <c r="C68">
        <v>0</v>
      </c>
    </row>
    <row r="69" spans="1:3">
      <c r="A69">
        <v>69</v>
      </c>
      <c r="B69">
        <v>7.12923620168976</v>
      </c>
      <c r="C69">
        <v>0</v>
      </c>
    </row>
    <row r="70" spans="1:3">
      <c r="A70">
        <v>70</v>
      </c>
      <c r="B70">
        <v>6.06738526892055</v>
      </c>
      <c r="C70">
        <v>0</v>
      </c>
    </row>
    <row r="71" spans="1:3">
      <c r="A71">
        <v>71</v>
      </c>
      <c r="B71">
        <v>4.03705133615135</v>
      </c>
      <c r="C71">
        <v>0</v>
      </c>
    </row>
    <row r="72" spans="1:3">
      <c r="A72">
        <v>72</v>
      </c>
      <c r="B72">
        <v>0.128917403382147</v>
      </c>
      <c r="C72">
        <v>0</v>
      </c>
    </row>
    <row r="73" spans="1:3">
      <c r="A73">
        <v>73</v>
      </c>
      <c r="B73">
        <v>-2.60374052938705</v>
      </c>
      <c r="C73">
        <v>0</v>
      </c>
    </row>
    <row r="74" spans="1:3">
      <c r="A74">
        <v>74</v>
      </c>
      <c r="B74">
        <v>-1.72126346215627</v>
      </c>
      <c r="C74">
        <v>0</v>
      </c>
    </row>
    <row r="75" spans="1:3">
      <c r="A75">
        <v>75</v>
      </c>
      <c r="B75">
        <v>-6.67918639492547</v>
      </c>
      <c r="C75">
        <v>0</v>
      </c>
    </row>
    <row r="76" spans="1:3">
      <c r="A76">
        <v>76</v>
      </c>
      <c r="B76">
        <v>-6.96232832769469</v>
      </c>
      <c r="C76">
        <v>0</v>
      </c>
    </row>
    <row r="77" spans="1:3">
      <c r="A77">
        <v>77</v>
      </c>
      <c r="B77">
        <v>-0.934396260463885</v>
      </c>
      <c r="C77">
        <v>0</v>
      </c>
    </row>
    <row r="78" spans="1:3">
      <c r="A78">
        <v>78</v>
      </c>
      <c r="B78">
        <v>-3.5167251932331</v>
      </c>
      <c r="C78">
        <v>0</v>
      </c>
    </row>
    <row r="79" spans="1:3">
      <c r="A79">
        <v>79</v>
      </c>
      <c r="B79">
        <v>-0.453355126002293</v>
      </c>
      <c r="C79">
        <v>0</v>
      </c>
    </row>
    <row r="80" spans="1:3">
      <c r="A80">
        <v>80</v>
      </c>
      <c r="B80">
        <v>-3.11700505877151</v>
      </c>
      <c r="C80">
        <v>0</v>
      </c>
    </row>
    <row r="81" spans="1:3">
      <c r="A81">
        <v>81</v>
      </c>
      <c r="B81">
        <v>-4.31933599154073</v>
      </c>
      <c r="C81">
        <v>0</v>
      </c>
    </row>
    <row r="82" spans="1:3">
      <c r="A82">
        <v>82</v>
      </c>
      <c r="B82">
        <v>-10.1964259243099</v>
      </c>
      <c r="C82">
        <v>0</v>
      </c>
    </row>
    <row r="83" spans="1:3">
      <c r="A83">
        <v>83</v>
      </c>
      <c r="B83">
        <v>-5.71607885707914</v>
      </c>
      <c r="C83">
        <v>0</v>
      </c>
    </row>
    <row r="84" spans="1:3">
      <c r="A84">
        <v>84</v>
      </c>
      <c r="B84">
        <v>-8.40191478984833</v>
      </c>
      <c r="C84">
        <v>0</v>
      </c>
    </row>
    <row r="85" spans="1:3">
      <c r="A85">
        <v>85</v>
      </c>
      <c r="B85">
        <v>-15.3485317226176</v>
      </c>
      <c r="C85">
        <v>0</v>
      </c>
    </row>
    <row r="86" spans="1:3">
      <c r="A86">
        <v>86</v>
      </c>
      <c r="B86">
        <v>-8.26341065538675</v>
      </c>
      <c r="C86">
        <v>0</v>
      </c>
    </row>
    <row r="87" spans="1:3">
      <c r="A87">
        <v>87</v>
      </c>
      <c r="B87">
        <v>-17.319466588156</v>
      </c>
      <c r="C87">
        <v>0</v>
      </c>
    </row>
    <row r="88" spans="1:3">
      <c r="A88">
        <v>88</v>
      </c>
      <c r="B88">
        <v>-14.9387025209252</v>
      </c>
      <c r="C88">
        <v>0</v>
      </c>
    </row>
    <row r="89" spans="1:3">
      <c r="A89">
        <v>89</v>
      </c>
      <c r="B89">
        <v>-16.7078134536944</v>
      </c>
      <c r="C89">
        <v>0</v>
      </c>
    </row>
    <row r="90" spans="1:3">
      <c r="A90">
        <v>90</v>
      </c>
      <c r="B90">
        <v>-17.4172813864636</v>
      </c>
      <c r="C90">
        <v>0</v>
      </c>
    </row>
    <row r="91" spans="1:3">
      <c r="A91">
        <v>91</v>
      </c>
      <c r="B91">
        <v>-21.4905163192328</v>
      </c>
      <c r="C91">
        <v>0</v>
      </c>
    </row>
    <row r="92" spans="1:3">
      <c r="A92">
        <v>92</v>
      </c>
      <c r="B92">
        <v>-22.934344252002</v>
      </c>
      <c r="C92">
        <v>0</v>
      </c>
    </row>
    <row r="93" spans="1:3">
      <c r="A93">
        <v>93</v>
      </c>
      <c r="B93">
        <v>-17.6309151847712</v>
      </c>
      <c r="C93">
        <v>0</v>
      </c>
    </row>
    <row r="94" spans="1:3">
      <c r="A94">
        <v>94</v>
      </c>
      <c r="B94">
        <v>-18.2097721175404</v>
      </c>
      <c r="C94">
        <v>0</v>
      </c>
    </row>
    <row r="95" spans="1:3">
      <c r="A95">
        <v>95</v>
      </c>
      <c r="B95">
        <v>-15.2696090503096</v>
      </c>
      <c r="C95">
        <v>0</v>
      </c>
    </row>
    <row r="96" spans="1:3">
      <c r="A96">
        <v>96</v>
      </c>
      <c r="B96">
        <v>-18.1501209830788</v>
      </c>
      <c r="C96">
        <v>0</v>
      </c>
    </row>
    <row r="97" spans="1:3">
      <c r="A97">
        <v>97</v>
      </c>
      <c r="B97">
        <v>-16.651577915848</v>
      </c>
      <c r="C97">
        <v>0</v>
      </c>
    </row>
    <row r="98" spans="1:3">
      <c r="A98">
        <v>98</v>
      </c>
      <c r="B98">
        <v>-17.0234338486172</v>
      </c>
      <c r="C98">
        <v>0</v>
      </c>
    </row>
    <row r="99" spans="1:3">
      <c r="A99">
        <v>99</v>
      </c>
      <c r="B99">
        <v>-20.5643797813864</v>
      </c>
      <c r="C99">
        <v>0</v>
      </c>
    </row>
    <row r="100" spans="1:3">
      <c r="A100">
        <v>100</v>
      </c>
      <c r="B100">
        <v>-19.8174467141557</v>
      </c>
      <c r="C100">
        <v>0</v>
      </c>
    </row>
    <row r="101" spans="1:3">
      <c r="A101">
        <v>101</v>
      </c>
      <c r="B101">
        <v>-20.9285876469249</v>
      </c>
      <c r="C101">
        <v>0</v>
      </c>
    </row>
    <row r="102" spans="1:3">
      <c r="A102">
        <v>102</v>
      </c>
      <c r="B102">
        <v>-15.9824885796941</v>
      </c>
      <c r="C102">
        <v>0</v>
      </c>
    </row>
    <row r="103" spans="1:3">
      <c r="A103">
        <v>103</v>
      </c>
      <c r="B103">
        <v>-16.9753505124633</v>
      </c>
      <c r="C103">
        <v>0</v>
      </c>
    </row>
    <row r="104" spans="1:3">
      <c r="A104">
        <v>104</v>
      </c>
      <c r="B104">
        <v>-15.5827614452325</v>
      </c>
      <c r="C104">
        <v>0</v>
      </c>
    </row>
    <row r="105" spans="1:3">
      <c r="A105">
        <v>105</v>
      </c>
      <c r="B105">
        <v>-15.3533293780017</v>
      </c>
      <c r="C105">
        <v>0</v>
      </c>
    </row>
    <row r="106" spans="1:3">
      <c r="A106">
        <v>106</v>
      </c>
      <c r="B106">
        <v>-14.3008153107709</v>
      </c>
      <c r="C106">
        <v>0</v>
      </c>
    </row>
    <row r="107" spans="1:3">
      <c r="A107">
        <v>107</v>
      </c>
      <c r="B107">
        <v>-11.1438022435401</v>
      </c>
      <c r="C107">
        <v>0</v>
      </c>
    </row>
    <row r="108" spans="1:3">
      <c r="A108">
        <v>108</v>
      </c>
      <c r="B108">
        <v>-12.0331601763093</v>
      </c>
      <c r="C108">
        <v>0</v>
      </c>
    </row>
    <row r="109" spans="1:3">
      <c r="A109">
        <v>109</v>
      </c>
      <c r="B109">
        <v>-11.7199431090785</v>
      </c>
      <c r="C109">
        <v>0</v>
      </c>
    </row>
    <row r="110" spans="1:3">
      <c r="A110">
        <v>110</v>
      </c>
      <c r="B110">
        <v>-12.9222740418477</v>
      </c>
      <c r="C110">
        <v>0</v>
      </c>
    </row>
    <row r="111" spans="1:3">
      <c r="A111">
        <v>111</v>
      </c>
      <c r="B111">
        <v>-14.6125279746169</v>
      </c>
      <c r="C111">
        <v>0</v>
      </c>
    </row>
    <row r="112" spans="1:3">
      <c r="A112">
        <v>112</v>
      </c>
      <c r="B112">
        <v>-16.9656839073861</v>
      </c>
      <c r="C112">
        <v>0</v>
      </c>
    </row>
    <row r="113" spans="1:3">
      <c r="A113">
        <v>113</v>
      </c>
      <c r="B113">
        <v>-15.3044828401554</v>
      </c>
      <c r="C113">
        <v>0</v>
      </c>
    </row>
    <row r="114" spans="1:3">
      <c r="A114">
        <v>114</v>
      </c>
      <c r="B114">
        <v>-15.8118747729246</v>
      </c>
      <c r="C114">
        <v>0</v>
      </c>
    </row>
    <row r="115" spans="1:3">
      <c r="A115">
        <v>115</v>
      </c>
      <c r="B115">
        <v>-14.0989377056938</v>
      </c>
      <c r="C115">
        <v>0</v>
      </c>
    </row>
    <row r="116" spans="1:3">
      <c r="A116">
        <v>116</v>
      </c>
      <c r="B116">
        <v>-14.293364638463</v>
      </c>
      <c r="C116">
        <v>0</v>
      </c>
    </row>
    <row r="117" spans="1:3">
      <c r="A117">
        <v>117</v>
      </c>
      <c r="B117">
        <v>-15.6681965712322</v>
      </c>
      <c r="C117">
        <v>0</v>
      </c>
    </row>
    <row r="118" spans="1:3">
      <c r="A118">
        <v>118</v>
      </c>
      <c r="B118">
        <v>-13.6570655040014</v>
      </c>
      <c r="C118">
        <v>0</v>
      </c>
    </row>
    <row r="119" spans="1:3">
      <c r="A119">
        <v>119</v>
      </c>
      <c r="B119">
        <v>-12.4049584367706</v>
      </c>
      <c r="C119">
        <v>0</v>
      </c>
    </row>
    <row r="120" spans="1:3">
      <c r="A120">
        <v>120</v>
      </c>
      <c r="B120">
        <v>-13.8142833695398</v>
      </c>
      <c r="C120">
        <v>0</v>
      </c>
    </row>
    <row r="121" spans="1:3">
      <c r="A121">
        <v>121</v>
      </c>
      <c r="B121">
        <v>-13.050092302309</v>
      </c>
      <c r="C121">
        <v>0</v>
      </c>
    </row>
    <row r="122" spans="1:3">
      <c r="A122">
        <v>122</v>
      </c>
      <c r="B122">
        <v>-12.2095152350782</v>
      </c>
      <c r="C122">
        <v>0</v>
      </c>
    </row>
    <row r="123" spans="1:3">
      <c r="A123">
        <v>123</v>
      </c>
      <c r="B123">
        <v>-11.6966821678474</v>
      </c>
      <c r="C123">
        <v>0</v>
      </c>
    </row>
    <row r="124" spans="1:3">
      <c r="A124">
        <v>124</v>
      </c>
      <c r="B124">
        <v>-11.1740071006166</v>
      </c>
      <c r="C124">
        <v>0</v>
      </c>
    </row>
    <row r="125" spans="1:3">
      <c r="A125">
        <v>125</v>
      </c>
      <c r="B125">
        <v>-9.00871603338582</v>
      </c>
      <c r="C125">
        <v>0</v>
      </c>
    </row>
    <row r="126" spans="1:3">
      <c r="A126">
        <v>126</v>
      </c>
      <c r="B126">
        <v>-8.03673096615505</v>
      </c>
      <c r="C126">
        <v>0</v>
      </c>
    </row>
    <row r="127" spans="1:3">
      <c r="A127">
        <v>127</v>
      </c>
      <c r="B127">
        <v>-9.17727889892426</v>
      </c>
      <c r="C127">
        <v>0</v>
      </c>
    </row>
    <row r="128" spans="1:3">
      <c r="A128">
        <v>128</v>
      </c>
      <c r="B128">
        <v>-10.3576758316935</v>
      </c>
      <c r="C128">
        <v>0</v>
      </c>
    </row>
    <row r="129" spans="1:3">
      <c r="A129">
        <v>129</v>
      </c>
      <c r="B129">
        <v>-10.1305557644627</v>
      </c>
      <c r="C129">
        <v>0</v>
      </c>
    </row>
    <row r="130" spans="1:3">
      <c r="A130">
        <v>130</v>
      </c>
      <c r="B130">
        <v>-10.8301626972319</v>
      </c>
      <c r="C130">
        <v>0</v>
      </c>
    </row>
    <row r="131" spans="1:3">
      <c r="A131">
        <v>131</v>
      </c>
      <c r="B131">
        <v>-9.26775363000108</v>
      </c>
      <c r="C131">
        <v>0</v>
      </c>
    </row>
    <row r="132" spans="1:3">
      <c r="A132">
        <v>132</v>
      </c>
      <c r="B132">
        <v>-9.96485956277027</v>
      </c>
      <c r="C132">
        <v>0</v>
      </c>
    </row>
    <row r="133" spans="1:3">
      <c r="A133">
        <v>133</v>
      </c>
      <c r="B133">
        <v>-8.6914284955395</v>
      </c>
      <c r="C133">
        <v>0</v>
      </c>
    </row>
    <row r="134" spans="1:3">
      <c r="A134">
        <v>134</v>
      </c>
      <c r="B134">
        <v>-9.52805242830871</v>
      </c>
      <c r="C134">
        <v>0</v>
      </c>
    </row>
    <row r="135" spans="1:3">
      <c r="A135">
        <v>135</v>
      </c>
      <c r="B135">
        <v>-9.2635563610779</v>
      </c>
      <c r="C135">
        <v>0</v>
      </c>
    </row>
    <row r="136" spans="1:3">
      <c r="A136">
        <v>136</v>
      </c>
      <c r="B136">
        <v>-10.0453702938471</v>
      </c>
      <c r="C136">
        <v>0</v>
      </c>
    </row>
    <row r="137" spans="1:3">
      <c r="A137">
        <v>137</v>
      </c>
      <c r="B137">
        <v>-9.94530222661632</v>
      </c>
      <c r="C137">
        <v>0</v>
      </c>
    </row>
    <row r="138" spans="1:3">
      <c r="A138">
        <v>138</v>
      </c>
      <c r="B138">
        <v>-10.1541341593855</v>
      </c>
      <c r="C138">
        <v>0</v>
      </c>
    </row>
    <row r="139" spans="1:3">
      <c r="A139">
        <v>139</v>
      </c>
      <c r="B139">
        <v>-10.4750720921547</v>
      </c>
      <c r="C139">
        <v>0</v>
      </c>
    </row>
    <row r="140" spans="1:3">
      <c r="A140">
        <v>140</v>
      </c>
      <c r="B140">
        <v>-9.74472502492394</v>
      </c>
      <c r="C140">
        <v>0</v>
      </c>
    </row>
    <row r="141" spans="1:3">
      <c r="A141">
        <v>141</v>
      </c>
      <c r="B141">
        <v>-9.61725195769316</v>
      </c>
      <c r="C141">
        <v>0</v>
      </c>
    </row>
    <row r="142" spans="1:3">
      <c r="A142">
        <v>142</v>
      </c>
      <c r="B142">
        <v>-9.41752989046236</v>
      </c>
      <c r="C142">
        <v>0</v>
      </c>
    </row>
    <row r="143" spans="1:3">
      <c r="A143">
        <v>143</v>
      </c>
      <c r="B143">
        <v>-10.3587748232316</v>
      </c>
      <c r="C143">
        <v>0</v>
      </c>
    </row>
    <row r="144" spans="1:3">
      <c r="A144">
        <v>144</v>
      </c>
      <c r="B144">
        <v>-8.31556175600076</v>
      </c>
      <c r="C144">
        <v>0</v>
      </c>
    </row>
    <row r="145" spans="1:3">
      <c r="A145">
        <v>145</v>
      </c>
      <c r="B145">
        <v>-8.07100868876998</v>
      </c>
      <c r="C145">
        <v>0</v>
      </c>
    </row>
    <row r="146" spans="1:3">
      <c r="A146">
        <v>146</v>
      </c>
      <c r="B146">
        <v>-5.69148362153918</v>
      </c>
      <c r="C146">
        <v>0</v>
      </c>
    </row>
    <row r="147" spans="1:3">
      <c r="A147">
        <v>147</v>
      </c>
      <c r="B147">
        <v>-3.73048455430838</v>
      </c>
      <c r="C147">
        <v>0</v>
      </c>
    </row>
    <row r="148" spans="1:3">
      <c r="A148">
        <v>148</v>
      </c>
      <c r="B148">
        <v>-8.19429048707759</v>
      </c>
      <c r="C148">
        <v>0</v>
      </c>
    </row>
    <row r="149" spans="1:3">
      <c r="A149">
        <v>149</v>
      </c>
      <c r="B149">
        <v>-7.7155534198468</v>
      </c>
      <c r="C149">
        <v>0</v>
      </c>
    </row>
    <row r="150" spans="1:3">
      <c r="A150">
        <v>150</v>
      </c>
      <c r="B150">
        <v>-6.915458352616</v>
      </c>
      <c r="C150">
        <v>0</v>
      </c>
    </row>
    <row r="151" spans="1:3">
      <c r="A151">
        <v>151</v>
      </c>
      <c r="B151">
        <v>-4.89466828538522</v>
      </c>
      <c r="C151">
        <v>0</v>
      </c>
    </row>
    <row r="152" spans="1:3">
      <c r="A152">
        <v>152</v>
      </c>
      <c r="B152">
        <v>-5.26044321815444</v>
      </c>
      <c r="C152">
        <v>0</v>
      </c>
    </row>
    <row r="153" spans="1:3">
      <c r="A153">
        <v>153</v>
      </c>
      <c r="B153">
        <v>-5.46927515092364</v>
      </c>
      <c r="C153">
        <v>0</v>
      </c>
    </row>
    <row r="154" spans="1:3">
      <c r="A154">
        <v>154</v>
      </c>
      <c r="B154">
        <v>-6.21372808369283</v>
      </c>
      <c r="C154">
        <v>0</v>
      </c>
    </row>
    <row r="155" spans="1:3">
      <c r="A155">
        <v>155</v>
      </c>
      <c r="B155">
        <v>-4.17799101646204</v>
      </c>
      <c r="C155">
        <v>0</v>
      </c>
    </row>
    <row r="156" spans="1:3">
      <c r="A156">
        <v>156</v>
      </c>
      <c r="B156">
        <v>-2.51343994923126</v>
      </c>
      <c r="C156">
        <v>0</v>
      </c>
    </row>
    <row r="157" spans="1:3">
      <c r="A157">
        <v>157</v>
      </c>
      <c r="B157">
        <v>-4.36896188200046</v>
      </c>
      <c r="C157">
        <v>0</v>
      </c>
    </row>
    <row r="158" spans="1:3">
      <c r="A158">
        <v>158</v>
      </c>
      <c r="B158">
        <v>-3.42187881476967</v>
      </c>
      <c r="C158">
        <v>0</v>
      </c>
    </row>
    <row r="159" spans="1:3">
      <c r="A159">
        <v>159</v>
      </c>
      <c r="B159">
        <v>-6.45822474753888</v>
      </c>
      <c r="C159">
        <v>0</v>
      </c>
    </row>
    <row r="160" spans="1:3">
      <c r="A160">
        <v>160</v>
      </c>
      <c r="B160">
        <v>-4.67161068030808</v>
      </c>
      <c r="C160">
        <v>0</v>
      </c>
    </row>
    <row r="161" spans="1:3">
      <c r="A161">
        <v>161</v>
      </c>
      <c r="B161">
        <v>-4.16298961307729</v>
      </c>
      <c r="C161">
        <v>0</v>
      </c>
    </row>
    <row r="162" spans="1:3">
      <c r="A162">
        <v>162</v>
      </c>
      <c r="B162">
        <v>-4.57859254584649</v>
      </c>
      <c r="C162">
        <v>0</v>
      </c>
    </row>
    <row r="163" spans="1:3">
      <c r="A163">
        <v>163</v>
      </c>
      <c r="B163">
        <v>-4.8223054786157</v>
      </c>
      <c r="C163">
        <v>0</v>
      </c>
    </row>
    <row r="164" spans="1:3">
      <c r="A164">
        <v>164</v>
      </c>
      <c r="B164">
        <v>-2.63958041138491</v>
      </c>
      <c r="C164">
        <v>0</v>
      </c>
    </row>
    <row r="165" spans="1:3">
      <c r="A165">
        <v>165</v>
      </c>
      <c r="B165">
        <v>-3.17227234415412</v>
      </c>
      <c r="C165">
        <v>0</v>
      </c>
    </row>
    <row r="166" spans="1:3">
      <c r="A166">
        <v>166</v>
      </c>
      <c r="B166">
        <v>-1.25362427692333</v>
      </c>
      <c r="C166">
        <v>0</v>
      </c>
    </row>
    <row r="167" spans="1:3">
      <c r="A167">
        <v>167</v>
      </c>
      <c r="B167">
        <v>-1.08877520969253</v>
      </c>
      <c r="C167">
        <v>0</v>
      </c>
    </row>
    <row r="168" spans="1:3">
      <c r="A168">
        <v>168</v>
      </c>
      <c r="B168">
        <v>-1.16558014246174</v>
      </c>
      <c r="C168">
        <v>0</v>
      </c>
    </row>
    <row r="169" spans="1:3">
      <c r="A169">
        <v>169</v>
      </c>
      <c r="B169">
        <v>-1.85023407523094</v>
      </c>
      <c r="C169">
        <v>0</v>
      </c>
    </row>
    <row r="170" spans="1:3">
      <c r="A170">
        <v>170</v>
      </c>
      <c r="B170">
        <v>-0.519507008000161</v>
      </c>
      <c r="C170">
        <v>0</v>
      </c>
    </row>
    <row r="171" spans="1:3">
      <c r="A171">
        <v>171</v>
      </c>
      <c r="B171">
        <v>-0.0980739407693534</v>
      </c>
      <c r="C171">
        <v>0</v>
      </c>
    </row>
    <row r="172" spans="1:3">
      <c r="A172">
        <v>172</v>
      </c>
      <c r="B172">
        <v>-1.54005187353857</v>
      </c>
      <c r="C172">
        <v>0</v>
      </c>
    </row>
    <row r="173" spans="1:3">
      <c r="A173">
        <v>173</v>
      </c>
      <c r="B173">
        <v>-1.97807780630778</v>
      </c>
      <c r="C173">
        <v>0</v>
      </c>
    </row>
    <row r="174" spans="1:3">
      <c r="A174">
        <v>174</v>
      </c>
      <c r="B174">
        <v>-0.19893273907698</v>
      </c>
      <c r="C174">
        <v>0</v>
      </c>
    </row>
    <row r="175" spans="1:3">
      <c r="A175">
        <v>175</v>
      </c>
      <c r="B175">
        <v>-1.79537567184619</v>
      </c>
      <c r="C175">
        <v>0</v>
      </c>
    </row>
    <row r="176" spans="1:3">
      <c r="A176">
        <v>176</v>
      </c>
      <c r="B176">
        <v>-1.76755060461539</v>
      </c>
      <c r="C176">
        <v>0</v>
      </c>
    </row>
    <row r="177" spans="1:3">
      <c r="A177">
        <v>177</v>
      </c>
      <c r="B177">
        <v>-6.42317453738461</v>
      </c>
      <c r="C177">
        <v>0</v>
      </c>
    </row>
    <row r="178" spans="1:3">
      <c r="A178">
        <v>178</v>
      </c>
      <c r="B178">
        <v>-6.89608247015381</v>
      </c>
      <c r="C178">
        <v>0</v>
      </c>
    </row>
    <row r="179" spans="1:3">
      <c r="A179">
        <v>179</v>
      </c>
      <c r="B179">
        <v>-4.952524402923</v>
      </c>
      <c r="C179">
        <v>0</v>
      </c>
    </row>
    <row r="180" spans="1:3">
      <c r="A180">
        <v>180</v>
      </c>
      <c r="B180">
        <v>-6.74824633569222</v>
      </c>
      <c r="C180">
        <v>0</v>
      </c>
    </row>
    <row r="181" spans="1:3">
      <c r="A181">
        <v>181</v>
      </c>
      <c r="B181">
        <v>-5.21075526846144</v>
      </c>
      <c r="C181">
        <v>0</v>
      </c>
    </row>
    <row r="182" spans="1:3">
      <c r="A182">
        <v>182</v>
      </c>
      <c r="B182">
        <v>-4.30851020123063</v>
      </c>
      <c r="C182">
        <v>0</v>
      </c>
    </row>
    <row r="183" spans="1:3">
      <c r="A183">
        <v>183</v>
      </c>
      <c r="B183">
        <v>5.48234586600016</v>
      </c>
      <c r="C183">
        <v>0</v>
      </c>
    </row>
    <row r="184" spans="1:3">
      <c r="A184">
        <v>184</v>
      </c>
      <c r="B184">
        <v>7.90669993323094</v>
      </c>
      <c r="C184">
        <v>0</v>
      </c>
    </row>
    <row r="185" spans="1:3">
      <c r="A185">
        <v>185</v>
      </c>
      <c r="B185">
        <v>8.38793300046174</v>
      </c>
      <c r="C185">
        <v>0</v>
      </c>
    </row>
    <row r="186" spans="1:3">
      <c r="A186">
        <v>186</v>
      </c>
      <c r="B186">
        <v>8.54031506769255</v>
      </c>
      <c r="C186">
        <v>0</v>
      </c>
    </row>
    <row r="187" spans="1:3">
      <c r="A187">
        <v>187</v>
      </c>
      <c r="B187">
        <v>12.1230861349233</v>
      </c>
      <c r="C187">
        <v>0</v>
      </c>
    </row>
    <row r="188" spans="1:3">
      <c r="A188">
        <v>188</v>
      </c>
      <c r="B188">
        <v>9.29883020215412</v>
      </c>
      <c r="C188">
        <v>0</v>
      </c>
    </row>
    <row r="189" spans="1:3">
      <c r="A189">
        <v>189</v>
      </c>
      <c r="B189">
        <v>10.6673382693849</v>
      </c>
      <c r="C189">
        <v>0</v>
      </c>
    </row>
    <row r="190" spans="1:3">
      <c r="A190">
        <v>190</v>
      </c>
      <c r="B190">
        <v>7.0768923366157</v>
      </c>
      <c r="C190">
        <v>0</v>
      </c>
    </row>
    <row r="191" spans="1:3">
      <c r="A191">
        <v>191</v>
      </c>
      <c r="B191">
        <v>10.4619254038465</v>
      </c>
      <c r="C191">
        <v>0</v>
      </c>
    </row>
    <row r="192" spans="1:3">
      <c r="A192">
        <v>192</v>
      </c>
      <c r="B192">
        <v>12.2147634710773</v>
      </c>
      <c r="C192">
        <v>0</v>
      </c>
    </row>
    <row r="193" spans="1:3">
      <c r="A193">
        <v>193</v>
      </c>
      <c r="B193">
        <v>11.8687325383081</v>
      </c>
      <c r="C193">
        <v>0</v>
      </c>
    </row>
    <row r="194" spans="1:3">
      <c r="A194">
        <v>194</v>
      </c>
      <c r="B194">
        <v>11.3255276055389</v>
      </c>
      <c r="C194">
        <v>0</v>
      </c>
    </row>
    <row r="195" spans="1:3">
      <c r="A195">
        <v>195</v>
      </c>
      <c r="B195">
        <v>12.0351766727697</v>
      </c>
      <c r="C195">
        <v>0</v>
      </c>
    </row>
    <row r="196" spans="1:3">
      <c r="A196">
        <v>196</v>
      </c>
      <c r="B196">
        <v>11.9362087400005</v>
      </c>
      <c r="C196">
        <v>0</v>
      </c>
    </row>
    <row r="197" spans="1:3">
      <c r="A197">
        <v>197</v>
      </c>
      <c r="B197">
        <v>14.2555758072313</v>
      </c>
      <c r="C197">
        <v>0</v>
      </c>
    </row>
    <row r="198" spans="1:3">
      <c r="A198">
        <v>198</v>
      </c>
      <c r="B198">
        <v>20.096365874462</v>
      </c>
      <c r="C198">
        <v>0</v>
      </c>
    </row>
    <row r="199" spans="1:3">
      <c r="A199">
        <v>199</v>
      </c>
      <c r="B199">
        <v>21.3375919416928</v>
      </c>
      <c r="C199">
        <v>0</v>
      </c>
    </row>
    <row r="200" spans="1:3">
      <c r="A200">
        <v>200</v>
      </c>
      <c r="B200">
        <v>20.0631560089236</v>
      </c>
      <c r="C200">
        <v>0</v>
      </c>
    </row>
    <row r="201" spans="1:3">
      <c r="A201">
        <v>201</v>
      </c>
      <c r="B201">
        <v>21.5140230761544</v>
      </c>
      <c r="C201">
        <v>0</v>
      </c>
    </row>
    <row r="202" spans="1:3">
      <c r="A202">
        <v>202</v>
      </c>
      <c r="B202">
        <v>19.7604151433852</v>
      </c>
      <c r="C202">
        <v>0</v>
      </c>
    </row>
    <row r="203" spans="1:3">
      <c r="A203">
        <v>203</v>
      </c>
      <c r="B203">
        <v>19.314553210616</v>
      </c>
      <c r="C203">
        <v>0</v>
      </c>
    </row>
    <row r="204" spans="1:3">
      <c r="A204">
        <v>204</v>
      </c>
      <c r="B204">
        <v>23.2960372778468</v>
      </c>
      <c r="C204">
        <v>0</v>
      </c>
    </row>
    <row r="205" spans="1:3">
      <c r="A205">
        <v>205</v>
      </c>
      <c r="B205">
        <v>28.1834733450776</v>
      </c>
      <c r="C205">
        <v>0</v>
      </c>
    </row>
    <row r="206" spans="1:3">
      <c r="A206">
        <v>206</v>
      </c>
      <c r="B206">
        <v>25.1645534123084</v>
      </c>
      <c r="C206">
        <v>0</v>
      </c>
    </row>
    <row r="207" spans="1:3">
      <c r="A207">
        <v>207</v>
      </c>
      <c r="B207">
        <v>14.4189554795392</v>
      </c>
      <c r="C207">
        <v>0</v>
      </c>
    </row>
    <row r="208" spans="1:3">
      <c r="A208">
        <v>208</v>
      </c>
      <c r="B208">
        <v>14.25510754677</v>
      </c>
      <c r="C208">
        <v>0</v>
      </c>
    </row>
    <row r="209" spans="1:3">
      <c r="A209">
        <v>209</v>
      </c>
      <c r="B209">
        <v>5.88541761400076</v>
      </c>
      <c r="C209">
        <v>0</v>
      </c>
    </row>
    <row r="210" spans="1:3">
      <c r="A210">
        <v>210</v>
      </c>
      <c r="B210">
        <v>10.1339536812316</v>
      </c>
      <c r="C210">
        <v>0</v>
      </c>
    </row>
    <row r="211" spans="1:3">
      <c r="A211">
        <v>211</v>
      </c>
      <c r="B211">
        <v>6.06683774846236</v>
      </c>
      <c r="C211">
        <v>0</v>
      </c>
    </row>
    <row r="212" spans="1:3">
      <c r="A212">
        <v>212</v>
      </c>
      <c r="B212">
        <v>4.33569081569316</v>
      </c>
      <c r="C212">
        <v>0</v>
      </c>
    </row>
    <row r="213" spans="1:3">
      <c r="A213">
        <v>213</v>
      </c>
      <c r="B213">
        <v>7.44618788292394</v>
      </c>
      <c r="C213">
        <v>0</v>
      </c>
    </row>
    <row r="214" spans="1:3">
      <c r="A214">
        <v>214</v>
      </c>
      <c r="B214">
        <v>7.38216995015473</v>
      </c>
      <c r="C214">
        <v>0</v>
      </c>
    </row>
    <row r="215" spans="1:3">
      <c r="A215">
        <v>215</v>
      </c>
      <c r="B215">
        <v>3.73432801738552</v>
      </c>
      <c r="C215">
        <v>0</v>
      </c>
    </row>
    <row r="216" spans="1:3">
      <c r="A216">
        <v>216</v>
      </c>
      <c r="B216">
        <v>1.70369608461631</v>
      </c>
      <c r="C216">
        <v>0</v>
      </c>
    </row>
    <row r="217" spans="1:3">
      <c r="A217">
        <v>217</v>
      </c>
      <c r="B217">
        <v>-2.03398884815289</v>
      </c>
      <c r="C217">
        <v>0</v>
      </c>
    </row>
    <row r="218" spans="1:3">
      <c r="A218">
        <v>218</v>
      </c>
      <c r="B218">
        <v>0.956718219077914</v>
      </c>
      <c r="C218">
        <v>0</v>
      </c>
    </row>
    <row r="219" spans="1:3">
      <c r="A219">
        <v>219</v>
      </c>
      <c r="B219">
        <v>2.44002628630869</v>
      </c>
      <c r="C219">
        <v>0</v>
      </c>
    </row>
    <row r="220" spans="1:3">
      <c r="A220">
        <v>220</v>
      </c>
      <c r="B220">
        <v>-2.48560964646052</v>
      </c>
      <c r="C220">
        <v>0</v>
      </c>
    </row>
    <row r="221" spans="1:3">
      <c r="A221">
        <v>221</v>
      </c>
      <c r="B221">
        <v>-1.63121657922972</v>
      </c>
      <c r="C221">
        <v>0</v>
      </c>
    </row>
    <row r="222" spans="1:3">
      <c r="A222">
        <v>222</v>
      </c>
      <c r="B222">
        <v>2.17807948800107</v>
      </c>
      <c r="C222">
        <v>0</v>
      </c>
    </row>
    <row r="223" spans="1:3">
      <c r="A223">
        <v>223</v>
      </c>
      <c r="B223">
        <v>4.60975155523187</v>
      </c>
      <c r="C223">
        <v>0</v>
      </c>
    </row>
    <row r="224" spans="1:3">
      <c r="A224">
        <v>224</v>
      </c>
      <c r="B224">
        <v>3.49753062246266</v>
      </c>
      <c r="C224">
        <v>0</v>
      </c>
    </row>
    <row r="225" spans="1:3">
      <c r="A225">
        <v>225</v>
      </c>
      <c r="B225">
        <v>4.97085868969346</v>
      </c>
      <c r="C225">
        <v>0</v>
      </c>
    </row>
    <row r="226" spans="1:3">
      <c r="A226">
        <v>226</v>
      </c>
      <c r="B226">
        <v>5.70546375692425</v>
      </c>
      <c r="C226">
        <v>0</v>
      </c>
    </row>
    <row r="227" spans="1:3">
      <c r="A227">
        <v>227</v>
      </c>
      <c r="B227">
        <v>1.69823882415504</v>
      </c>
      <c r="C227">
        <v>0</v>
      </c>
    </row>
    <row r="228" spans="1:3">
      <c r="A228">
        <v>228</v>
      </c>
      <c r="B228">
        <v>4.92853289138584</v>
      </c>
      <c r="C228">
        <v>0</v>
      </c>
    </row>
    <row r="229" spans="1:3">
      <c r="A229">
        <v>229</v>
      </c>
      <c r="B229">
        <v>1.35057595861662</v>
      </c>
      <c r="C229">
        <v>0</v>
      </c>
    </row>
    <row r="230" spans="1:3">
      <c r="A230">
        <v>230</v>
      </c>
      <c r="B230">
        <v>3.02355702584741</v>
      </c>
      <c r="C230">
        <v>0</v>
      </c>
    </row>
    <row r="231" spans="1:3">
      <c r="A231">
        <v>231</v>
      </c>
      <c r="B231">
        <v>2.6700270930782</v>
      </c>
      <c r="C231">
        <v>0</v>
      </c>
    </row>
    <row r="232" spans="1:3">
      <c r="A232">
        <v>232</v>
      </c>
      <c r="B232">
        <v>4.42287316030901</v>
      </c>
      <c r="C232">
        <v>0</v>
      </c>
    </row>
    <row r="233" spans="1:3">
      <c r="A233">
        <v>233</v>
      </c>
      <c r="B233">
        <v>11.5963662275398</v>
      </c>
      <c r="C233">
        <v>0</v>
      </c>
    </row>
    <row r="234" spans="1:3">
      <c r="A234">
        <v>234</v>
      </c>
      <c r="B234">
        <v>8.05833429477059</v>
      </c>
      <c r="C234">
        <v>0</v>
      </c>
    </row>
    <row r="235" spans="1:3">
      <c r="A235">
        <v>235</v>
      </c>
      <c r="B235">
        <v>7.90446436200139</v>
      </c>
      <c r="C235">
        <v>0</v>
      </c>
    </row>
    <row r="236" spans="1:3">
      <c r="A236">
        <v>236</v>
      </c>
      <c r="B236">
        <v>7.18158042923217</v>
      </c>
      <c r="C236">
        <v>0</v>
      </c>
    </row>
    <row r="237" spans="1:3">
      <c r="A237">
        <v>237</v>
      </c>
      <c r="B237">
        <v>5.25077149646296</v>
      </c>
      <c r="C237">
        <v>0</v>
      </c>
    </row>
    <row r="238" spans="1:3">
      <c r="A238">
        <v>238</v>
      </c>
      <c r="B238">
        <v>1.97229956369377</v>
      </c>
      <c r="C238">
        <v>0</v>
      </c>
    </row>
    <row r="239" spans="1:3">
      <c r="A239">
        <v>239</v>
      </c>
      <c r="B239">
        <v>3.25595263092455</v>
      </c>
      <c r="C239">
        <v>0</v>
      </c>
    </row>
    <row r="240" spans="1:3">
      <c r="A240">
        <v>240</v>
      </c>
      <c r="B240">
        <v>2.37334669815534</v>
      </c>
      <c r="C240">
        <v>0</v>
      </c>
    </row>
    <row r="241" spans="1:3">
      <c r="A241">
        <v>241</v>
      </c>
      <c r="B241">
        <v>1.01155376538614</v>
      </c>
      <c r="C241">
        <v>0</v>
      </c>
    </row>
    <row r="242" spans="1:3">
      <c r="A242">
        <v>242</v>
      </c>
      <c r="B242">
        <v>0.0590698326169417</v>
      </c>
      <c r="C242">
        <v>0</v>
      </c>
    </row>
    <row r="243" spans="1:3">
      <c r="A243">
        <v>243</v>
      </c>
      <c r="B243">
        <v>-0.17466410015227</v>
      </c>
      <c r="C243">
        <v>0</v>
      </c>
    </row>
    <row r="244" spans="1:3">
      <c r="A244">
        <v>244</v>
      </c>
      <c r="B244">
        <v>1.12894896707853</v>
      </c>
      <c r="C244">
        <v>0</v>
      </c>
    </row>
    <row r="245" spans="1:3">
      <c r="A245">
        <v>245</v>
      </c>
      <c r="B245">
        <v>-4.50546596569069</v>
      </c>
      <c r="C245">
        <v>0</v>
      </c>
    </row>
    <row r="246" spans="1:3">
      <c r="A246">
        <v>246</v>
      </c>
      <c r="B246">
        <v>-0.636270898459884</v>
      </c>
      <c r="C246">
        <v>0</v>
      </c>
    </row>
    <row r="247" spans="1:3">
      <c r="A247">
        <v>247</v>
      </c>
      <c r="B247">
        <v>-7.3288518312291</v>
      </c>
      <c r="C247">
        <v>0</v>
      </c>
    </row>
    <row r="248" spans="1:3">
      <c r="A248">
        <v>248</v>
      </c>
      <c r="B248">
        <v>-7.66241676399832</v>
      </c>
      <c r="C248">
        <v>0</v>
      </c>
    </row>
    <row r="249" spans="1:3">
      <c r="A249">
        <v>249</v>
      </c>
      <c r="B249">
        <v>-6.23899969676752</v>
      </c>
      <c r="C249">
        <v>0</v>
      </c>
    </row>
    <row r="250" spans="1:3">
      <c r="A250">
        <v>250</v>
      </c>
      <c r="B250">
        <v>-1.98048462953672</v>
      </c>
      <c r="C250">
        <v>0</v>
      </c>
    </row>
    <row r="251" spans="1:3">
      <c r="A251">
        <v>251</v>
      </c>
      <c r="B251">
        <v>1.84877743769407</v>
      </c>
      <c r="C251">
        <v>0</v>
      </c>
    </row>
    <row r="252" spans="1:3">
      <c r="A252">
        <v>252</v>
      </c>
      <c r="B252">
        <v>1.47006950492487</v>
      </c>
      <c r="C252">
        <v>0</v>
      </c>
    </row>
    <row r="253" spans="1:3">
      <c r="A253">
        <v>1</v>
      </c>
      <c r="B253">
        <v>56.0479863700041</v>
      </c>
      <c r="C253">
        <v>63.954544</v>
      </c>
    </row>
    <row r="254" spans="1:3">
      <c r="A254">
        <v>2</v>
      </c>
      <c r="B254">
        <v>56.2916993027734</v>
      </c>
      <c r="C254">
        <v>64.460991</v>
      </c>
    </row>
    <row r="255" spans="1:3">
      <c r="A255">
        <v>3</v>
      </c>
      <c r="B255">
        <v>56.5354122355426</v>
      </c>
      <c r="C255">
        <v>64.401978</v>
      </c>
    </row>
    <row r="256" spans="1:3">
      <c r="A256">
        <v>4</v>
      </c>
      <c r="B256">
        <v>56.7791251683118</v>
      </c>
      <c r="C256">
        <v>65.019051</v>
      </c>
    </row>
    <row r="257" spans="1:3">
      <c r="A257">
        <v>5</v>
      </c>
      <c r="B257">
        <v>57.022838101081</v>
      </c>
      <c r="C257">
        <v>64.56916</v>
      </c>
    </row>
    <row r="258" spans="1:3">
      <c r="A258">
        <v>6</v>
      </c>
      <c r="B258">
        <v>57.2665510338502</v>
      </c>
      <c r="C258">
        <v>65.336212</v>
      </c>
    </row>
    <row r="259" spans="1:3">
      <c r="A259">
        <v>7</v>
      </c>
      <c r="B259">
        <v>57.5102639666194</v>
      </c>
      <c r="C259">
        <v>65.665634</v>
      </c>
    </row>
    <row r="260" spans="1:3">
      <c r="A260">
        <v>8</v>
      </c>
      <c r="B260">
        <v>57.7539768993886</v>
      </c>
      <c r="C260">
        <v>65.466507</v>
      </c>
    </row>
    <row r="261" spans="1:3">
      <c r="A261">
        <v>9</v>
      </c>
      <c r="B261">
        <v>57.9976898321578</v>
      </c>
      <c r="C261">
        <v>64.704376</v>
      </c>
    </row>
    <row r="262" spans="1:3">
      <c r="A262">
        <v>10</v>
      </c>
      <c r="B262">
        <v>58.241402764927</v>
      </c>
      <c r="C262">
        <v>64.414268</v>
      </c>
    </row>
    <row r="263" spans="1:3">
      <c r="A263">
        <v>11</v>
      </c>
      <c r="B263">
        <v>58.4851156976962</v>
      </c>
      <c r="C263">
        <v>64.357727</v>
      </c>
    </row>
    <row r="264" spans="1:3">
      <c r="A264">
        <v>12</v>
      </c>
      <c r="B264">
        <v>58.7288286304654</v>
      </c>
      <c r="C264">
        <v>65.486168</v>
      </c>
    </row>
    <row r="265" spans="1:3">
      <c r="A265">
        <v>13</v>
      </c>
      <c r="B265">
        <v>58.9725415632346</v>
      </c>
      <c r="C265">
        <v>64.974815</v>
      </c>
    </row>
    <row r="266" spans="1:3">
      <c r="A266">
        <v>14</v>
      </c>
      <c r="B266">
        <v>59.2162544960038</v>
      </c>
      <c r="C266">
        <v>65.847565</v>
      </c>
    </row>
    <row r="267" spans="1:3">
      <c r="A267">
        <v>15</v>
      </c>
      <c r="B267">
        <v>59.459967428773</v>
      </c>
      <c r="C267">
        <v>65.702515</v>
      </c>
    </row>
    <row r="268" spans="1:3">
      <c r="A268">
        <v>16</v>
      </c>
      <c r="B268">
        <v>59.7036803615423</v>
      </c>
      <c r="C268">
        <v>64.942841</v>
      </c>
    </row>
    <row r="269" spans="1:3">
      <c r="A269">
        <v>17</v>
      </c>
      <c r="B269">
        <v>59.9473932943115</v>
      </c>
      <c r="C269">
        <v>63.784916</v>
      </c>
    </row>
    <row r="270" spans="1:3">
      <c r="A270">
        <v>18</v>
      </c>
      <c r="B270">
        <v>60.1911062270807</v>
      </c>
      <c r="C270">
        <v>64.347893</v>
      </c>
    </row>
    <row r="271" spans="1:3">
      <c r="A271">
        <v>19</v>
      </c>
      <c r="B271">
        <v>60.4348191598499</v>
      </c>
      <c r="C271">
        <v>65.291946</v>
      </c>
    </row>
    <row r="272" spans="1:3">
      <c r="A272">
        <v>20</v>
      </c>
      <c r="B272">
        <v>60.6785320926191</v>
      </c>
      <c r="C272">
        <v>66.553131</v>
      </c>
    </row>
    <row r="273" spans="1:3">
      <c r="A273">
        <v>21</v>
      </c>
      <c r="B273">
        <v>60.9222450253883</v>
      </c>
      <c r="C273">
        <v>65.621384</v>
      </c>
    </row>
    <row r="274" spans="1:3">
      <c r="A274">
        <v>22</v>
      </c>
      <c r="B274">
        <v>61.1659579581575</v>
      </c>
      <c r="C274">
        <v>66.004898</v>
      </c>
    </row>
    <row r="275" spans="1:3">
      <c r="A275">
        <v>23</v>
      </c>
      <c r="B275">
        <v>61.4096708909267</v>
      </c>
      <c r="C275">
        <v>66.567886</v>
      </c>
    </row>
    <row r="276" spans="1:3">
      <c r="A276">
        <v>24</v>
      </c>
      <c r="B276">
        <v>61.6533838236959</v>
      </c>
      <c r="C276">
        <v>66.737518</v>
      </c>
    </row>
    <row r="277" spans="1:3">
      <c r="A277">
        <v>25</v>
      </c>
      <c r="B277">
        <v>61.8970967564651</v>
      </c>
      <c r="C277">
        <v>67.644707</v>
      </c>
    </row>
    <row r="278" spans="1:3">
      <c r="A278">
        <v>26</v>
      </c>
      <c r="B278">
        <v>62.1408096892343</v>
      </c>
      <c r="C278">
        <v>68.802635</v>
      </c>
    </row>
    <row r="279" spans="1:3">
      <c r="A279">
        <v>27</v>
      </c>
      <c r="B279">
        <v>62.3845226220035</v>
      </c>
      <c r="C279">
        <v>68.937851</v>
      </c>
    </row>
    <row r="280" spans="1:3">
      <c r="A280">
        <v>28</v>
      </c>
      <c r="B280">
        <v>62.6282355547727</v>
      </c>
      <c r="C280">
        <v>68.773132</v>
      </c>
    </row>
    <row r="281" spans="1:3">
      <c r="A281">
        <v>29</v>
      </c>
      <c r="B281">
        <v>62.8719484875419</v>
      </c>
      <c r="C281">
        <v>68.841965</v>
      </c>
    </row>
    <row r="282" spans="1:3">
      <c r="A282">
        <v>30</v>
      </c>
      <c r="B282">
        <v>63.1156614203111</v>
      </c>
      <c r="C282">
        <v>68.699387</v>
      </c>
    </row>
    <row r="283" spans="1:3">
      <c r="A283">
        <v>31</v>
      </c>
      <c r="B283">
        <v>63.3593743530804</v>
      </c>
      <c r="C283">
        <v>69.820442</v>
      </c>
    </row>
    <row r="284" spans="1:3">
      <c r="A284">
        <v>32</v>
      </c>
      <c r="B284">
        <v>63.6030872858496</v>
      </c>
      <c r="C284">
        <v>69.886818</v>
      </c>
    </row>
    <row r="285" spans="1:3">
      <c r="A285">
        <v>33</v>
      </c>
      <c r="B285">
        <v>63.8468002186188</v>
      </c>
      <c r="C285">
        <v>71.273392</v>
      </c>
    </row>
    <row r="286" spans="1:3">
      <c r="A286">
        <v>34</v>
      </c>
      <c r="B286">
        <v>64.090513151388</v>
      </c>
      <c r="C286">
        <v>71.246353</v>
      </c>
    </row>
    <row r="287" spans="1:3">
      <c r="A287">
        <v>35</v>
      </c>
      <c r="B287">
        <v>64.3342260841572</v>
      </c>
      <c r="C287">
        <v>71.669212</v>
      </c>
    </row>
    <row r="288" spans="1:3">
      <c r="A288">
        <v>36</v>
      </c>
      <c r="B288">
        <v>64.5779390169264</v>
      </c>
      <c r="C288">
        <v>72.192863</v>
      </c>
    </row>
    <row r="289" spans="1:3">
      <c r="A289">
        <v>37</v>
      </c>
      <c r="B289">
        <v>64.8216519496956</v>
      </c>
      <c r="C289">
        <v>73.840042</v>
      </c>
    </row>
    <row r="290" spans="1:3">
      <c r="A290">
        <v>38</v>
      </c>
      <c r="B290">
        <v>65.0653648824648</v>
      </c>
      <c r="C290">
        <v>73.122154</v>
      </c>
    </row>
    <row r="291" spans="1:3">
      <c r="A291">
        <v>39</v>
      </c>
      <c r="B291">
        <v>65.309077815234</v>
      </c>
      <c r="C291">
        <v>73.704819</v>
      </c>
    </row>
    <row r="292" spans="1:3">
      <c r="A292">
        <v>40</v>
      </c>
      <c r="B292">
        <v>65.5527907480032</v>
      </c>
      <c r="C292">
        <v>73.358185</v>
      </c>
    </row>
    <row r="293" spans="1:3">
      <c r="A293">
        <v>41</v>
      </c>
      <c r="B293">
        <v>65.7965036807724</v>
      </c>
      <c r="C293">
        <v>74.538239</v>
      </c>
    </row>
    <row r="294" spans="1:3">
      <c r="A294">
        <v>42</v>
      </c>
      <c r="B294">
        <v>66.0402166135416</v>
      </c>
      <c r="C294">
        <v>76.121498</v>
      </c>
    </row>
    <row r="295" spans="1:3">
      <c r="A295">
        <v>43</v>
      </c>
      <c r="B295">
        <v>66.2839295463108</v>
      </c>
      <c r="C295">
        <v>76.293579</v>
      </c>
    </row>
    <row r="296" spans="1:3">
      <c r="A296">
        <v>44</v>
      </c>
      <c r="B296">
        <v>66.5276424790801</v>
      </c>
      <c r="C296">
        <v>77.923538</v>
      </c>
    </row>
    <row r="297" spans="1:3">
      <c r="A297">
        <v>45</v>
      </c>
      <c r="B297">
        <v>66.7713554118493</v>
      </c>
      <c r="C297">
        <v>76.871323</v>
      </c>
    </row>
    <row r="298" spans="1:3">
      <c r="A298">
        <v>46</v>
      </c>
      <c r="B298">
        <v>67.0150683446185</v>
      </c>
      <c r="C298">
        <v>76.541885</v>
      </c>
    </row>
    <row r="299" spans="1:3">
      <c r="A299">
        <v>47</v>
      </c>
      <c r="B299">
        <v>67.2587812773877</v>
      </c>
      <c r="C299">
        <v>77.500694</v>
      </c>
    </row>
    <row r="300" spans="1:3">
      <c r="A300">
        <v>48</v>
      </c>
      <c r="B300">
        <v>67.5024942101569</v>
      </c>
      <c r="C300">
        <v>78.358696</v>
      </c>
    </row>
    <row r="301" spans="1:3">
      <c r="A301">
        <v>49</v>
      </c>
      <c r="B301">
        <v>67.7462071429261</v>
      </c>
      <c r="C301">
        <v>77.827667</v>
      </c>
    </row>
    <row r="302" spans="1:3">
      <c r="A302">
        <v>50</v>
      </c>
      <c r="B302">
        <v>67.9899200756953</v>
      </c>
      <c r="C302">
        <v>78.105476</v>
      </c>
    </row>
    <row r="303" spans="1:3">
      <c r="A303">
        <v>51</v>
      </c>
      <c r="B303">
        <v>68.2336330084645</v>
      </c>
      <c r="C303">
        <v>78.481621</v>
      </c>
    </row>
    <row r="304" spans="1:3">
      <c r="A304">
        <v>52</v>
      </c>
      <c r="B304">
        <v>68.4773459412337</v>
      </c>
      <c r="C304">
        <v>78.25544</v>
      </c>
    </row>
    <row r="305" spans="1:3">
      <c r="A305">
        <v>53</v>
      </c>
      <c r="B305">
        <v>68.7210588740029</v>
      </c>
      <c r="C305">
        <v>75.954315</v>
      </c>
    </row>
    <row r="306" spans="1:3">
      <c r="A306">
        <v>54</v>
      </c>
      <c r="B306">
        <v>68.9647718067721</v>
      </c>
      <c r="C306">
        <v>78.103012</v>
      </c>
    </row>
    <row r="307" spans="1:3">
      <c r="A307">
        <v>55</v>
      </c>
      <c r="B307">
        <v>69.2084847395413</v>
      </c>
      <c r="C307">
        <v>79.7379</v>
      </c>
    </row>
    <row r="308" spans="1:3">
      <c r="A308">
        <v>56</v>
      </c>
      <c r="B308">
        <v>69.4521976723105</v>
      </c>
      <c r="C308">
        <v>79.622337</v>
      </c>
    </row>
    <row r="309" spans="1:3">
      <c r="A309">
        <v>57</v>
      </c>
      <c r="B309">
        <v>69.6959106050797</v>
      </c>
      <c r="C309">
        <v>76.091995</v>
      </c>
    </row>
    <row r="310" spans="1:3">
      <c r="A310">
        <v>58</v>
      </c>
      <c r="B310">
        <v>69.939623537849</v>
      </c>
      <c r="C310">
        <v>75.883018</v>
      </c>
    </row>
    <row r="311" spans="1:3">
      <c r="A311">
        <v>59</v>
      </c>
      <c r="B311">
        <v>70.1833364706182</v>
      </c>
      <c r="C311">
        <v>78.388199</v>
      </c>
    </row>
    <row r="312" spans="1:3">
      <c r="A312">
        <v>60</v>
      </c>
      <c r="B312">
        <v>70.4270494033874</v>
      </c>
      <c r="C312">
        <v>79.027405</v>
      </c>
    </row>
    <row r="313" spans="1:3">
      <c r="A313">
        <v>61</v>
      </c>
      <c r="B313">
        <v>70.6707623361566</v>
      </c>
      <c r="C313">
        <v>79.951775</v>
      </c>
    </row>
    <row r="314" spans="1:3">
      <c r="A314">
        <v>62</v>
      </c>
      <c r="B314">
        <v>70.9144752689258</v>
      </c>
      <c r="C314">
        <v>78.865021</v>
      </c>
    </row>
    <row r="315" spans="1:3">
      <c r="A315">
        <v>63</v>
      </c>
      <c r="B315">
        <v>71.158188201695</v>
      </c>
      <c r="C315">
        <v>79.239594</v>
      </c>
    </row>
    <row r="316" spans="1:3">
      <c r="A316">
        <v>64</v>
      </c>
      <c r="B316">
        <v>71.4019011344642</v>
      </c>
      <c r="C316">
        <v>78.76152</v>
      </c>
    </row>
    <row r="317" spans="1:3">
      <c r="A317">
        <v>65</v>
      </c>
      <c r="B317">
        <v>71.6456140672334</v>
      </c>
      <c r="C317">
        <v>80.631927</v>
      </c>
    </row>
    <row r="318" spans="1:3">
      <c r="A318">
        <v>66</v>
      </c>
      <c r="B318">
        <v>71.8893270000026</v>
      </c>
      <c r="C318">
        <v>80.057739</v>
      </c>
    </row>
    <row r="319" spans="1:3">
      <c r="A319">
        <v>67</v>
      </c>
      <c r="B319">
        <v>72.1330399327718</v>
      </c>
      <c r="C319">
        <v>80.077461</v>
      </c>
    </row>
    <row r="320" spans="1:3">
      <c r="A320">
        <v>68</v>
      </c>
      <c r="B320">
        <v>72.376752865541</v>
      </c>
      <c r="C320">
        <v>78.611198</v>
      </c>
    </row>
    <row r="321" spans="1:3">
      <c r="A321">
        <v>69</v>
      </c>
      <c r="B321">
        <v>72.6204657983102</v>
      </c>
      <c r="C321">
        <v>79.749702</v>
      </c>
    </row>
    <row r="322" spans="1:3">
      <c r="A322">
        <v>70</v>
      </c>
      <c r="B322">
        <v>72.8641787310794</v>
      </c>
      <c r="C322">
        <v>78.931564</v>
      </c>
    </row>
    <row r="323" spans="1:3">
      <c r="A323">
        <v>71</v>
      </c>
      <c r="B323">
        <v>73.1078916638486</v>
      </c>
      <c r="C323">
        <v>77.144943</v>
      </c>
    </row>
    <row r="324" spans="1:3">
      <c r="A324">
        <v>72</v>
      </c>
      <c r="B324">
        <v>73.3516045966178</v>
      </c>
      <c r="C324">
        <v>73.480522</v>
      </c>
    </row>
    <row r="325" spans="1:3">
      <c r="A325">
        <v>73</v>
      </c>
      <c r="B325">
        <v>73.5953175293871</v>
      </c>
      <c r="C325">
        <v>70.991577</v>
      </c>
    </row>
    <row r="326" spans="1:3">
      <c r="A326">
        <v>74</v>
      </c>
      <c r="B326">
        <v>73.8390304621563</v>
      </c>
      <c r="C326">
        <v>72.117767</v>
      </c>
    </row>
    <row r="327" spans="1:3">
      <c r="A327">
        <v>75</v>
      </c>
      <c r="B327">
        <v>74.0827433949255</v>
      </c>
      <c r="C327">
        <v>67.403557</v>
      </c>
    </row>
    <row r="328" spans="1:3">
      <c r="A328">
        <v>76</v>
      </c>
      <c r="B328">
        <v>74.3264563276947</v>
      </c>
      <c r="C328">
        <v>67.364128</v>
      </c>
    </row>
    <row r="329" spans="1:3">
      <c r="A329">
        <v>77</v>
      </c>
      <c r="B329">
        <v>74.5701692604639</v>
      </c>
      <c r="C329">
        <v>73.635773</v>
      </c>
    </row>
    <row r="330" spans="1:3">
      <c r="A330">
        <v>78</v>
      </c>
      <c r="B330">
        <v>74.8138821932331</v>
      </c>
      <c r="C330">
        <v>71.297157</v>
      </c>
    </row>
    <row r="331" spans="1:3">
      <c r="A331">
        <v>79</v>
      </c>
      <c r="B331">
        <v>75.0575951260023</v>
      </c>
      <c r="C331">
        <v>74.60424</v>
      </c>
    </row>
    <row r="332" spans="1:3">
      <c r="A332">
        <v>80</v>
      </c>
      <c r="B332">
        <v>75.3013080587715</v>
      </c>
      <c r="C332">
        <v>72.184303</v>
      </c>
    </row>
    <row r="333" spans="1:3">
      <c r="A333">
        <v>81</v>
      </c>
      <c r="B333">
        <v>75.5450209915407</v>
      </c>
      <c r="C333">
        <v>71.225685</v>
      </c>
    </row>
    <row r="334" spans="1:3">
      <c r="A334">
        <v>82</v>
      </c>
      <c r="B334">
        <v>75.7887339243099</v>
      </c>
      <c r="C334">
        <v>65.592308</v>
      </c>
    </row>
    <row r="335" spans="1:3">
      <c r="A335">
        <v>83</v>
      </c>
      <c r="B335">
        <v>76.0324468570791</v>
      </c>
      <c r="C335">
        <v>70.316368</v>
      </c>
    </row>
    <row r="336" spans="1:3">
      <c r="A336">
        <v>84</v>
      </c>
      <c r="B336">
        <v>76.2761597898483</v>
      </c>
      <c r="C336">
        <v>67.874245</v>
      </c>
    </row>
    <row r="337" spans="1:3">
      <c r="A337">
        <v>85</v>
      </c>
      <c r="B337">
        <v>76.5198727226175</v>
      </c>
      <c r="C337">
        <v>61.171341</v>
      </c>
    </row>
    <row r="338" spans="1:3">
      <c r="A338">
        <v>86</v>
      </c>
      <c r="B338">
        <v>76.7635856553867</v>
      </c>
      <c r="C338">
        <v>68.500175</v>
      </c>
    </row>
    <row r="339" spans="1:3">
      <c r="A339">
        <v>87</v>
      </c>
      <c r="B339">
        <v>77.007298588156</v>
      </c>
      <c r="C339">
        <v>59.687832</v>
      </c>
    </row>
    <row r="340" spans="1:3">
      <c r="A340">
        <v>88</v>
      </c>
      <c r="B340">
        <v>77.2510115209252</v>
      </c>
      <c r="C340">
        <v>62.312309</v>
      </c>
    </row>
    <row r="341" spans="1:3">
      <c r="A341">
        <v>89</v>
      </c>
      <c r="B341">
        <v>77.4947244536944</v>
      </c>
      <c r="C341">
        <v>60.786911</v>
      </c>
    </row>
    <row r="342" spans="1:3">
      <c r="A342">
        <v>90</v>
      </c>
      <c r="B342">
        <v>77.7384373864636</v>
      </c>
      <c r="C342">
        <v>60.321156</v>
      </c>
    </row>
    <row r="343" spans="1:3">
      <c r="A343">
        <v>91</v>
      </c>
      <c r="B343">
        <v>77.9821503192328</v>
      </c>
      <c r="C343">
        <v>56.491634</v>
      </c>
    </row>
    <row r="344" spans="1:3">
      <c r="A344">
        <v>92</v>
      </c>
      <c r="B344">
        <v>78.225863252002</v>
      </c>
      <c r="C344">
        <v>55.291519</v>
      </c>
    </row>
    <row r="345" spans="1:3">
      <c r="A345">
        <v>93</v>
      </c>
      <c r="B345">
        <v>78.4695761847712</v>
      </c>
      <c r="C345">
        <v>60.838661</v>
      </c>
    </row>
    <row r="346" spans="1:3">
      <c r="A346">
        <v>94</v>
      </c>
      <c r="B346">
        <v>78.7132891175404</v>
      </c>
      <c r="C346">
        <v>60.503517</v>
      </c>
    </row>
    <row r="347" spans="1:3">
      <c r="A347">
        <v>95</v>
      </c>
      <c r="B347">
        <v>78.9570020503096</v>
      </c>
      <c r="C347">
        <v>63.687393</v>
      </c>
    </row>
    <row r="348" spans="1:3">
      <c r="A348">
        <v>96</v>
      </c>
      <c r="B348">
        <v>79.2007149830788</v>
      </c>
      <c r="C348">
        <v>61.050594</v>
      </c>
    </row>
    <row r="349" spans="1:3">
      <c r="A349">
        <v>97</v>
      </c>
      <c r="B349">
        <v>79.444427915848</v>
      </c>
      <c r="C349">
        <v>62.79285</v>
      </c>
    </row>
    <row r="350" spans="1:3">
      <c r="A350">
        <v>98</v>
      </c>
      <c r="B350">
        <v>79.6881408486172</v>
      </c>
      <c r="C350">
        <v>62.664707</v>
      </c>
    </row>
    <row r="351" spans="1:3">
      <c r="A351">
        <v>99</v>
      </c>
      <c r="B351">
        <v>79.9318537813865</v>
      </c>
      <c r="C351">
        <v>59.367474</v>
      </c>
    </row>
    <row r="352" spans="1:3">
      <c r="A352">
        <v>100</v>
      </c>
      <c r="B352">
        <v>80.1755667141556</v>
      </c>
      <c r="C352">
        <v>60.35812</v>
      </c>
    </row>
    <row r="353" spans="1:3">
      <c r="A353">
        <v>101</v>
      </c>
      <c r="B353">
        <v>80.4192796469249</v>
      </c>
      <c r="C353">
        <v>59.490692</v>
      </c>
    </row>
    <row r="354" spans="1:3">
      <c r="A354">
        <v>102</v>
      </c>
      <c r="B354">
        <v>80.6629925796941</v>
      </c>
      <c r="C354">
        <v>64.680504</v>
      </c>
    </row>
    <row r="355" spans="1:3">
      <c r="A355">
        <v>103</v>
      </c>
      <c r="B355">
        <v>80.9067055124633</v>
      </c>
      <c r="C355">
        <v>63.931355</v>
      </c>
    </row>
    <row r="356" spans="1:3">
      <c r="A356">
        <v>104</v>
      </c>
      <c r="B356">
        <v>81.1504184452325</v>
      </c>
      <c r="C356">
        <v>65.567657</v>
      </c>
    </row>
    <row r="357" spans="1:3">
      <c r="A357">
        <v>105</v>
      </c>
      <c r="B357">
        <v>81.3941313780017</v>
      </c>
      <c r="C357">
        <v>66.040802</v>
      </c>
    </row>
    <row r="358" spans="1:3">
      <c r="A358">
        <v>106</v>
      </c>
      <c r="B358">
        <v>81.6378443107709</v>
      </c>
      <c r="C358">
        <v>67.337029</v>
      </c>
    </row>
    <row r="359" spans="1:3">
      <c r="A359">
        <v>107</v>
      </c>
      <c r="B359">
        <v>81.8815572435401</v>
      </c>
      <c r="C359">
        <v>70.737755</v>
      </c>
    </row>
    <row r="360" spans="1:3">
      <c r="A360">
        <v>108</v>
      </c>
      <c r="B360">
        <v>82.1252701763093</v>
      </c>
      <c r="C360">
        <v>70.09211</v>
      </c>
    </row>
    <row r="361" spans="1:3">
      <c r="A361">
        <v>109</v>
      </c>
      <c r="B361">
        <v>82.3689831090785</v>
      </c>
      <c r="C361">
        <v>70.64904</v>
      </c>
    </row>
    <row r="362" spans="1:3">
      <c r="A362">
        <v>110</v>
      </c>
      <c r="B362">
        <v>82.6126960418477</v>
      </c>
      <c r="C362">
        <v>69.690422</v>
      </c>
    </row>
    <row r="363" spans="1:3">
      <c r="A363">
        <v>111</v>
      </c>
      <c r="B363">
        <v>82.8564089746169</v>
      </c>
      <c r="C363">
        <v>68.243881</v>
      </c>
    </row>
    <row r="364" spans="1:3">
      <c r="A364">
        <v>112</v>
      </c>
      <c r="B364">
        <v>83.1001219073861</v>
      </c>
      <c r="C364">
        <v>66.134438</v>
      </c>
    </row>
    <row r="365" spans="1:3">
      <c r="A365">
        <v>113</v>
      </c>
      <c r="B365">
        <v>83.3438348401554</v>
      </c>
      <c r="C365">
        <v>68.039352</v>
      </c>
    </row>
    <row r="366" spans="1:3">
      <c r="A366">
        <v>114</v>
      </c>
      <c r="B366">
        <v>83.5875477729246</v>
      </c>
      <c r="C366">
        <v>67.775673</v>
      </c>
    </row>
    <row r="367" spans="1:3">
      <c r="A367">
        <v>115</v>
      </c>
      <c r="B367">
        <v>83.8312607056938</v>
      </c>
      <c r="C367">
        <v>69.732323</v>
      </c>
    </row>
    <row r="368" spans="1:3">
      <c r="A368">
        <v>116</v>
      </c>
      <c r="B368">
        <v>84.074973638463</v>
      </c>
      <c r="C368">
        <v>69.781609</v>
      </c>
    </row>
    <row r="369" spans="1:3">
      <c r="A369">
        <v>117</v>
      </c>
      <c r="B369">
        <v>84.3186865712322</v>
      </c>
      <c r="C369">
        <v>68.65049</v>
      </c>
    </row>
    <row r="370" spans="1:3">
      <c r="A370">
        <v>118</v>
      </c>
      <c r="B370">
        <v>84.5623995040014</v>
      </c>
      <c r="C370">
        <v>70.905334</v>
      </c>
    </row>
    <row r="371" spans="1:3">
      <c r="A371">
        <v>119</v>
      </c>
      <c r="B371">
        <v>84.8061124367706</v>
      </c>
      <c r="C371">
        <v>72.401154</v>
      </c>
    </row>
    <row r="372" spans="1:3">
      <c r="A372">
        <v>120</v>
      </c>
      <c r="B372">
        <v>85.0498253695398</v>
      </c>
      <c r="C372">
        <v>71.235542</v>
      </c>
    </row>
    <row r="373" spans="1:3">
      <c r="A373">
        <v>121</v>
      </c>
      <c r="B373">
        <v>85.293538302309</v>
      </c>
      <c r="C373">
        <v>72.243446</v>
      </c>
    </row>
    <row r="374" spans="1:3">
      <c r="A374">
        <v>122</v>
      </c>
      <c r="B374">
        <v>85.5372512350782</v>
      </c>
      <c r="C374">
        <v>73.327736</v>
      </c>
    </row>
    <row r="375" spans="1:3">
      <c r="A375">
        <v>123</v>
      </c>
      <c r="B375">
        <v>85.7809641678474</v>
      </c>
      <c r="C375">
        <v>74.084282</v>
      </c>
    </row>
    <row r="376" spans="1:3">
      <c r="A376">
        <v>124</v>
      </c>
      <c r="B376">
        <v>86.0246771006166</v>
      </c>
      <c r="C376">
        <v>74.85067</v>
      </c>
    </row>
    <row r="377" spans="1:3">
      <c r="A377">
        <v>125</v>
      </c>
      <c r="B377">
        <v>86.2683900333858</v>
      </c>
      <c r="C377">
        <v>77.259674</v>
      </c>
    </row>
    <row r="378" spans="1:3">
      <c r="A378">
        <v>126</v>
      </c>
      <c r="B378">
        <v>86.512102966155</v>
      </c>
      <c r="C378">
        <v>78.475372</v>
      </c>
    </row>
    <row r="379" spans="1:3">
      <c r="A379">
        <v>127</v>
      </c>
      <c r="B379">
        <v>86.7558158989243</v>
      </c>
      <c r="C379">
        <v>77.578537</v>
      </c>
    </row>
    <row r="380" spans="1:3">
      <c r="A380">
        <v>128</v>
      </c>
      <c r="B380">
        <v>86.9995288316935</v>
      </c>
      <c r="C380">
        <v>76.641853</v>
      </c>
    </row>
    <row r="381" spans="1:3">
      <c r="A381">
        <v>129</v>
      </c>
      <c r="B381">
        <v>87.2432417644627</v>
      </c>
      <c r="C381">
        <v>77.112686</v>
      </c>
    </row>
    <row r="382" spans="1:3">
      <c r="A382">
        <v>130</v>
      </c>
      <c r="B382">
        <v>87.4869546972319</v>
      </c>
      <c r="C382">
        <v>76.656792</v>
      </c>
    </row>
    <row r="383" spans="1:3">
      <c r="A383">
        <v>131</v>
      </c>
      <c r="B383">
        <v>87.7306676300011</v>
      </c>
      <c r="C383">
        <v>78.462914</v>
      </c>
    </row>
    <row r="384" spans="1:3">
      <c r="A384">
        <v>132</v>
      </c>
      <c r="B384">
        <v>87.9743805627703</v>
      </c>
      <c r="C384">
        <v>78.009521</v>
      </c>
    </row>
    <row r="385" spans="1:3">
      <c r="A385">
        <v>133</v>
      </c>
      <c r="B385">
        <v>88.2180934955395</v>
      </c>
      <c r="C385">
        <v>79.526665</v>
      </c>
    </row>
    <row r="386" spans="1:3">
      <c r="A386">
        <v>134</v>
      </c>
      <c r="B386">
        <v>88.4618064283087</v>
      </c>
      <c r="C386">
        <v>78.933754</v>
      </c>
    </row>
    <row r="387" spans="1:3">
      <c r="A387">
        <v>135</v>
      </c>
      <c r="B387">
        <v>88.7055193610779</v>
      </c>
      <c r="C387">
        <v>79.441963</v>
      </c>
    </row>
    <row r="388" spans="1:3">
      <c r="A388">
        <v>136</v>
      </c>
      <c r="B388">
        <v>88.9492322938471</v>
      </c>
      <c r="C388">
        <v>78.903862</v>
      </c>
    </row>
    <row r="389" spans="1:3">
      <c r="A389">
        <v>137</v>
      </c>
      <c r="B389">
        <v>89.1929452266163</v>
      </c>
      <c r="C389">
        <v>79.247643</v>
      </c>
    </row>
    <row r="390" spans="1:3">
      <c r="A390">
        <v>138</v>
      </c>
      <c r="B390">
        <v>89.4366581593855</v>
      </c>
      <c r="C390">
        <v>79.282524</v>
      </c>
    </row>
    <row r="391" spans="1:3">
      <c r="A391">
        <v>139</v>
      </c>
      <c r="B391">
        <v>89.6803710921547</v>
      </c>
      <c r="C391">
        <v>79.205299</v>
      </c>
    </row>
    <row r="392" spans="1:3">
      <c r="A392">
        <v>140</v>
      </c>
      <c r="B392">
        <v>89.9240840249239</v>
      </c>
      <c r="C392">
        <v>80.179359</v>
      </c>
    </row>
    <row r="393" spans="1:3">
      <c r="A393">
        <v>141</v>
      </c>
      <c r="B393">
        <v>90.1677969576932</v>
      </c>
      <c r="C393">
        <v>80.550545</v>
      </c>
    </row>
    <row r="394" spans="1:3">
      <c r="A394">
        <v>142</v>
      </c>
      <c r="B394">
        <v>90.4115098904624</v>
      </c>
      <c r="C394">
        <v>80.99398</v>
      </c>
    </row>
    <row r="395" spans="1:3">
      <c r="A395">
        <v>143</v>
      </c>
      <c r="B395">
        <v>90.6552228232316</v>
      </c>
      <c r="C395">
        <v>80.296448</v>
      </c>
    </row>
    <row r="396" spans="1:3">
      <c r="A396">
        <v>144</v>
      </c>
      <c r="B396">
        <v>90.8989357560008</v>
      </c>
      <c r="C396">
        <v>82.583374</v>
      </c>
    </row>
    <row r="397" spans="1:3">
      <c r="A397">
        <v>145</v>
      </c>
      <c r="B397">
        <v>91.14264868877</v>
      </c>
      <c r="C397">
        <v>83.07164</v>
      </c>
    </row>
    <row r="398" spans="1:3">
      <c r="A398">
        <v>146</v>
      </c>
      <c r="B398">
        <v>91.3863616215392</v>
      </c>
      <c r="C398">
        <v>85.694878</v>
      </c>
    </row>
    <row r="399" spans="1:3">
      <c r="A399">
        <v>147</v>
      </c>
      <c r="B399">
        <v>91.6300745543084</v>
      </c>
      <c r="C399">
        <v>87.89959</v>
      </c>
    </row>
    <row r="400" spans="1:3">
      <c r="A400">
        <v>148</v>
      </c>
      <c r="B400">
        <v>91.8737874870776</v>
      </c>
      <c r="C400">
        <v>83.679497</v>
      </c>
    </row>
    <row r="401" spans="1:3">
      <c r="A401">
        <v>149</v>
      </c>
      <c r="B401">
        <v>92.1175004198468</v>
      </c>
      <c r="C401">
        <v>84.401947</v>
      </c>
    </row>
    <row r="402" spans="1:3">
      <c r="A402">
        <v>150</v>
      </c>
      <c r="B402">
        <v>92.361213352616</v>
      </c>
      <c r="C402">
        <v>85.445755</v>
      </c>
    </row>
    <row r="403" spans="1:3">
      <c r="A403">
        <v>151</v>
      </c>
      <c r="B403">
        <v>92.6049262853852</v>
      </c>
      <c r="C403">
        <v>87.710258</v>
      </c>
    </row>
    <row r="404" spans="1:3">
      <c r="A404">
        <v>152</v>
      </c>
      <c r="B404">
        <v>92.8486392181544</v>
      </c>
      <c r="C404">
        <v>87.588196</v>
      </c>
    </row>
    <row r="405" spans="1:3">
      <c r="A405">
        <v>153</v>
      </c>
      <c r="B405">
        <v>93.0923521509236</v>
      </c>
      <c r="C405">
        <v>87.623077</v>
      </c>
    </row>
    <row r="406" spans="1:3">
      <c r="A406">
        <v>154</v>
      </c>
      <c r="B406">
        <v>93.3360650836928</v>
      </c>
      <c r="C406">
        <v>87.122337</v>
      </c>
    </row>
    <row r="407" spans="1:3">
      <c r="A407">
        <v>155</v>
      </c>
      <c r="B407">
        <v>93.579778016462</v>
      </c>
      <c r="C407">
        <v>89.401787</v>
      </c>
    </row>
    <row r="408" spans="1:3">
      <c r="A408">
        <v>156</v>
      </c>
      <c r="B408">
        <v>93.8234909492313</v>
      </c>
      <c r="C408">
        <v>91.310051</v>
      </c>
    </row>
    <row r="409" spans="1:3">
      <c r="A409">
        <v>157</v>
      </c>
      <c r="B409">
        <v>94.0672038820005</v>
      </c>
      <c r="C409">
        <v>89.698242</v>
      </c>
    </row>
    <row r="410" spans="1:3">
      <c r="A410">
        <v>158</v>
      </c>
      <c r="B410">
        <v>94.3109168147697</v>
      </c>
      <c r="C410">
        <v>90.889038</v>
      </c>
    </row>
    <row r="411" spans="1:3">
      <c r="A411">
        <v>159</v>
      </c>
      <c r="B411">
        <v>94.5546297475389</v>
      </c>
      <c r="C411">
        <v>88.096405</v>
      </c>
    </row>
    <row r="412" spans="1:3">
      <c r="A412">
        <v>160</v>
      </c>
      <c r="B412">
        <v>94.7983426803081</v>
      </c>
      <c r="C412">
        <v>90.126732</v>
      </c>
    </row>
    <row r="413" spans="1:3">
      <c r="A413">
        <v>161</v>
      </c>
      <c r="B413">
        <v>95.0420556130773</v>
      </c>
      <c r="C413">
        <v>90.879066</v>
      </c>
    </row>
    <row r="414" spans="1:3">
      <c r="A414">
        <v>162</v>
      </c>
      <c r="B414">
        <v>95.2857685458465</v>
      </c>
      <c r="C414">
        <v>90.707176</v>
      </c>
    </row>
    <row r="415" spans="1:3">
      <c r="A415">
        <v>163</v>
      </c>
      <c r="B415">
        <v>95.5294814786157</v>
      </c>
      <c r="C415">
        <v>90.707176</v>
      </c>
    </row>
    <row r="416" spans="1:3">
      <c r="A416">
        <v>164</v>
      </c>
      <c r="B416">
        <v>95.7731944113849</v>
      </c>
      <c r="C416">
        <v>93.133614</v>
      </c>
    </row>
    <row r="417" spans="1:3">
      <c r="A417">
        <v>165</v>
      </c>
      <c r="B417">
        <v>96.0169073441541</v>
      </c>
      <c r="C417">
        <v>92.844635</v>
      </c>
    </row>
    <row r="418" spans="1:3">
      <c r="A418">
        <v>166</v>
      </c>
      <c r="B418">
        <v>96.2606202769233</v>
      </c>
      <c r="C418">
        <v>95.006996</v>
      </c>
    </row>
    <row r="419" spans="1:3">
      <c r="A419">
        <v>167</v>
      </c>
      <c r="B419">
        <v>96.5043332096925</v>
      </c>
      <c r="C419">
        <v>95.415558</v>
      </c>
    </row>
    <row r="420" spans="1:3">
      <c r="A420">
        <v>168</v>
      </c>
      <c r="B420">
        <v>96.7480461424617</v>
      </c>
      <c r="C420">
        <v>95.582466</v>
      </c>
    </row>
    <row r="421" spans="1:3">
      <c r="A421">
        <v>169</v>
      </c>
      <c r="B421">
        <v>96.991759075231</v>
      </c>
      <c r="C421">
        <v>95.141525</v>
      </c>
    </row>
    <row r="422" spans="1:3">
      <c r="A422">
        <v>170</v>
      </c>
      <c r="B422">
        <v>97.2354720080002</v>
      </c>
      <c r="C422">
        <v>96.715965</v>
      </c>
    </row>
    <row r="423" spans="1:3">
      <c r="A423">
        <v>171</v>
      </c>
      <c r="B423">
        <v>97.4791849407694</v>
      </c>
      <c r="C423">
        <v>97.381111</v>
      </c>
    </row>
    <row r="424" spans="1:3">
      <c r="A424">
        <v>172</v>
      </c>
      <c r="B424">
        <v>97.7228978735386</v>
      </c>
      <c r="C424">
        <v>96.182846</v>
      </c>
    </row>
    <row r="425" spans="1:3">
      <c r="A425">
        <v>173</v>
      </c>
      <c r="B425">
        <v>97.9666108063078</v>
      </c>
      <c r="C425">
        <v>95.988533</v>
      </c>
    </row>
    <row r="426" spans="1:3">
      <c r="A426">
        <v>174</v>
      </c>
      <c r="B426">
        <v>98.210323739077</v>
      </c>
      <c r="C426">
        <v>98.011391</v>
      </c>
    </row>
    <row r="427" spans="1:3">
      <c r="A427">
        <v>175</v>
      </c>
      <c r="B427">
        <v>98.4540366718462</v>
      </c>
      <c r="C427">
        <v>96.658661</v>
      </c>
    </row>
    <row r="428" spans="1:3">
      <c r="A428">
        <v>176</v>
      </c>
      <c r="B428">
        <v>98.6977496046154</v>
      </c>
      <c r="C428">
        <v>96.930199</v>
      </c>
    </row>
    <row r="429" spans="1:3">
      <c r="A429">
        <v>177</v>
      </c>
      <c r="B429">
        <v>98.9414625373846</v>
      </c>
      <c r="C429">
        <v>92.518288</v>
      </c>
    </row>
    <row r="430" spans="1:3">
      <c r="A430">
        <v>178</v>
      </c>
      <c r="B430">
        <v>99.1851754701538</v>
      </c>
      <c r="C430">
        <v>92.289093</v>
      </c>
    </row>
    <row r="431" spans="1:3">
      <c r="A431">
        <v>179</v>
      </c>
      <c r="B431">
        <v>99.428888402923</v>
      </c>
      <c r="C431">
        <v>94.476364</v>
      </c>
    </row>
    <row r="432" spans="1:3">
      <c r="A432">
        <v>180</v>
      </c>
      <c r="B432">
        <v>99.6726013356922</v>
      </c>
      <c r="C432">
        <v>92.924355</v>
      </c>
    </row>
    <row r="433" spans="1:3">
      <c r="A433">
        <v>181</v>
      </c>
      <c r="B433">
        <v>99.9163142684614</v>
      </c>
      <c r="C433">
        <v>94.705559</v>
      </c>
    </row>
    <row r="434" spans="1:3">
      <c r="A434">
        <v>182</v>
      </c>
      <c r="B434">
        <v>100.160027201231</v>
      </c>
      <c r="C434">
        <v>95.851517</v>
      </c>
    </row>
    <row r="435" spans="1:3">
      <c r="A435">
        <v>183</v>
      </c>
      <c r="B435">
        <v>100.403740134</v>
      </c>
      <c r="C435">
        <v>105.886086</v>
      </c>
    </row>
    <row r="436" spans="1:3">
      <c r="A436">
        <v>184</v>
      </c>
      <c r="B436">
        <v>100.647453066769</v>
      </c>
      <c r="C436">
        <v>108.554153</v>
      </c>
    </row>
    <row r="437" spans="1:3">
      <c r="A437">
        <v>185</v>
      </c>
      <c r="B437">
        <v>100.891165999538</v>
      </c>
      <c r="C437">
        <v>109.279099</v>
      </c>
    </row>
    <row r="438" spans="1:3">
      <c r="A438">
        <v>186</v>
      </c>
      <c r="B438">
        <v>101.134878932307</v>
      </c>
      <c r="C438">
        <v>109.675194</v>
      </c>
    </row>
    <row r="439" spans="1:3">
      <c r="A439">
        <v>187</v>
      </c>
      <c r="B439">
        <v>101.378591865077</v>
      </c>
      <c r="C439">
        <v>113.501678</v>
      </c>
    </row>
    <row r="440" spans="1:3">
      <c r="A440">
        <v>188</v>
      </c>
      <c r="B440">
        <v>101.622304797846</v>
      </c>
      <c r="C440">
        <v>110.921135</v>
      </c>
    </row>
    <row r="441" spans="1:3">
      <c r="A441">
        <v>189</v>
      </c>
      <c r="B441">
        <v>101.866017730615</v>
      </c>
      <c r="C441">
        <v>112.533356</v>
      </c>
    </row>
    <row r="442" spans="1:3">
      <c r="A442">
        <v>190</v>
      </c>
      <c r="B442">
        <v>102.109730663384</v>
      </c>
      <c r="C442">
        <v>109.186623</v>
      </c>
    </row>
    <row r="443" spans="1:3">
      <c r="A443">
        <v>191</v>
      </c>
      <c r="B443">
        <v>102.353443596154</v>
      </c>
      <c r="C443">
        <v>112.815369</v>
      </c>
    </row>
    <row r="444" spans="1:3">
      <c r="A444">
        <v>192</v>
      </c>
      <c r="B444">
        <v>102.597156528923</v>
      </c>
      <c r="C444">
        <v>114.81192</v>
      </c>
    </row>
    <row r="445" spans="1:3">
      <c r="A445">
        <v>193</v>
      </c>
      <c r="B445">
        <v>102.840869461692</v>
      </c>
      <c r="C445">
        <v>114.709602</v>
      </c>
    </row>
    <row r="446" spans="1:3">
      <c r="A446">
        <v>194</v>
      </c>
      <c r="B446">
        <v>103.084582394461</v>
      </c>
      <c r="C446">
        <v>114.41011</v>
      </c>
    </row>
    <row r="447" spans="1:3">
      <c r="A447">
        <v>195</v>
      </c>
      <c r="B447">
        <v>103.32829532723</v>
      </c>
      <c r="C447">
        <v>115.363472</v>
      </c>
    </row>
    <row r="448" spans="1:3">
      <c r="A448">
        <v>196</v>
      </c>
      <c r="B448">
        <v>103.57200826</v>
      </c>
      <c r="C448">
        <v>115.508217</v>
      </c>
    </row>
    <row r="449" spans="1:3">
      <c r="A449">
        <v>197</v>
      </c>
      <c r="B449">
        <v>103.815721192769</v>
      </c>
      <c r="C449">
        <v>118.071297</v>
      </c>
    </row>
    <row r="450" spans="1:3">
      <c r="A450">
        <v>198</v>
      </c>
      <c r="B450">
        <v>104.059434125538</v>
      </c>
      <c r="C450">
        <v>124.1558</v>
      </c>
    </row>
    <row r="451" spans="1:3">
      <c r="A451">
        <v>199</v>
      </c>
      <c r="B451">
        <v>104.303147058307</v>
      </c>
      <c r="C451">
        <v>125.640739</v>
      </c>
    </row>
    <row r="452" spans="1:3">
      <c r="A452">
        <v>200</v>
      </c>
      <c r="B452">
        <v>104.546859991076</v>
      </c>
      <c r="C452">
        <v>124.610016</v>
      </c>
    </row>
    <row r="453" spans="1:3">
      <c r="A453">
        <v>201</v>
      </c>
      <c r="B453">
        <v>104.790572923846</v>
      </c>
      <c r="C453">
        <v>126.304596</v>
      </c>
    </row>
    <row r="454" spans="1:3">
      <c r="A454">
        <v>202</v>
      </c>
      <c r="B454">
        <v>105.034285856615</v>
      </c>
      <c r="C454">
        <v>124.794701</v>
      </c>
    </row>
    <row r="455" spans="1:3">
      <c r="A455">
        <v>203</v>
      </c>
      <c r="B455">
        <v>105.277998789384</v>
      </c>
      <c r="C455">
        <v>124.592552</v>
      </c>
    </row>
    <row r="456" spans="1:3">
      <c r="A456">
        <v>204</v>
      </c>
      <c r="B456">
        <v>105.521711722153</v>
      </c>
      <c r="C456">
        <v>128.817749</v>
      </c>
    </row>
    <row r="457" spans="1:3">
      <c r="A457">
        <v>205</v>
      </c>
      <c r="B457">
        <v>105.765424654922</v>
      </c>
      <c r="C457">
        <v>133.948898</v>
      </c>
    </row>
    <row r="458" spans="1:3">
      <c r="A458">
        <v>206</v>
      </c>
      <c r="B458">
        <v>106.009137587692</v>
      </c>
      <c r="C458">
        <v>131.173691</v>
      </c>
    </row>
    <row r="459" spans="1:3">
      <c r="A459">
        <v>207</v>
      </c>
      <c r="B459">
        <v>106.252850520461</v>
      </c>
      <c r="C459">
        <v>120.671806</v>
      </c>
    </row>
    <row r="460" spans="1:3">
      <c r="A460">
        <v>208</v>
      </c>
      <c r="B460">
        <v>106.49656345323</v>
      </c>
      <c r="C460">
        <v>120.751671</v>
      </c>
    </row>
    <row r="461" spans="1:3">
      <c r="A461">
        <v>209</v>
      </c>
      <c r="B461">
        <v>106.740276385999</v>
      </c>
      <c r="C461">
        <v>112.625694</v>
      </c>
    </row>
    <row r="462" spans="1:3">
      <c r="A462">
        <v>210</v>
      </c>
      <c r="B462">
        <v>106.983989318768</v>
      </c>
      <c r="C462">
        <v>117.117943</v>
      </c>
    </row>
    <row r="463" spans="1:3">
      <c r="A463">
        <v>211</v>
      </c>
      <c r="B463">
        <v>107.227702251538</v>
      </c>
      <c r="C463">
        <v>113.29454</v>
      </c>
    </row>
    <row r="464" spans="1:3">
      <c r="A464">
        <v>212</v>
      </c>
      <c r="B464">
        <v>107.471415184307</v>
      </c>
      <c r="C464">
        <v>111.807106</v>
      </c>
    </row>
    <row r="465" spans="1:3">
      <c r="A465">
        <v>213</v>
      </c>
      <c r="B465">
        <v>107.715128117076</v>
      </c>
      <c r="C465">
        <v>115.161316</v>
      </c>
    </row>
    <row r="466" spans="1:3">
      <c r="A466">
        <v>214</v>
      </c>
      <c r="B466">
        <v>107.958841049845</v>
      </c>
      <c r="C466">
        <v>115.341011</v>
      </c>
    </row>
    <row r="467" spans="1:3">
      <c r="A467">
        <v>215</v>
      </c>
      <c r="B467">
        <v>108.202553982614</v>
      </c>
      <c r="C467">
        <v>111.936882</v>
      </c>
    </row>
    <row r="468" spans="1:3">
      <c r="A468">
        <v>216</v>
      </c>
      <c r="B468">
        <v>108.446266915384</v>
      </c>
      <c r="C468">
        <v>110.149963</v>
      </c>
    </row>
    <row r="469" spans="1:3">
      <c r="A469">
        <v>217</v>
      </c>
      <c r="B469">
        <v>108.689979848153</v>
      </c>
      <c r="C469">
        <v>106.655991</v>
      </c>
    </row>
    <row r="470" spans="1:3">
      <c r="A470">
        <v>218</v>
      </c>
      <c r="B470">
        <v>108.933692780922</v>
      </c>
      <c r="C470">
        <v>109.890411</v>
      </c>
    </row>
    <row r="471" spans="1:3">
      <c r="A471">
        <v>219</v>
      </c>
      <c r="B471">
        <v>109.177405713691</v>
      </c>
      <c r="C471">
        <v>111.617432</v>
      </c>
    </row>
    <row r="472" spans="1:3">
      <c r="A472">
        <v>220</v>
      </c>
      <c r="B472">
        <v>109.421118646461</v>
      </c>
      <c r="C472">
        <v>106.935509</v>
      </c>
    </row>
    <row r="473" spans="1:3">
      <c r="A473">
        <v>221</v>
      </c>
      <c r="B473">
        <v>109.66483157923</v>
      </c>
      <c r="C473">
        <v>108.033615</v>
      </c>
    </row>
    <row r="474" spans="1:3">
      <c r="A474">
        <v>222</v>
      </c>
      <c r="B474">
        <v>109.908544511999</v>
      </c>
      <c r="C474">
        <v>112.086624</v>
      </c>
    </row>
    <row r="475" spans="1:3">
      <c r="A475">
        <v>223</v>
      </c>
      <c r="B475">
        <v>110.152257444768</v>
      </c>
      <c r="C475">
        <v>114.762009</v>
      </c>
    </row>
    <row r="476" spans="1:3">
      <c r="A476">
        <v>224</v>
      </c>
      <c r="B476">
        <v>110.395970377537</v>
      </c>
      <c r="C476">
        <v>113.893501</v>
      </c>
    </row>
    <row r="477" spans="1:3">
      <c r="A477">
        <v>225</v>
      </c>
      <c r="B477">
        <v>110.639683310307</v>
      </c>
      <c r="C477">
        <v>115.610542</v>
      </c>
    </row>
    <row r="478" spans="1:3">
      <c r="A478">
        <v>226</v>
      </c>
      <c r="B478">
        <v>110.883396243076</v>
      </c>
      <c r="C478">
        <v>116.58886</v>
      </c>
    </row>
    <row r="479" spans="1:3">
      <c r="A479">
        <v>227</v>
      </c>
      <c r="B479">
        <v>111.127109175845</v>
      </c>
      <c r="C479">
        <v>112.825348</v>
      </c>
    </row>
    <row r="480" spans="1:3">
      <c r="A480">
        <v>228</v>
      </c>
      <c r="B480">
        <v>111.370822108614</v>
      </c>
      <c r="C480">
        <v>116.299355</v>
      </c>
    </row>
    <row r="481" spans="1:3">
      <c r="A481">
        <v>229</v>
      </c>
      <c r="B481">
        <v>111.614535041383</v>
      </c>
      <c r="C481">
        <v>112.965111</v>
      </c>
    </row>
    <row r="482" spans="1:3">
      <c r="A482">
        <v>230</v>
      </c>
      <c r="B482">
        <v>111.858247974153</v>
      </c>
      <c r="C482">
        <v>114.881805</v>
      </c>
    </row>
    <row r="483" spans="1:3">
      <c r="A483">
        <v>231</v>
      </c>
      <c r="B483">
        <v>112.101960906922</v>
      </c>
      <c r="C483">
        <v>114.771988</v>
      </c>
    </row>
    <row r="484" spans="1:3">
      <c r="A484">
        <v>232</v>
      </c>
      <c r="B484">
        <v>112.345673839691</v>
      </c>
      <c r="C484">
        <v>116.768547</v>
      </c>
    </row>
    <row r="485" spans="1:3">
      <c r="A485">
        <v>233</v>
      </c>
      <c r="B485">
        <v>112.58938677246</v>
      </c>
      <c r="C485">
        <v>124.185753</v>
      </c>
    </row>
    <row r="486" spans="1:3">
      <c r="A486">
        <v>234</v>
      </c>
      <c r="B486">
        <v>112.833099705229</v>
      </c>
      <c r="C486">
        <v>120.891434</v>
      </c>
    </row>
    <row r="487" spans="1:3">
      <c r="A487">
        <v>235</v>
      </c>
      <c r="B487">
        <v>113.076812637999</v>
      </c>
      <c r="C487">
        <v>120.981277</v>
      </c>
    </row>
    <row r="488" spans="1:3">
      <c r="A488">
        <v>236</v>
      </c>
      <c r="B488">
        <v>113.320525570768</v>
      </c>
      <c r="C488">
        <v>120.502106</v>
      </c>
    </row>
    <row r="489" spans="1:3">
      <c r="A489">
        <v>237</v>
      </c>
      <c r="B489">
        <v>113.564238503537</v>
      </c>
      <c r="C489">
        <v>118.81501</v>
      </c>
    </row>
    <row r="490" spans="1:3">
      <c r="A490">
        <v>238</v>
      </c>
      <c r="B490">
        <v>113.807951436306</v>
      </c>
      <c r="C490">
        <v>115.780251</v>
      </c>
    </row>
    <row r="491" spans="1:3">
      <c r="A491">
        <v>239</v>
      </c>
      <c r="B491">
        <v>114.051664369075</v>
      </c>
      <c r="C491">
        <v>117.307617</v>
      </c>
    </row>
    <row r="492" spans="1:3">
      <c r="A492">
        <v>240</v>
      </c>
      <c r="B492">
        <v>114.295377301845</v>
      </c>
      <c r="C492">
        <v>116.668724</v>
      </c>
    </row>
    <row r="493" spans="1:3">
      <c r="A493">
        <v>241</v>
      </c>
      <c r="B493">
        <v>114.539090234614</v>
      </c>
      <c r="C493">
        <v>115.550644</v>
      </c>
    </row>
    <row r="494" spans="1:3">
      <c r="A494">
        <v>242</v>
      </c>
      <c r="B494">
        <v>114.782803167383</v>
      </c>
      <c r="C494">
        <v>114.841873</v>
      </c>
    </row>
    <row r="495" spans="1:3">
      <c r="A495">
        <v>243</v>
      </c>
      <c r="B495">
        <v>115.026516100152</v>
      </c>
      <c r="C495">
        <v>114.851852</v>
      </c>
    </row>
    <row r="496" spans="1:3">
      <c r="A496">
        <v>244</v>
      </c>
      <c r="B496">
        <v>115.270229032921</v>
      </c>
      <c r="C496">
        <v>116.399178</v>
      </c>
    </row>
    <row r="497" spans="1:3">
      <c r="A497">
        <v>245</v>
      </c>
      <c r="B497">
        <v>115.513941965691</v>
      </c>
      <c r="C497">
        <v>111.008476</v>
      </c>
    </row>
    <row r="498" spans="1:3">
      <c r="A498">
        <v>246</v>
      </c>
      <c r="B498">
        <v>115.75765489846</v>
      </c>
      <c r="C498">
        <v>115.121384</v>
      </c>
    </row>
    <row r="499" spans="1:3">
      <c r="A499">
        <v>247</v>
      </c>
      <c r="B499">
        <v>116.001367831229</v>
      </c>
      <c r="C499">
        <v>108.672516</v>
      </c>
    </row>
    <row r="500" spans="1:3">
      <c r="A500">
        <v>248</v>
      </c>
      <c r="B500">
        <v>116.245080763998</v>
      </c>
      <c r="C500">
        <v>108.582664</v>
      </c>
    </row>
    <row r="501" spans="1:3">
      <c r="A501">
        <v>249</v>
      </c>
      <c r="B501">
        <v>116.488793696768</v>
      </c>
      <c r="C501">
        <v>110.249794</v>
      </c>
    </row>
    <row r="502" spans="1:3">
      <c r="A502">
        <v>250</v>
      </c>
      <c r="B502">
        <v>116.732506629537</v>
      </c>
      <c r="C502">
        <v>114.752022</v>
      </c>
    </row>
    <row r="503" spans="1:3">
      <c r="A503">
        <v>251</v>
      </c>
      <c r="B503">
        <v>116.976219562306</v>
      </c>
      <c r="C503">
        <v>118.824997</v>
      </c>
    </row>
    <row r="504" spans="1:3">
      <c r="A504">
        <v>252</v>
      </c>
      <c r="B504">
        <v>117.219932495075</v>
      </c>
      <c r="C504">
        <v>118.690002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4"/>
  <sheetViews>
    <sheetView workbookViewId="0">
      <selection activeCell="A1" sqref="A1"/>
    </sheetView>
  </sheetViews>
  <sheetFormatPr defaultColWidth="9" defaultRowHeight="15.6" outlineLevelCol="2"/>
  <sheetData>
    <row r="1" spans="1:3">
      <c r="A1">
        <v>1</v>
      </c>
      <c r="B1">
        <v>7.90655762999585</v>
      </c>
      <c r="C1">
        <v>0</v>
      </c>
    </row>
    <row r="2" spans="1:3">
      <c r="A2">
        <v>2</v>
      </c>
      <c r="B2">
        <v>8.16929169722665</v>
      </c>
      <c r="C2">
        <v>0</v>
      </c>
    </row>
    <row r="3" spans="1:3">
      <c r="A3">
        <v>3</v>
      </c>
      <c r="B3">
        <v>7.86656576445744</v>
      </c>
      <c r="C3">
        <v>0</v>
      </c>
    </row>
    <row r="4" spans="1:3">
      <c r="A4">
        <v>4</v>
      </c>
      <c r="B4">
        <v>8.23992583168824</v>
      </c>
      <c r="C4">
        <v>0</v>
      </c>
    </row>
    <row r="5" spans="1:3">
      <c r="A5">
        <v>5</v>
      </c>
      <c r="B5">
        <v>7.54632189891902</v>
      </c>
      <c r="C5">
        <v>0</v>
      </c>
    </row>
    <row r="6" spans="1:3">
      <c r="A6">
        <v>6</v>
      </c>
      <c r="B6">
        <v>8.06966096614982</v>
      </c>
      <c r="C6">
        <v>0</v>
      </c>
    </row>
    <row r="7" spans="1:3">
      <c r="A7">
        <v>7</v>
      </c>
      <c r="B7">
        <v>8.15537003338061</v>
      </c>
      <c r="C7">
        <v>0</v>
      </c>
    </row>
    <row r="8" spans="1:3">
      <c r="A8">
        <v>8</v>
      </c>
      <c r="B8">
        <v>7.7125301006114</v>
      </c>
      <c r="C8">
        <v>0</v>
      </c>
    </row>
    <row r="9" spans="1:3">
      <c r="A9">
        <v>9</v>
      </c>
      <c r="B9">
        <v>6.70668616784219</v>
      </c>
      <c r="C9">
        <v>0</v>
      </c>
    </row>
    <row r="10" spans="1:3">
      <c r="A10">
        <v>10</v>
      </c>
      <c r="B10">
        <v>6.172865235073</v>
      </c>
      <c r="C10">
        <v>0</v>
      </c>
    </row>
    <row r="11" spans="1:3">
      <c r="A11">
        <v>11</v>
      </c>
      <c r="B11">
        <v>5.87261130230378</v>
      </c>
      <c r="C11">
        <v>0</v>
      </c>
    </row>
    <row r="12" spans="1:3">
      <c r="A12">
        <v>12</v>
      </c>
      <c r="B12">
        <v>6.75733936953458</v>
      </c>
      <c r="C12">
        <v>0</v>
      </c>
    </row>
    <row r="13" spans="1:3">
      <c r="A13">
        <v>13</v>
      </c>
      <c r="B13">
        <v>6.00227343676537</v>
      </c>
      <c r="C13">
        <v>0</v>
      </c>
    </row>
    <row r="14" spans="1:3">
      <c r="A14">
        <v>14</v>
      </c>
      <c r="B14">
        <v>6.63131050399616</v>
      </c>
      <c r="C14">
        <v>0</v>
      </c>
    </row>
    <row r="15" spans="1:3">
      <c r="A15">
        <v>15</v>
      </c>
      <c r="B15">
        <v>6.24254757122696</v>
      </c>
      <c r="C15">
        <v>0</v>
      </c>
    </row>
    <row r="16" spans="1:3">
      <c r="A16">
        <v>16</v>
      </c>
      <c r="B16">
        <v>5.23916063845775</v>
      </c>
      <c r="C16">
        <v>0</v>
      </c>
    </row>
    <row r="17" spans="1:3">
      <c r="A17">
        <v>17</v>
      </c>
      <c r="B17">
        <v>3.83752270568854</v>
      </c>
      <c r="C17">
        <v>0</v>
      </c>
    </row>
    <row r="18" spans="1:3">
      <c r="A18">
        <v>18</v>
      </c>
      <c r="B18">
        <v>4.15678677291933</v>
      </c>
      <c r="C18">
        <v>0</v>
      </c>
    </row>
    <row r="19" spans="1:3">
      <c r="A19">
        <v>19</v>
      </c>
      <c r="B19">
        <v>4.85712684015012</v>
      </c>
      <c r="C19">
        <v>0</v>
      </c>
    </row>
    <row r="20" spans="1:3">
      <c r="A20">
        <v>20</v>
      </c>
      <c r="B20">
        <v>5.87459890738091</v>
      </c>
      <c r="C20">
        <v>0</v>
      </c>
    </row>
    <row r="21" spans="1:3">
      <c r="A21">
        <v>21</v>
      </c>
      <c r="B21">
        <v>4.69913897461171</v>
      </c>
      <c r="C21">
        <v>0</v>
      </c>
    </row>
    <row r="22" spans="1:3">
      <c r="A22">
        <v>22</v>
      </c>
      <c r="B22">
        <v>4.8389400418425</v>
      </c>
      <c r="C22">
        <v>0</v>
      </c>
    </row>
    <row r="23" spans="1:3">
      <c r="A23">
        <v>23</v>
      </c>
      <c r="B23">
        <v>5.1582151090733</v>
      </c>
      <c r="C23">
        <v>0</v>
      </c>
    </row>
    <row r="24" spans="1:3">
      <c r="A24">
        <v>24</v>
      </c>
      <c r="B24">
        <v>5.08413417630408</v>
      </c>
      <c r="C24">
        <v>0</v>
      </c>
    </row>
    <row r="25" spans="1:3">
      <c r="A25">
        <v>25</v>
      </c>
      <c r="B25">
        <v>5.74761024353488</v>
      </c>
      <c r="C25">
        <v>0</v>
      </c>
    </row>
    <row r="26" spans="1:3">
      <c r="A26">
        <v>26</v>
      </c>
      <c r="B26">
        <v>6.66182531076567</v>
      </c>
      <c r="C26">
        <v>0</v>
      </c>
    </row>
    <row r="27" spans="1:3">
      <c r="A27">
        <v>27</v>
      </c>
      <c r="B27">
        <v>6.55332837799646</v>
      </c>
      <c r="C27">
        <v>0</v>
      </c>
    </row>
    <row r="28" spans="1:3">
      <c r="A28">
        <v>28</v>
      </c>
      <c r="B28">
        <v>6.14489644522726</v>
      </c>
      <c r="C28">
        <v>0</v>
      </c>
    </row>
    <row r="29" spans="1:3">
      <c r="A29">
        <v>29</v>
      </c>
      <c r="B29">
        <v>5.97001651245805</v>
      </c>
      <c r="C29">
        <v>0</v>
      </c>
    </row>
    <row r="30" spans="1:3">
      <c r="A30">
        <v>30</v>
      </c>
      <c r="B30">
        <v>5.58372557968885</v>
      </c>
      <c r="C30">
        <v>0</v>
      </c>
    </row>
    <row r="31" spans="1:3">
      <c r="A31">
        <v>31</v>
      </c>
      <c r="B31">
        <v>6.46106764691964</v>
      </c>
      <c r="C31">
        <v>0</v>
      </c>
    </row>
    <row r="32" spans="1:3">
      <c r="A32">
        <v>32</v>
      </c>
      <c r="B32">
        <v>6.28373071415044</v>
      </c>
      <c r="C32">
        <v>0</v>
      </c>
    </row>
    <row r="33" spans="1:3">
      <c r="A33">
        <v>33</v>
      </c>
      <c r="B33">
        <v>7.42659178138123</v>
      </c>
      <c r="C33">
        <v>0</v>
      </c>
    </row>
    <row r="34" spans="1:3">
      <c r="A34">
        <v>34</v>
      </c>
      <c r="B34">
        <v>7.15583984861202</v>
      </c>
      <c r="C34">
        <v>0</v>
      </c>
    </row>
    <row r="35" spans="1:3">
      <c r="A35">
        <v>35</v>
      </c>
      <c r="B35">
        <v>7.33498591584281</v>
      </c>
      <c r="C35">
        <v>0</v>
      </c>
    </row>
    <row r="36" spans="1:3">
      <c r="A36">
        <v>36</v>
      </c>
      <c r="B36">
        <v>7.61492398307361</v>
      </c>
      <c r="C36">
        <v>0</v>
      </c>
    </row>
    <row r="37" spans="1:3">
      <c r="A37">
        <v>37</v>
      </c>
      <c r="B37">
        <v>9.01839005030439</v>
      </c>
      <c r="C37">
        <v>0</v>
      </c>
    </row>
    <row r="38" spans="1:3">
      <c r="A38">
        <v>38</v>
      </c>
      <c r="B38">
        <v>8.05678911753519</v>
      </c>
      <c r="C38">
        <v>0</v>
      </c>
    </row>
    <row r="39" spans="1:3">
      <c r="A39">
        <v>39</v>
      </c>
      <c r="B39">
        <v>8.39574118476598</v>
      </c>
      <c r="C39">
        <v>0</v>
      </c>
    </row>
    <row r="40" spans="1:3">
      <c r="A40">
        <v>40</v>
      </c>
      <c r="B40">
        <v>7.80539425199679</v>
      </c>
      <c r="C40">
        <v>0</v>
      </c>
    </row>
    <row r="41" spans="1:3">
      <c r="A41">
        <v>41</v>
      </c>
      <c r="B41">
        <v>8.74173531922757</v>
      </c>
      <c r="C41">
        <v>0</v>
      </c>
    </row>
    <row r="42" spans="1:3">
      <c r="A42">
        <v>42</v>
      </c>
      <c r="B42">
        <v>10.0812813864584</v>
      </c>
      <c r="C42">
        <v>0</v>
      </c>
    </row>
    <row r="43" spans="1:3">
      <c r="A43">
        <v>43</v>
      </c>
      <c r="B43">
        <v>10.0096494536891</v>
      </c>
      <c r="C43">
        <v>0</v>
      </c>
    </row>
    <row r="44" spans="1:3">
      <c r="A44">
        <v>44</v>
      </c>
      <c r="B44">
        <v>11.3958955209199</v>
      </c>
      <c r="C44">
        <v>0</v>
      </c>
    </row>
    <row r="45" spans="1:3">
      <c r="A45">
        <v>45</v>
      </c>
      <c r="B45">
        <v>10.0999675881507</v>
      </c>
      <c r="C45">
        <v>0</v>
      </c>
    </row>
    <row r="46" spans="1:3">
      <c r="A46">
        <v>46</v>
      </c>
      <c r="B46">
        <v>9.52681665538152</v>
      </c>
      <c r="C46">
        <v>0</v>
      </c>
    </row>
    <row r="47" spans="1:3">
      <c r="A47">
        <v>47</v>
      </c>
      <c r="B47">
        <v>10.2419127226123</v>
      </c>
      <c r="C47">
        <v>0</v>
      </c>
    </row>
    <row r="48" spans="1:3">
      <c r="A48">
        <v>48</v>
      </c>
      <c r="B48">
        <v>10.8562017898431</v>
      </c>
      <c r="C48">
        <v>0</v>
      </c>
    </row>
    <row r="49" spans="1:3">
      <c r="A49">
        <v>49</v>
      </c>
      <c r="B49">
        <v>10.0814598570739</v>
      </c>
      <c r="C49">
        <v>0</v>
      </c>
    </row>
    <row r="50" spans="1:3">
      <c r="A50">
        <v>50</v>
      </c>
      <c r="B50">
        <v>10.1155559243047</v>
      </c>
      <c r="C50">
        <v>0</v>
      </c>
    </row>
    <row r="51" spans="1:3">
      <c r="A51">
        <v>51</v>
      </c>
      <c r="B51">
        <v>10.2479879915355</v>
      </c>
      <c r="C51">
        <v>0</v>
      </c>
    </row>
    <row r="52" spans="1:3">
      <c r="A52">
        <v>52</v>
      </c>
      <c r="B52">
        <v>9.77809405876628</v>
      </c>
      <c r="C52">
        <v>0</v>
      </c>
    </row>
    <row r="53" spans="1:3">
      <c r="A53">
        <v>53</v>
      </c>
      <c r="B53">
        <v>7.23325612599707</v>
      </c>
      <c r="C53">
        <v>0</v>
      </c>
    </row>
    <row r="54" spans="1:3">
      <c r="A54">
        <v>54</v>
      </c>
      <c r="B54">
        <v>9.13824019322789</v>
      </c>
      <c r="C54">
        <v>0</v>
      </c>
    </row>
    <row r="55" spans="1:3">
      <c r="A55">
        <v>55</v>
      </c>
      <c r="B55">
        <v>10.5294152604587</v>
      </c>
      <c r="C55">
        <v>0</v>
      </c>
    </row>
    <row r="56" spans="1:3">
      <c r="A56">
        <v>56</v>
      </c>
      <c r="B56">
        <v>10.1701393276895</v>
      </c>
      <c r="C56">
        <v>0</v>
      </c>
    </row>
    <row r="57" spans="1:3">
      <c r="A57">
        <v>57</v>
      </c>
      <c r="B57">
        <v>6.39608439492025</v>
      </c>
      <c r="C57">
        <v>0</v>
      </c>
    </row>
    <row r="58" spans="1:3">
      <c r="A58">
        <v>58</v>
      </c>
      <c r="B58">
        <v>5.94339446215105</v>
      </c>
      <c r="C58">
        <v>0</v>
      </c>
    </row>
    <row r="59" spans="1:3">
      <c r="A59">
        <v>59</v>
      </c>
      <c r="B59">
        <v>8.20486252938184</v>
      </c>
      <c r="C59">
        <v>0</v>
      </c>
    </row>
    <row r="60" spans="1:3">
      <c r="A60">
        <v>60</v>
      </c>
      <c r="B60">
        <v>8.60035559661263</v>
      </c>
      <c r="C60">
        <v>0</v>
      </c>
    </row>
    <row r="61" spans="1:3">
      <c r="A61">
        <v>61</v>
      </c>
      <c r="B61">
        <v>9.28101266384343</v>
      </c>
      <c r="C61">
        <v>0</v>
      </c>
    </row>
    <row r="62" spans="1:3">
      <c r="A62">
        <v>62</v>
      </c>
      <c r="B62">
        <v>7.95054573107421</v>
      </c>
      <c r="C62">
        <v>0</v>
      </c>
    </row>
    <row r="63" spans="1:3">
      <c r="A63">
        <v>63</v>
      </c>
      <c r="B63">
        <v>8.081405798305</v>
      </c>
      <c r="C63">
        <v>0</v>
      </c>
    </row>
    <row r="64" spans="1:3">
      <c r="A64">
        <v>64</v>
      </c>
      <c r="B64">
        <v>7.35961886553581</v>
      </c>
      <c r="C64">
        <v>0</v>
      </c>
    </row>
    <row r="65" spans="1:3">
      <c r="A65">
        <v>65</v>
      </c>
      <c r="B65">
        <v>8.98631293276661</v>
      </c>
      <c r="C65">
        <v>0</v>
      </c>
    </row>
    <row r="66" spans="1:3">
      <c r="A66">
        <v>66</v>
      </c>
      <c r="B66">
        <v>8.16841199999739</v>
      </c>
      <c r="C66">
        <v>0</v>
      </c>
    </row>
    <row r="67" spans="1:3">
      <c r="A67">
        <v>67</v>
      </c>
      <c r="B67">
        <v>7.94442106722818</v>
      </c>
      <c r="C67">
        <v>0</v>
      </c>
    </row>
    <row r="68" spans="1:3">
      <c r="A68">
        <v>68</v>
      </c>
      <c r="B68">
        <v>6.23444513445898</v>
      </c>
      <c r="C68">
        <v>0</v>
      </c>
    </row>
    <row r="69" spans="1:3">
      <c r="A69">
        <v>69</v>
      </c>
      <c r="B69">
        <v>7.12923620168976</v>
      </c>
      <c r="C69">
        <v>0</v>
      </c>
    </row>
    <row r="70" spans="1:3">
      <c r="A70">
        <v>70</v>
      </c>
      <c r="B70">
        <v>6.06738526892055</v>
      </c>
      <c r="C70">
        <v>0</v>
      </c>
    </row>
    <row r="71" spans="1:3">
      <c r="A71">
        <v>71</v>
      </c>
      <c r="B71">
        <v>4.03705133615135</v>
      </c>
      <c r="C71">
        <v>0</v>
      </c>
    </row>
    <row r="72" spans="1:3">
      <c r="A72">
        <v>72</v>
      </c>
      <c r="B72">
        <v>0.128917403382147</v>
      </c>
      <c r="C72">
        <v>0</v>
      </c>
    </row>
    <row r="73" spans="1:3">
      <c r="A73">
        <v>73</v>
      </c>
      <c r="B73">
        <v>-2.60374052938705</v>
      </c>
      <c r="C73">
        <v>0</v>
      </c>
    </row>
    <row r="74" spans="1:3">
      <c r="A74">
        <v>74</v>
      </c>
      <c r="B74">
        <v>-1.72126346215627</v>
      </c>
      <c r="C74">
        <v>0</v>
      </c>
    </row>
    <row r="75" spans="1:3">
      <c r="A75">
        <v>75</v>
      </c>
      <c r="B75">
        <v>-6.67918639492547</v>
      </c>
      <c r="C75">
        <v>0</v>
      </c>
    </row>
    <row r="76" spans="1:3">
      <c r="A76">
        <v>76</v>
      </c>
      <c r="B76">
        <v>-6.96232832769469</v>
      </c>
      <c r="C76">
        <v>0</v>
      </c>
    </row>
    <row r="77" spans="1:3">
      <c r="A77">
        <v>77</v>
      </c>
      <c r="B77">
        <v>-0.934396260463885</v>
      </c>
      <c r="C77">
        <v>0</v>
      </c>
    </row>
    <row r="78" spans="1:3">
      <c r="A78">
        <v>78</v>
      </c>
      <c r="B78">
        <v>-3.5167251932331</v>
      </c>
      <c r="C78">
        <v>0</v>
      </c>
    </row>
    <row r="79" spans="1:3">
      <c r="A79">
        <v>79</v>
      </c>
      <c r="B79">
        <v>-0.453355126002293</v>
      </c>
      <c r="C79">
        <v>0</v>
      </c>
    </row>
    <row r="80" spans="1:3">
      <c r="A80">
        <v>80</v>
      </c>
      <c r="B80">
        <v>-3.11700505877151</v>
      </c>
      <c r="C80">
        <v>0</v>
      </c>
    </row>
    <row r="81" spans="1:3">
      <c r="A81">
        <v>81</v>
      </c>
      <c r="B81">
        <v>-4.31933599154073</v>
      </c>
      <c r="C81">
        <v>0</v>
      </c>
    </row>
    <row r="82" spans="1:3">
      <c r="A82">
        <v>82</v>
      </c>
      <c r="B82">
        <v>-10.1964259243099</v>
      </c>
      <c r="C82">
        <v>0</v>
      </c>
    </row>
    <row r="83" spans="1:3">
      <c r="A83">
        <v>83</v>
      </c>
      <c r="B83">
        <v>-5.71607885707914</v>
      </c>
      <c r="C83">
        <v>0</v>
      </c>
    </row>
    <row r="84" spans="1:3">
      <c r="A84">
        <v>84</v>
      </c>
      <c r="B84">
        <v>-8.40191478984833</v>
      </c>
      <c r="C84">
        <v>0</v>
      </c>
    </row>
    <row r="85" spans="1:3">
      <c r="A85">
        <v>85</v>
      </c>
      <c r="B85">
        <v>-15.3485317226176</v>
      </c>
      <c r="C85">
        <v>0</v>
      </c>
    </row>
    <row r="86" spans="1:3">
      <c r="A86">
        <v>86</v>
      </c>
      <c r="B86">
        <v>-8.26341065538675</v>
      </c>
      <c r="C86">
        <v>0</v>
      </c>
    </row>
    <row r="87" spans="1:3">
      <c r="A87">
        <v>87</v>
      </c>
      <c r="B87">
        <v>-17.319466588156</v>
      </c>
      <c r="C87">
        <v>0</v>
      </c>
    </row>
    <row r="88" spans="1:3">
      <c r="A88">
        <v>88</v>
      </c>
      <c r="B88">
        <v>-14.9387025209252</v>
      </c>
      <c r="C88">
        <v>0</v>
      </c>
    </row>
    <row r="89" spans="1:3">
      <c r="A89">
        <v>89</v>
      </c>
      <c r="B89">
        <v>-16.7078134536944</v>
      </c>
      <c r="C89">
        <v>0</v>
      </c>
    </row>
    <row r="90" spans="1:3">
      <c r="A90">
        <v>90</v>
      </c>
      <c r="B90">
        <v>-17.4172813864636</v>
      </c>
      <c r="C90">
        <v>0</v>
      </c>
    </row>
    <row r="91" spans="1:3">
      <c r="A91">
        <v>91</v>
      </c>
      <c r="B91">
        <v>-21.4905163192328</v>
      </c>
      <c r="C91">
        <v>0</v>
      </c>
    </row>
    <row r="92" spans="1:3">
      <c r="A92">
        <v>92</v>
      </c>
      <c r="B92">
        <v>-22.934344252002</v>
      </c>
      <c r="C92">
        <v>0</v>
      </c>
    </row>
    <row r="93" spans="1:3">
      <c r="A93">
        <v>93</v>
      </c>
      <c r="B93">
        <v>-17.6309151847712</v>
      </c>
      <c r="C93">
        <v>0</v>
      </c>
    </row>
    <row r="94" spans="1:3">
      <c r="A94">
        <v>94</v>
      </c>
      <c r="B94">
        <v>-18.2097721175404</v>
      </c>
      <c r="C94">
        <v>0</v>
      </c>
    </row>
    <row r="95" spans="1:3">
      <c r="A95">
        <v>95</v>
      </c>
      <c r="B95">
        <v>-15.2696090503096</v>
      </c>
      <c r="C95">
        <v>0</v>
      </c>
    </row>
    <row r="96" spans="1:3">
      <c r="A96">
        <v>96</v>
      </c>
      <c r="B96">
        <v>-18.1501209830788</v>
      </c>
      <c r="C96">
        <v>0</v>
      </c>
    </row>
    <row r="97" spans="1:3">
      <c r="A97">
        <v>97</v>
      </c>
      <c r="B97">
        <v>-16.651577915848</v>
      </c>
      <c r="C97">
        <v>0</v>
      </c>
    </row>
    <row r="98" spans="1:3">
      <c r="A98">
        <v>98</v>
      </c>
      <c r="B98">
        <v>-17.0234338486172</v>
      </c>
      <c r="C98">
        <v>0</v>
      </c>
    </row>
    <row r="99" spans="1:3">
      <c r="A99">
        <v>99</v>
      </c>
      <c r="B99">
        <v>-20.5643797813864</v>
      </c>
      <c r="C99">
        <v>0</v>
      </c>
    </row>
    <row r="100" spans="1:3">
      <c r="A100">
        <v>100</v>
      </c>
      <c r="B100">
        <v>-19.8174467141557</v>
      </c>
      <c r="C100">
        <v>0</v>
      </c>
    </row>
    <row r="101" spans="1:3">
      <c r="A101">
        <v>101</v>
      </c>
      <c r="B101">
        <v>-20.9285876469249</v>
      </c>
      <c r="C101">
        <v>0</v>
      </c>
    </row>
    <row r="102" spans="1:3">
      <c r="A102">
        <v>102</v>
      </c>
      <c r="B102">
        <v>-15.9824885796941</v>
      </c>
      <c r="C102">
        <v>0</v>
      </c>
    </row>
    <row r="103" spans="1:3">
      <c r="A103">
        <v>103</v>
      </c>
      <c r="B103">
        <v>-16.9753505124633</v>
      </c>
      <c r="C103">
        <v>0</v>
      </c>
    </row>
    <row r="104" spans="1:3">
      <c r="A104">
        <v>104</v>
      </c>
      <c r="B104">
        <v>-15.5827614452325</v>
      </c>
      <c r="C104">
        <v>0</v>
      </c>
    </row>
    <row r="105" spans="1:3">
      <c r="A105">
        <v>105</v>
      </c>
      <c r="B105">
        <v>-15.3533293780017</v>
      </c>
      <c r="C105">
        <v>0</v>
      </c>
    </row>
    <row r="106" spans="1:3">
      <c r="A106">
        <v>106</v>
      </c>
      <c r="B106">
        <v>-14.3008153107709</v>
      </c>
      <c r="C106">
        <v>0</v>
      </c>
    </row>
    <row r="107" spans="1:3">
      <c r="A107">
        <v>107</v>
      </c>
      <c r="B107">
        <v>-11.1438022435401</v>
      </c>
      <c r="C107">
        <v>0</v>
      </c>
    </row>
    <row r="108" spans="1:3">
      <c r="A108">
        <v>108</v>
      </c>
      <c r="B108">
        <v>-12.0331601763093</v>
      </c>
      <c r="C108">
        <v>0</v>
      </c>
    </row>
    <row r="109" spans="1:3">
      <c r="A109">
        <v>109</v>
      </c>
      <c r="B109">
        <v>-11.7199431090785</v>
      </c>
      <c r="C109">
        <v>0</v>
      </c>
    </row>
    <row r="110" spans="1:3">
      <c r="A110">
        <v>110</v>
      </c>
      <c r="B110">
        <v>-12.9222740418477</v>
      </c>
      <c r="C110">
        <v>0</v>
      </c>
    </row>
    <row r="111" spans="1:3">
      <c r="A111">
        <v>111</v>
      </c>
      <c r="B111">
        <v>-14.6125279746169</v>
      </c>
      <c r="C111">
        <v>0</v>
      </c>
    </row>
    <row r="112" spans="1:3">
      <c r="A112">
        <v>112</v>
      </c>
      <c r="B112">
        <v>-16.9656839073861</v>
      </c>
      <c r="C112">
        <v>0</v>
      </c>
    </row>
    <row r="113" spans="1:3">
      <c r="A113">
        <v>113</v>
      </c>
      <c r="B113">
        <v>-15.3044828401554</v>
      </c>
      <c r="C113">
        <v>0</v>
      </c>
    </row>
    <row r="114" spans="1:3">
      <c r="A114">
        <v>114</v>
      </c>
      <c r="B114">
        <v>-15.8118747729246</v>
      </c>
      <c r="C114">
        <v>0</v>
      </c>
    </row>
    <row r="115" spans="1:3">
      <c r="A115">
        <v>115</v>
      </c>
      <c r="B115">
        <v>-14.0989377056938</v>
      </c>
      <c r="C115">
        <v>0</v>
      </c>
    </row>
    <row r="116" spans="1:3">
      <c r="A116">
        <v>116</v>
      </c>
      <c r="B116">
        <v>-14.293364638463</v>
      </c>
      <c r="C116">
        <v>0</v>
      </c>
    </row>
    <row r="117" spans="1:3">
      <c r="A117">
        <v>117</v>
      </c>
      <c r="B117">
        <v>-15.6681965712322</v>
      </c>
      <c r="C117">
        <v>0</v>
      </c>
    </row>
    <row r="118" spans="1:3">
      <c r="A118">
        <v>118</v>
      </c>
      <c r="B118">
        <v>-13.6570655040014</v>
      </c>
      <c r="C118">
        <v>0</v>
      </c>
    </row>
    <row r="119" spans="1:3">
      <c r="A119">
        <v>119</v>
      </c>
      <c r="B119">
        <v>-12.4049584367706</v>
      </c>
      <c r="C119">
        <v>0</v>
      </c>
    </row>
    <row r="120" spans="1:3">
      <c r="A120">
        <v>120</v>
      </c>
      <c r="B120">
        <v>-13.8142833695398</v>
      </c>
      <c r="C120">
        <v>0</v>
      </c>
    </row>
    <row r="121" spans="1:3">
      <c r="A121">
        <v>121</v>
      </c>
      <c r="B121">
        <v>-13.050092302309</v>
      </c>
      <c r="C121">
        <v>0</v>
      </c>
    </row>
    <row r="122" spans="1:3">
      <c r="A122">
        <v>122</v>
      </c>
      <c r="B122">
        <v>-12.2095152350782</v>
      </c>
      <c r="C122">
        <v>0</v>
      </c>
    </row>
    <row r="123" spans="1:3">
      <c r="A123">
        <v>123</v>
      </c>
      <c r="B123">
        <v>-11.6966821678474</v>
      </c>
      <c r="C123">
        <v>0</v>
      </c>
    </row>
    <row r="124" spans="1:3">
      <c r="A124">
        <v>124</v>
      </c>
      <c r="B124">
        <v>-11.1740071006166</v>
      </c>
      <c r="C124">
        <v>0</v>
      </c>
    </row>
    <row r="125" spans="1:3">
      <c r="A125">
        <v>125</v>
      </c>
      <c r="B125">
        <v>-9.00871603338582</v>
      </c>
      <c r="C125">
        <v>0</v>
      </c>
    </row>
    <row r="126" spans="1:3">
      <c r="A126">
        <v>126</v>
      </c>
      <c r="B126">
        <v>-8.03673096615505</v>
      </c>
      <c r="C126">
        <v>0</v>
      </c>
    </row>
    <row r="127" spans="1:3">
      <c r="A127">
        <v>127</v>
      </c>
      <c r="B127">
        <v>-9.17727889892426</v>
      </c>
      <c r="C127">
        <v>0</v>
      </c>
    </row>
    <row r="128" spans="1:3">
      <c r="A128">
        <v>128</v>
      </c>
      <c r="B128">
        <v>-10.3576758316935</v>
      </c>
      <c r="C128">
        <v>0</v>
      </c>
    </row>
    <row r="129" spans="1:3">
      <c r="A129">
        <v>129</v>
      </c>
      <c r="B129">
        <v>-10.1305557644627</v>
      </c>
      <c r="C129">
        <v>0</v>
      </c>
    </row>
    <row r="130" spans="1:3">
      <c r="A130">
        <v>130</v>
      </c>
      <c r="B130">
        <v>-10.8301626972319</v>
      </c>
      <c r="C130">
        <v>0</v>
      </c>
    </row>
    <row r="131" spans="1:3">
      <c r="A131">
        <v>131</v>
      </c>
      <c r="B131">
        <v>-9.26775363000108</v>
      </c>
      <c r="C131">
        <v>0</v>
      </c>
    </row>
    <row r="132" spans="1:3">
      <c r="A132">
        <v>132</v>
      </c>
      <c r="B132">
        <v>-9.96485956277027</v>
      </c>
      <c r="C132">
        <v>0</v>
      </c>
    </row>
    <row r="133" spans="1:3">
      <c r="A133">
        <v>133</v>
      </c>
      <c r="B133">
        <v>-8.6914284955395</v>
      </c>
      <c r="C133">
        <v>0</v>
      </c>
    </row>
    <row r="134" spans="1:3">
      <c r="A134">
        <v>134</v>
      </c>
      <c r="B134">
        <v>-9.52805242830871</v>
      </c>
      <c r="C134">
        <v>0</v>
      </c>
    </row>
    <row r="135" spans="1:3">
      <c r="A135">
        <v>135</v>
      </c>
      <c r="B135">
        <v>-9.2635563610779</v>
      </c>
      <c r="C135">
        <v>0</v>
      </c>
    </row>
    <row r="136" spans="1:3">
      <c r="A136">
        <v>136</v>
      </c>
      <c r="B136">
        <v>-10.0453702938471</v>
      </c>
      <c r="C136">
        <v>0</v>
      </c>
    </row>
    <row r="137" spans="1:3">
      <c r="A137">
        <v>137</v>
      </c>
      <c r="B137">
        <v>-9.94530222661632</v>
      </c>
      <c r="C137">
        <v>0</v>
      </c>
    </row>
    <row r="138" spans="1:3">
      <c r="A138">
        <v>138</v>
      </c>
      <c r="B138">
        <v>-10.1541341593855</v>
      </c>
      <c r="C138">
        <v>0</v>
      </c>
    </row>
    <row r="139" spans="1:3">
      <c r="A139">
        <v>139</v>
      </c>
      <c r="B139">
        <v>-10.4750720921547</v>
      </c>
      <c r="C139">
        <v>0</v>
      </c>
    </row>
    <row r="140" spans="1:3">
      <c r="A140">
        <v>140</v>
      </c>
      <c r="B140">
        <v>-9.74472502492394</v>
      </c>
      <c r="C140">
        <v>0</v>
      </c>
    </row>
    <row r="141" spans="1:3">
      <c r="A141">
        <v>141</v>
      </c>
      <c r="B141">
        <v>-9.61725195769316</v>
      </c>
      <c r="C141">
        <v>0</v>
      </c>
    </row>
    <row r="142" spans="1:3">
      <c r="A142">
        <v>142</v>
      </c>
      <c r="B142">
        <v>-9.41752989046236</v>
      </c>
      <c r="C142">
        <v>0</v>
      </c>
    </row>
    <row r="143" spans="1:3">
      <c r="A143">
        <v>143</v>
      </c>
      <c r="B143">
        <v>-10.3587748232316</v>
      </c>
      <c r="C143">
        <v>0</v>
      </c>
    </row>
    <row r="144" spans="1:3">
      <c r="A144">
        <v>144</v>
      </c>
      <c r="B144">
        <v>-8.31556175600076</v>
      </c>
      <c r="C144">
        <v>0</v>
      </c>
    </row>
    <row r="145" spans="1:3">
      <c r="A145">
        <v>145</v>
      </c>
      <c r="B145">
        <v>-8.07100868876998</v>
      </c>
      <c r="C145">
        <v>0</v>
      </c>
    </row>
    <row r="146" spans="1:3">
      <c r="A146">
        <v>146</v>
      </c>
      <c r="B146">
        <v>-5.69148362153918</v>
      </c>
      <c r="C146">
        <v>0</v>
      </c>
    </row>
    <row r="147" spans="1:3">
      <c r="A147">
        <v>147</v>
      </c>
      <c r="B147">
        <v>-3.73048455430838</v>
      </c>
      <c r="C147">
        <v>0</v>
      </c>
    </row>
    <row r="148" spans="1:3">
      <c r="A148">
        <v>148</v>
      </c>
      <c r="B148">
        <v>-8.19429048707759</v>
      </c>
      <c r="C148">
        <v>0</v>
      </c>
    </row>
    <row r="149" spans="1:3">
      <c r="A149">
        <v>149</v>
      </c>
      <c r="B149">
        <v>-7.7155534198468</v>
      </c>
      <c r="C149">
        <v>0</v>
      </c>
    </row>
    <row r="150" spans="1:3">
      <c r="A150">
        <v>150</v>
      </c>
      <c r="B150">
        <v>-6.915458352616</v>
      </c>
      <c r="C150">
        <v>0</v>
      </c>
    </row>
    <row r="151" spans="1:3">
      <c r="A151">
        <v>151</v>
      </c>
      <c r="B151">
        <v>-4.89466828538522</v>
      </c>
      <c r="C151">
        <v>0</v>
      </c>
    </row>
    <row r="152" spans="1:3">
      <c r="A152">
        <v>152</v>
      </c>
      <c r="B152">
        <v>-5.26044321815444</v>
      </c>
      <c r="C152">
        <v>0</v>
      </c>
    </row>
    <row r="153" spans="1:3">
      <c r="A153">
        <v>153</v>
      </c>
      <c r="B153">
        <v>-5.46927515092364</v>
      </c>
      <c r="C153">
        <v>0</v>
      </c>
    </row>
    <row r="154" spans="1:3">
      <c r="A154">
        <v>154</v>
      </c>
      <c r="B154">
        <v>-6.21372808369283</v>
      </c>
      <c r="C154">
        <v>0</v>
      </c>
    </row>
    <row r="155" spans="1:3">
      <c r="A155">
        <v>155</v>
      </c>
      <c r="B155">
        <v>-4.17799101646204</v>
      </c>
      <c r="C155">
        <v>0</v>
      </c>
    </row>
    <row r="156" spans="1:3">
      <c r="A156">
        <v>156</v>
      </c>
      <c r="B156">
        <v>-2.51343994923126</v>
      </c>
      <c r="C156">
        <v>0</v>
      </c>
    </row>
    <row r="157" spans="1:3">
      <c r="A157">
        <v>157</v>
      </c>
      <c r="B157">
        <v>-4.36896188200046</v>
      </c>
      <c r="C157">
        <v>0</v>
      </c>
    </row>
    <row r="158" spans="1:3">
      <c r="A158">
        <v>158</v>
      </c>
      <c r="B158">
        <v>-3.42187881476967</v>
      </c>
      <c r="C158">
        <v>0</v>
      </c>
    </row>
    <row r="159" spans="1:3">
      <c r="A159">
        <v>159</v>
      </c>
      <c r="B159">
        <v>-6.45822474753888</v>
      </c>
      <c r="C159">
        <v>0</v>
      </c>
    </row>
    <row r="160" spans="1:3">
      <c r="A160">
        <v>160</v>
      </c>
      <c r="B160">
        <v>-4.67161068030808</v>
      </c>
      <c r="C160">
        <v>0</v>
      </c>
    </row>
    <row r="161" spans="1:3">
      <c r="A161">
        <v>161</v>
      </c>
      <c r="B161">
        <v>-4.16298961307729</v>
      </c>
      <c r="C161">
        <v>0</v>
      </c>
    </row>
    <row r="162" spans="1:3">
      <c r="A162">
        <v>162</v>
      </c>
      <c r="B162">
        <v>-4.57859254584649</v>
      </c>
      <c r="C162">
        <v>0</v>
      </c>
    </row>
    <row r="163" spans="1:3">
      <c r="A163">
        <v>163</v>
      </c>
      <c r="B163">
        <v>-4.8223054786157</v>
      </c>
      <c r="C163">
        <v>0</v>
      </c>
    </row>
    <row r="164" spans="1:3">
      <c r="A164">
        <v>164</v>
      </c>
      <c r="B164">
        <v>-2.63958041138491</v>
      </c>
      <c r="C164">
        <v>0</v>
      </c>
    </row>
    <row r="165" spans="1:3">
      <c r="A165">
        <v>165</v>
      </c>
      <c r="B165">
        <v>-3.17227234415412</v>
      </c>
      <c r="C165">
        <v>0</v>
      </c>
    </row>
    <row r="166" spans="1:3">
      <c r="A166">
        <v>166</v>
      </c>
      <c r="B166">
        <v>-1.25362427692333</v>
      </c>
      <c r="C166">
        <v>0</v>
      </c>
    </row>
    <row r="167" spans="1:3">
      <c r="A167">
        <v>167</v>
      </c>
      <c r="B167">
        <v>-1.08877520969253</v>
      </c>
      <c r="C167">
        <v>0</v>
      </c>
    </row>
    <row r="168" spans="1:3">
      <c r="A168">
        <v>168</v>
      </c>
      <c r="B168">
        <v>-1.16558014246174</v>
      </c>
      <c r="C168">
        <v>0</v>
      </c>
    </row>
    <row r="169" spans="1:3">
      <c r="A169">
        <v>169</v>
      </c>
      <c r="B169">
        <v>-1.85023407523094</v>
      </c>
      <c r="C169">
        <v>0</v>
      </c>
    </row>
    <row r="170" spans="1:3">
      <c r="A170">
        <v>170</v>
      </c>
      <c r="B170">
        <v>-0.519507008000161</v>
      </c>
      <c r="C170">
        <v>0</v>
      </c>
    </row>
    <row r="171" spans="1:3">
      <c r="A171">
        <v>171</v>
      </c>
      <c r="B171">
        <v>-0.0980739407693534</v>
      </c>
      <c r="C171">
        <v>0</v>
      </c>
    </row>
    <row r="172" spans="1:3">
      <c r="A172">
        <v>172</v>
      </c>
      <c r="B172">
        <v>-1.54005187353857</v>
      </c>
      <c r="C172">
        <v>0</v>
      </c>
    </row>
    <row r="173" spans="1:3">
      <c r="A173">
        <v>173</v>
      </c>
      <c r="B173">
        <v>-1.97807780630778</v>
      </c>
      <c r="C173">
        <v>0</v>
      </c>
    </row>
    <row r="174" spans="1:3">
      <c r="A174">
        <v>174</v>
      </c>
      <c r="B174">
        <v>-0.19893273907698</v>
      </c>
      <c r="C174">
        <v>0</v>
      </c>
    </row>
    <row r="175" spans="1:3">
      <c r="A175">
        <v>175</v>
      </c>
      <c r="B175">
        <v>-1.79537567184619</v>
      </c>
      <c r="C175">
        <v>0</v>
      </c>
    </row>
    <row r="176" spans="1:3">
      <c r="A176">
        <v>176</v>
      </c>
      <c r="B176">
        <v>-1.76755060461539</v>
      </c>
      <c r="C176">
        <v>0</v>
      </c>
    </row>
    <row r="177" spans="1:3">
      <c r="A177">
        <v>177</v>
      </c>
      <c r="B177">
        <v>-6.42317453738461</v>
      </c>
      <c r="C177">
        <v>0</v>
      </c>
    </row>
    <row r="178" spans="1:3">
      <c r="A178">
        <v>178</v>
      </c>
      <c r="B178">
        <v>-6.89608247015381</v>
      </c>
      <c r="C178">
        <v>0</v>
      </c>
    </row>
    <row r="179" spans="1:3">
      <c r="A179">
        <v>179</v>
      </c>
      <c r="B179">
        <v>-4.952524402923</v>
      </c>
      <c r="C179">
        <v>0</v>
      </c>
    </row>
    <row r="180" spans="1:3">
      <c r="A180">
        <v>180</v>
      </c>
      <c r="B180">
        <v>-6.74824633569222</v>
      </c>
      <c r="C180">
        <v>0</v>
      </c>
    </row>
    <row r="181" spans="1:3">
      <c r="A181">
        <v>181</v>
      </c>
      <c r="B181">
        <v>-5.21075526846144</v>
      </c>
      <c r="C181">
        <v>0</v>
      </c>
    </row>
    <row r="182" spans="1:3">
      <c r="A182">
        <v>182</v>
      </c>
      <c r="B182">
        <v>-4.30851020123063</v>
      </c>
      <c r="C182">
        <v>0</v>
      </c>
    </row>
    <row r="183" spans="1:3">
      <c r="A183">
        <v>183</v>
      </c>
      <c r="B183">
        <v>5.48234586600016</v>
      </c>
      <c r="C183">
        <v>0</v>
      </c>
    </row>
    <row r="184" spans="1:3">
      <c r="A184">
        <v>184</v>
      </c>
      <c r="B184">
        <v>7.90669993323094</v>
      </c>
      <c r="C184">
        <v>0</v>
      </c>
    </row>
    <row r="185" spans="1:3">
      <c r="A185">
        <v>185</v>
      </c>
      <c r="B185">
        <v>8.38793300046174</v>
      </c>
      <c r="C185">
        <v>0</v>
      </c>
    </row>
    <row r="186" spans="1:3">
      <c r="A186">
        <v>186</v>
      </c>
      <c r="B186">
        <v>8.54031506769255</v>
      </c>
      <c r="C186">
        <v>0</v>
      </c>
    </row>
    <row r="187" spans="1:3">
      <c r="A187">
        <v>187</v>
      </c>
      <c r="B187">
        <v>12.1230861349233</v>
      </c>
      <c r="C187">
        <v>0</v>
      </c>
    </row>
    <row r="188" spans="1:3">
      <c r="A188">
        <v>188</v>
      </c>
      <c r="B188">
        <v>9.29883020215412</v>
      </c>
      <c r="C188">
        <v>0</v>
      </c>
    </row>
    <row r="189" spans="1:3">
      <c r="A189">
        <v>189</v>
      </c>
      <c r="B189">
        <v>10.6673382693849</v>
      </c>
      <c r="C189">
        <v>0</v>
      </c>
    </row>
    <row r="190" spans="1:3">
      <c r="A190">
        <v>190</v>
      </c>
      <c r="B190">
        <v>7.0768923366157</v>
      </c>
      <c r="C190">
        <v>0</v>
      </c>
    </row>
    <row r="191" spans="1:3">
      <c r="A191">
        <v>191</v>
      </c>
      <c r="B191">
        <v>10.4619254038465</v>
      </c>
      <c r="C191">
        <v>0</v>
      </c>
    </row>
    <row r="192" spans="1:3">
      <c r="A192">
        <v>192</v>
      </c>
      <c r="B192">
        <v>12.2147634710773</v>
      </c>
      <c r="C192">
        <v>0</v>
      </c>
    </row>
    <row r="193" spans="1:3">
      <c r="A193">
        <v>193</v>
      </c>
      <c r="B193">
        <v>11.8687325383081</v>
      </c>
      <c r="C193">
        <v>0</v>
      </c>
    </row>
    <row r="194" spans="1:3">
      <c r="A194">
        <v>194</v>
      </c>
      <c r="B194">
        <v>11.3255276055389</v>
      </c>
      <c r="C194">
        <v>0</v>
      </c>
    </row>
    <row r="195" spans="1:3">
      <c r="A195">
        <v>195</v>
      </c>
      <c r="B195">
        <v>12.0351766727697</v>
      </c>
      <c r="C195">
        <v>0</v>
      </c>
    </row>
    <row r="196" spans="1:3">
      <c r="A196">
        <v>196</v>
      </c>
      <c r="B196">
        <v>11.9362087400005</v>
      </c>
      <c r="C196">
        <v>0</v>
      </c>
    </row>
    <row r="197" spans="1:3">
      <c r="A197">
        <v>197</v>
      </c>
      <c r="B197">
        <v>14.2555758072313</v>
      </c>
      <c r="C197">
        <v>0</v>
      </c>
    </row>
    <row r="198" spans="1:3">
      <c r="A198">
        <v>198</v>
      </c>
      <c r="B198">
        <v>20.096365874462</v>
      </c>
      <c r="C198">
        <v>0</v>
      </c>
    </row>
    <row r="199" spans="1:3">
      <c r="A199">
        <v>199</v>
      </c>
      <c r="B199">
        <v>21.3375919416928</v>
      </c>
      <c r="C199">
        <v>0</v>
      </c>
    </row>
    <row r="200" spans="1:3">
      <c r="A200">
        <v>200</v>
      </c>
      <c r="B200">
        <v>20.0631560089236</v>
      </c>
      <c r="C200">
        <v>0</v>
      </c>
    </row>
    <row r="201" spans="1:3">
      <c r="A201">
        <v>201</v>
      </c>
      <c r="B201">
        <v>21.5140230761544</v>
      </c>
      <c r="C201">
        <v>0</v>
      </c>
    </row>
    <row r="202" spans="1:3">
      <c r="A202">
        <v>202</v>
      </c>
      <c r="B202">
        <v>19.7604151433852</v>
      </c>
      <c r="C202">
        <v>0</v>
      </c>
    </row>
    <row r="203" spans="1:3">
      <c r="A203">
        <v>203</v>
      </c>
      <c r="B203">
        <v>19.314553210616</v>
      </c>
      <c r="C203">
        <v>0</v>
      </c>
    </row>
    <row r="204" spans="1:3">
      <c r="A204">
        <v>204</v>
      </c>
      <c r="B204">
        <v>23.2960372778468</v>
      </c>
      <c r="C204">
        <v>0</v>
      </c>
    </row>
    <row r="205" spans="1:3">
      <c r="A205">
        <v>205</v>
      </c>
      <c r="B205">
        <v>28.1834733450776</v>
      </c>
      <c r="C205">
        <v>0</v>
      </c>
    </row>
    <row r="206" spans="1:3">
      <c r="A206">
        <v>206</v>
      </c>
      <c r="B206">
        <v>25.1645534123084</v>
      </c>
      <c r="C206">
        <v>0</v>
      </c>
    </row>
    <row r="207" spans="1:3">
      <c r="A207">
        <v>207</v>
      </c>
      <c r="B207">
        <v>14.4189554795392</v>
      </c>
      <c r="C207">
        <v>0</v>
      </c>
    </row>
    <row r="208" spans="1:3">
      <c r="A208">
        <v>208</v>
      </c>
      <c r="B208">
        <v>14.25510754677</v>
      </c>
      <c r="C208">
        <v>0</v>
      </c>
    </row>
    <row r="209" spans="1:3">
      <c r="A209">
        <v>209</v>
      </c>
      <c r="B209">
        <v>5.88541761400076</v>
      </c>
      <c r="C209">
        <v>0</v>
      </c>
    </row>
    <row r="210" spans="1:3">
      <c r="A210">
        <v>210</v>
      </c>
      <c r="B210">
        <v>10.1339536812316</v>
      </c>
      <c r="C210">
        <v>0</v>
      </c>
    </row>
    <row r="211" spans="1:3">
      <c r="A211">
        <v>211</v>
      </c>
      <c r="B211">
        <v>6.06683774846236</v>
      </c>
      <c r="C211">
        <v>0</v>
      </c>
    </row>
    <row r="212" spans="1:3">
      <c r="A212">
        <v>212</v>
      </c>
      <c r="B212">
        <v>4.33569081569316</v>
      </c>
      <c r="C212">
        <v>0</v>
      </c>
    </row>
    <row r="213" spans="1:3">
      <c r="A213">
        <v>213</v>
      </c>
      <c r="B213">
        <v>7.44618788292394</v>
      </c>
      <c r="C213">
        <v>0</v>
      </c>
    </row>
    <row r="214" spans="1:3">
      <c r="A214">
        <v>214</v>
      </c>
      <c r="B214">
        <v>7.38216995015473</v>
      </c>
      <c r="C214">
        <v>0</v>
      </c>
    </row>
    <row r="215" spans="1:3">
      <c r="A215">
        <v>215</v>
      </c>
      <c r="B215">
        <v>3.73432801738552</v>
      </c>
      <c r="C215">
        <v>0</v>
      </c>
    </row>
    <row r="216" spans="1:3">
      <c r="A216">
        <v>216</v>
      </c>
      <c r="B216">
        <v>1.70369608461631</v>
      </c>
      <c r="C216">
        <v>0</v>
      </c>
    </row>
    <row r="217" spans="1:3">
      <c r="A217">
        <v>217</v>
      </c>
      <c r="B217">
        <v>-2.03398884815289</v>
      </c>
      <c r="C217">
        <v>0</v>
      </c>
    </row>
    <row r="218" spans="1:3">
      <c r="A218">
        <v>218</v>
      </c>
      <c r="B218">
        <v>0.956718219077914</v>
      </c>
      <c r="C218">
        <v>0</v>
      </c>
    </row>
    <row r="219" spans="1:3">
      <c r="A219">
        <v>219</v>
      </c>
      <c r="B219">
        <v>2.44002628630869</v>
      </c>
      <c r="C219">
        <v>0</v>
      </c>
    </row>
    <row r="220" spans="1:3">
      <c r="A220">
        <v>220</v>
      </c>
      <c r="B220">
        <v>-2.48560964646052</v>
      </c>
      <c r="C220">
        <v>0</v>
      </c>
    </row>
    <row r="221" spans="1:3">
      <c r="A221">
        <v>221</v>
      </c>
      <c r="B221">
        <v>-1.63121657922972</v>
      </c>
      <c r="C221">
        <v>0</v>
      </c>
    </row>
    <row r="222" spans="1:3">
      <c r="A222">
        <v>222</v>
      </c>
      <c r="B222">
        <v>2.17807948800107</v>
      </c>
      <c r="C222">
        <v>0</v>
      </c>
    </row>
    <row r="223" spans="1:3">
      <c r="A223">
        <v>223</v>
      </c>
      <c r="B223">
        <v>4.60975155523187</v>
      </c>
      <c r="C223">
        <v>0</v>
      </c>
    </row>
    <row r="224" spans="1:3">
      <c r="A224">
        <v>224</v>
      </c>
      <c r="B224">
        <v>3.49753062246266</v>
      </c>
      <c r="C224">
        <v>0</v>
      </c>
    </row>
    <row r="225" spans="1:3">
      <c r="A225">
        <v>225</v>
      </c>
      <c r="B225">
        <v>4.97085868969346</v>
      </c>
      <c r="C225">
        <v>0</v>
      </c>
    </row>
    <row r="226" spans="1:3">
      <c r="A226">
        <v>226</v>
      </c>
      <c r="B226">
        <v>5.70546375692425</v>
      </c>
      <c r="C226">
        <v>0</v>
      </c>
    </row>
    <row r="227" spans="1:3">
      <c r="A227">
        <v>227</v>
      </c>
      <c r="B227">
        <v>1.69823882415504</v>
      </c>
      <c r="C227">
        <v>0</v>
      </c>
    </row>
    <row r="228" spans="1:3">
      <c r="A228">
        <v>228</v>
      </c>
      <c r="B228">
        <v>4.92853289138584</v>
      </c>
      <c r="C228">
        <v>0</v>
      </c>
    </row>
    <row r="229" spans="1:3">
      <c r="A229">
        <v>229</v>
      </c>
      <c r="B229">
        <v>1.35057595861662</v>
      </c>
      <c r="C229">
        <v>0</v>
      </c>
    </row>
    <row r="230" spans="1:3">
      <c r="A230">
        <v>230</v>
      </c>
      <c r="B230">
        <v>3.02355702584741</v>
      </c>
      <c r="C230">
        <v>0</v>
      </c>
    </row>
    <row r="231" spans="1:3">
      <c r="A231">
        <v>231</v>
      </c>
      <c r="B231">
        <v>2.6700270930782</v>
      </c>
      <c r="C231">
        <v>0</v>
      </c>
    </row>
    <row r="232" spans="1:3">
      <c r="A232">
        <v>232</v>
      </c>
      <c r="B232">
        <v>4.42287316030901</v>
      </c>
      <c r="C232">
        <v>0</v>
      </c>
    </row>
    <row r="233" spans="1:3">
      <c r="A233">
        <v>233</v>
      </c>
      <c r="B233">
        <v>11.5963662275398</v>
      </c>
      <c r="C233">
        <v>0</v>
      </c>
    </row>
    <row r="234" spans="1:3">
      <c r="A234">
        <v>234</v>
      </c>
      <c r="B234">
        <v>8.05833429477059</v>
      </c>
      <c r="C234">
        <v>0</v>
      </c>
    </row>
    <row r="235" spans="1:3">
      <c r="A235">
        <v>235</v>
      </c>
      <c r="B235">
        <v>7.90446436200139</v>
      </c>
      <c r="C235">
        <v>0</v>
      </c>
    </row>
    <row r="236" spans="1:3">
      <c r="A236">
        <v>236</v>
      </c>
      <c r="B236">
        <v>7.18158042923217</v>
      </c>
      <c r="C236">
        <v>0</v>
      </c>
    </row>
    <row r="237" spans="1:3">
      <c r="A237">
        <v>237</v>
      </c>
      <c r="B237">
        <v>5.25077149646296</v>
      </c>
      <c r="C237">
        <v>0</v>
      </c>
    </row>
    <row r="238" spans="1:3">
      <c r="A238">
        <v>238</v>
      </c>
      <c r="B238">
        <v>1.97229956369377</v>
      </c>
      <c r="C238">
        <v>0</v>
      </c>
    </row>
    <row r="239" spans="1:3">
      <c r="A239">
        <v>239</v>
      </c>
      <c r="B239">
        <v>3.25595263092455</v>
      </c>
      <c r="C239">
        <v>0</v>
      </c>
    </row>
    <row r="240" spans="1:3">
      <c r="A240">
        <v>240</v>
      </c>
      <c r="B240">
        <v>2.37334669815534</v>
      </c>
      <c r="C240">
        <v>0</v>
      </c>
    </row>
    <row r="241" spans="1:3">
      <c r="A241">
        <v>241</v>
      </c>
      <c r="B241">
        <v>1.01155376538614</v>
      </c>
      <c r="C241">
        <v>0</v>
      </c>
    </row>
    <row r="242" spans="1:3">
      <c r="A242">
        <v>242</v>
      </c>
      <c r="B242">
        <v>0.0590698326169417</v>
      </c>
      <c r="C242">
        <v>0</v>
      </c>
    </row>
    <row r="243" spans="1:3">
      <c r="A243">
        <v>243</v>
      </c>
      <c r="B243">
        <v>-0.17466410015227</v>
      </c>
      <c r="C243">
        <v>0</v>
      </c>
    </row>
    <row r="244" spans="1:3">
      <c r="A244">
        <v>244</v>
      </c>
      <c r="B244">
        <v>1.12894896707853</v>
      </c>
      <c r="C244">
        <v>0</v>
      </c>
    </row>
    <row r="245" spans="1:3">
      <c r="A245">
        <v>245</v>
      </c>
      <c r="B245">
        <v>-4.50546596569069</v>
      </c>
      <c r="C245">
        <v>0</v>
      </c>
    </row>
    <row r="246" spans="1:3">
      <c r="A246">
        <v>246</v>
      </c>
      <c r="B246">
        <v>-0.636270898459884</v>
      </c>
      <c r="C246">
        <v>0</v>
      </c>
    </row>
    <row r="247" spans="1:3">
      <c r="A247">
        <v>247</v>
      </c>
      <c r="B247">
        <v>-7.3288518312291</v>
      </c>
      <c r="C247">
        <v>0</v>
      </c>
    </row>
    <row r="248" spans="1:3">
      <c r="A248">
        <v>248</v>
      </c>
      <c r="B248">
        <v>-7.66241676399832</v>
      </c>
      <c r="C248">
        <v>0</v>
      </c>
    </row>
    <row r="249" spans="1:3">
      <c r="A249">
        <v>249</v>
      </c>
      <c r="B249">
        <v>-6.23899969676752</v>
      </c>
      <c r="C249">
        <v>0</v>
      </c>
    </row>
    <row r="250" spans="1:3">
      <c r="A250">
        <v>250</v>
      </c>
      <c r="B250">
        <v>-1.98048462953672</v>
      </c>
      <c r="C250">
        <v>0</v>
      </c>
    </row>
    <row r="251" spans="1:3">
      <c r="A251">
        <v>251</v>
      </c>
      <c r="B251">
        <v>1.84877743769407</v>
      </c>
      <c r="C251">
        <v>0</v>
      </c>
    </row>
    <row r="252" spans="1:3">
      <c r="A252">
        <v>252</v>
      </c>
      <c r="B252">
        <v>1.47006950492487</v>
      </c>
      <c r="C252">
        <v>0</v>
      </c>
    </row>
    <row r="253" spans="1:3">
      <c r="A253">
        <v>1</v>
      </c>
      <c r="B253">
        <v>56.0479863700041</v>
      </c>
      <c r="C253">
        <v>63.954544</v>
      </c>
    </row>
    <row r="254" spans="1:3">
      <c r="A254">
        <v>2</v>
      </c>
      <c r="B254">
        <v>56.2916993027734</v>
      </c>
      <c r="C254">
        <v>64.460991</v>
      </c>
    </row>
    <row r="255" spans="1:3">
      <c r="A255">
        <v>3</v>
      </c>
      <c r="B255">
        <v>56.5354122355426</v>
      </c>
      <c r="C255">
        <v>64.401978</v>
      </c>
    </row>
    <row r="256" spans="1:3">
      <c r="A256">
        <v>4</v>
      </c>
      <c r="B256">
        <v>56.7791251683118</v>
      </c>
      <c r="C256">
        <v>65.019051</v>
      </c>
    </row>
    <row r="257" spans="1:3">
      <c r="A257">
        <v>5</v>
      </c>
      <c r="B257">
        <v>57.022838101081</v>
      </c>
      <c r="C257">
        <v>64.56916</v>
      </c>
    </row>
    <row r="258" spans="1:3">
      <c r="A258">
        <v>6</v>
      </c>
      <c r="B258">
        <v>57.2665510338502</v>
      </c>
      <c r="C258">
        <v>65.336212</v>
      </c>
    </row>
    <row r="259" spans="1:3">
      <c r="A259">
        <v>7</v>
      </c>
      <c r="B259">
        <v>57.5102639666194</v>
      </c>
      <c r="C259">
        <v>65.665634</v>
      </c>
    </row>
    <row r="260" spans="1:3">
      <c r="A260">
        <v>8</v>
      </c>
      <c r="B260">
        <v>57.7539768993886</v>
      </c>
      <c r="C260">
        <v>65.466507</v>
      </c>
    </row>
    <row r="261" spans="1:3">
      <c r="A261">
        <v>9</v>
      </c>
      <c r="B261">
        <v>57.9976898321578</v>
      </c>
      <c r="C261">
        <v>64.704376</v>
      </c>
    </row>
    <row r="262" spans="1:3">
      <c r="A262">
        <v>10</v>
      </c>
      <c r="B262">
        <v>58.241402764927</v>
      </c>
      <c r="C262">
        <v>64.414268</v>
      </c>
    </row>
    <row r="263" spans="1:3">
      <c r="A263">
        <v>11</v>
      </c>
      <c r="B263">
        <v>58.4851156976962</v>
      </c>
      <c r="C263">
        <v>64.357727</v>
      </c>
    </row>
    <row r="264" spans="1:3">
      <c r="A264">
        <v>12</v>
      </c>
      <c r="B264">
        <v>58.7288286304654</v>
      </c>
      <c r="C264">
        <v>65.486168</v>
      </c>
    </row>
    <row r="265" spans="1:3">
      <c r="A265">
        <v>13</v>
      </c>
      <c r="B265">
        <v>58.9725415632346</v>
      </c>
      <c r="C265">
        <v>64.974815</v>
      </c>
    </row>
    <row r="266" spans="1:3">
      <c r="A266">
        <v>14</v>
      </c>
      <c r="B266">
        <v>59.2162544960038</v>
      </c>
      <c r="C266">
        <v>65.847565</v>
      </c>
    </row>
    <row r="267" spans="1:3">
      <c r="A267">
        <v>15</v>
      </c>
      <c r="B267">
        <v>59.459967428773</v>
      </c>
      <c r="C267">
        <v>65.702515</v>
      </c>
    </row>
    <row r="268" spans="1:3">
      <c r="A268">
        <v>16</v>
      </c>
      <c r="B268">
        <v>59.7036803615423</v>
      </c>
      <c r="C268">
        <v>64.942841</v>
      </c>
    </row>
    <row r="269" spans="1:3">
      <c r="A269">
        <v>17</v>
      </c>
      <c r="B269">
        <v>59.9473932943115</v>
      </c>
      <c r="C269">
        <v>63.784916</v>
      </c>
    </row>
    <row r="270" spans="1:3">
      <c r="A270">
        <v>18</v>
      </c>
      <c r="B270">
        <v>60.1911062270807</v>
      </c>
      <c r="C270">
        <v>64.347893</v>
      </c>
    </row>
    <row r="271" spans="1:3">
      <c r="A271">
        <v>19</v>
      </c>
      <c r="B271">
        <v>60.4348191598499</v>
      </c>
      <c r="C271">
        <v>65.291946</v>
      </c>
    </row>
    <row r="272" spans="1:3">
      <c r="A272">
        <v>20</v>
      </c>
      <c r="B272">
        <v>60.6785320926191</v>
      </c>
      <c r="C272">
        <v>66.553131</v>
      </c>
    </row>
    <row r="273" spans="1:3">
      <c r="A273">
        <v>21</v>
      </c>
      <c r="B273">
        <v>60.9222450253883</v>
      </c>
      <c r="C273">
        <v>65.621384</v>
      </c>
    </row>
    <row r="274" spans="1:3">
      <c r="A274">
        <v>22</v>
      </c>
      <c r="B274">
        <v>61.1659579581575</v>
      </c>
      <c r="C274">
        <v>66.004898</v>
      </c>
    </row>
    <row r="275" spans="1:3">
      <c r="A275">
        <v>23</v>
      </c>
      <c r="B275">
        <v>61.4096708909267</v>
      </c>
      <c r="C275">
        <v>66.567886</v>
      </c>
    </row>
    <row r="276" spans="1:3">
      <c r="A276">
        <v>24</v>
      </c>
      <c r="B276">
        <v>61.6533838236959</v>
      </c>
      <c r="C276">
        <v>66.737518</v>
      </c>
    </row>
    <row r="277" spans="1:3">
      <c r="A277">
        <v>25</v>
      </c>
      <c r="B277">
        <v>61.8970967564651</v>
      </c>
      <c r="C277">
        <v>67.644707</v>
      </c>
    </row>
    <row r="278" spans="1:3">
      <c r="A278">
        <v>26</v>
      </c>
      <c r="B278">
        <v>62.1408096892343</v>
      </c>
      <c r="C278">
        <v>68.802635</v>
      </c>
    </row>
    <row r="279" spans="1:3">
      <c r="A279">
        <v>27</v>
      </c>
      <c r="B279">
        <v>62.3845226220035</v>
      </c>
      <c r="C279">
        <v>68.937851</v>
      </c>
    </row>
    <row r="280" spans="1:3">
      <c r="A280">
        <v>28</v>
      </c>
      <c r="B280">
        <v>62.6282355547727</v>
      </c>
      <c r="C280">
        <v>68.773132</v>
      </c>
    </row>
    <row r="281" spans="1:3">
      <c r="A281">
        <v>29</v>
      </c>
      <c r="B281">
        <v>62.8719484875419</v>
      </c>
      <c r="C281">
        <v>68.841965</v>
      </c>
    </row>
    <row r="282" spans="1:3">
      <c r="A282">
        <v>30</v>
      </c>
      <c r="B282">
        <v>63.1156614203111</v>
      </c>
      <c r="C282">
        <v>68.699387</v>
      </c>
    </row>
    <row r="283" spans="1:3">
      <c r="A283">
        <v>31</v>
      </c>
      <c r="B283">
        <v>63.3593743530804</v>
      </c>
      <c r="C283">
        <v>69.820442</v>
      </c>
    </row>
    <row r="284" spans="1:3">
      <c r="A284">
        <v>32</v>
      </c>
      <c r="B284">
        <v>63.6030872858496</v>
      </c>
      <c r="C284">
        <v>69.886818</v>
      </c>
    </row>
    <row r="285" spans="1:3">
      <c r="A285">
        <v>33</v>
      </c>
      <c r="B285">
        <v>63.8468002186188</v>
      </c>
      <c r="C285">
        <v>71.273392</v>
      </c>
    </row>
    <row r="286" spans="1:3">
      <c r="A286">
        <v>34</v>
      </c>
      <c r="B286">
        <v>64.090513151388</v>
      </c>
      <c r="C286">
        <v>71.246353</v>
      </c>
    </row>
    <row r="287" spans="1:3">
      <c r="A287">
        <v>35</v>
      </c>
      <c r="B287">
        <v>64.3342260841572</v>
      </c>
      <c r="C287">
        <v>71.669212</v>
      </c>
    </row>
    <row r="288" spans="1:3">
      <c r="A288">
        <v>36</v>
      </c>
      <c r="B288">
        <v>64.5779390169264</v>
      </c>
      <c r="C288">
        <v>72.192863</v>
      </c>
    </row>
    <row r="289" spans="1:3">
      <c r="A289">
        <v>37</v>
      </c>
      <c r="B289">
        <v>64.8216519496956</v>
      </c>
      <c r="C289">
        <v>73.840042</v>
      </c>
    </row>
    <row r="290" spans="1:3">
      <c r="A290">
        <v>38</v>
      </c>
      <c r="B290">
        <v>65.0653648824648</v>
      </c>
      <c r="C290">
        <v>73.122154</v>
      </c>
    </row>
    <row r="291" spans="1:3">
      <c r="A291">
        <v>39</v>
      </c>
      <c r="B291">
        <v>65.309077815234</v>
      </c>
      <c r="C291">
        <v>73.704819</v>
      </c>
    </row>
    <row r="292" spans="1:3">
      <c r="A292">
        <v>40</v>
      </c>
      <c r="B292">
        <v>65.5527907480032</v>
      </c>
      <c r="C292">
        <v>73.358185</v>
      </c>
    </row>
    <row r="293" spans="1:3">
      <c r="A293">
        <v>41</v>
      </c>
      <c r="B293">
        <v>65.7965036807724</v>
      </c>
      <c r="C293">
        <v>74.538239</v>
      </c>
    </row>
    <row r="294" spans="1:3">
      <c r="A294">
        <v>42</v>
      </c>
      <c r="B294">
        <v>66.0402166135416</v>
      </c>
      <c r="C294">
        <v>76.121498</v>
      </c>
    </row>
    <row r="295" spans="1:3">
      <c r="A295">
        <v>43</v>
      </c>
      <c r="B295">
        <v>66.2839295463108</v>
      </c>
      <c r="C295">
        <v>76.293579</v>
      </c>
    </row>
    <row r="296" spans="1:3">
      <c r="A296">
        <v>44</v>
      </c>
      <c r="B296">
        <v>66.5276424790801</v>
      </c>
      <c r="C296">
        <v>77.923538</v>
      </c>
    </row>
    <row r="297" spans="1:3">
      <c r="A297">
        <v>45</v>
      </c>
      <c r="B297">
        <v>66.7713554118493</v>
      </c>
      <c r="C297">
        <v>76.871323</v>
      </c>
    </row>
    <row r="298" spans="1:3">
      <c r="A298">
        <v>46</v>
      </c>
      <c r="B298">
        <v>67.0150683446185</v>
      </c>
      <c r="C298">
        <v>76.541885</v>
      </c>
    </row>
    <row r="299" spans="1:3">
      <c r="A299">
        <v>47</v>
      </c>
      <c r="B299">
        <v>67.2587812773877</v>
      </c>
      <c r="C299">
        <v>77.500694</v>
      </c>
    </row>
    <row r="300" spans="1:3">
      <c r="A300">
        <v>48</v>
      </c>
      <c r="B300">
        <v>67.5024942101569</v>
      </c>
      <c r="C300">
        <v>78.358696</v>
      </c>
    </row>
    <row r="301" spans="1:3">
      <c r="A301">
        <v>49</v>
      </c>
      <c r="B301">
        <v>67.7462071429261</v>
      </c>
      <c r="C301">
        <v>77.827667</v>
      </c>
    </row>
    <row r="302" spans="1:3">
      <c r="A302">
        <v>50</v>
      </c>
      <c r="B302">
        <v>67.9899200756953</v>
      </c>
      <c r="C302">
        <v>78.105476</v>
      </c>
    </row>
    <row r="303" spans="1:3">
      <c r="A303">
        <v>51</v>
      </c>
      <c r="B303">
        <v>68.2336330084645</v>
      </c>
      <c r="C303">
        <v>78.481621</v>
      </c>
    </row>
    <row r="304" spans="1:3">
      <c r="A304">
        <v>52</v>
      </c>
      <c r="B304">
        <v>68.4773459412337</v>
      </c>
      <c r="C304">
        <v>78.25544</v>
      </c>
    </row>
    <row r="305" spans="1:3">
      <c r="A305">
        <v>53</v>
      </c>
      <c r="B305">
        <v>68.7210588740029</v>
      </c>
      <c r="C305">
        <v>75.954315</v>
      </c>
    </row>
    <row r="306" spans="1:3">
      <c r="A306">
        <v>54</v>
      </c>
      <c r="B306">
        <v>68.9647718067721</v>
      </c>
      <c r="C306">
        <v>78.103012</v>
      </c>
    </row>
    <row r="307" spans="1:3">
      <c r="A307">
        <v>55</v>
      </c>
      <c r="B307">
        <v>69.2084847395413</v>
      </c>
      <c r="C307">
        <v>79.7379</v>
      </c>
    </row>
    <row r="308" spans="1:3">
      <c r="A308">
        <v>56</v>
      </c>
      <c r="B308">
        <v>69.4521976723105</v>
      </c>
      <c r="C308">
        <v>79.622337</v>
      </c>
    </row>
    <row r="309" spans="1:3">
      <c r="A309">
        <v>57</v>
      </c>
      <c r="B309">
        <v>69.6959106050797</v>
      </c>
      <c r="C309">
        <v>76.091995</v>
      </c>
    </row>
    <row r="310" spans="1:3">
      <c r="A310">
        <v>58</v>
      </c>
      <c r="B310">
        <v>69.939623537849</v>
      </c>
      <c r="C310">
        <v>75.883018</v>
      </c>
    </row>
    <row r="311" spans="1:3">
      <c r="A311">
        <v>59</v>
      </c>
      <c r="B311">
        <v>70.1833364706182</v>
      </c>
      <c r="C311">
        <v>78.388199</v>
      </c>
    </row>
    <row r="312" spans="1:3">
      <c r="A312">
        <v>60</v>
      </c>
      <c r="B312">
        <v>70.4270494033874</v>
      </c>
      <c r="C312">
        <v>79.027405</v>
      </c>
    </row>
    <row r="313" spans="1:3">
      <c r="A313">
        <v>61</v>
      </c>
      <c r="B313">
        <v>70.6707623361566</v>
      </c>
      <c r="C313">
        <v>79.951775</v>
      </c>
    </row>
    <row r="314" spans="1:3">
      <c r="A314">
        <v>62</v>
      </c>
      <c r="B314">
        <v>70.9144752689258</v>
      </c>
      <c r="C314">
        <v>78.865021</v>
      </c>
    </row>
    <row r="315" spans="1:3">
      <c r="A315">
        <v>63</v>
      </c>
      <c r="B315">
        <v>71.158188201695</v>
      </c>
      <c r="C315">
        <v>79.239594</v>
      </c>
    </row>
    <row r="316" spans="1:3">
      <c r="A316">
        <v>64</v>
      </c>
      <c r="B316">
        <v>71.4019011344642</v>
      </c>
      <c r="C316">
        <v>78.76152</v>
      </c>
    </row>
    <row r="317" spans="1:3">
      <c r="A317">
        <v>65</v>
      </c>
      <c r="B317">
        <v>71.6456140672334</v>
      </c>
      <c r="C317">
        <v>80.631927</v>
      </c>
    </row>
    <row r="318" spans="1:3">
      <c r="A318">
        <v>66</v>
      </c>
      <c r="B318">
        <v>71.8893270000026</v>
      </c>
      <c r="C318">
        <v>80.057739</v>
      </c>
    </row>
    <row r="319" spans="1:3">
      <c r="A319">
        <v>67</v>
      </c>
      <c r="B319">
        <v>72.1330399327718</v>
      </c>
      <c r="C319">
        <v>80.077461</v>
      </c>
    </row>
    <row r="320" spans="1:3">
      <c r="A320">
        <v>68</v>
      </c>
      <c r="B320">
        <v>72.376752865541</v>
      </c>
      <c r="C320">
        <v>78.611198</v>
      </c>
    </row>
    <row r="321" spans="1:3">
      <c r="A321">
        <v>69</v>
      </c>
      <c r="B321">
        <v>72.6204657983102</v>
      </c>
      <c r="C321">
        <v>79.749702</v>
      </c>
    </row>
    <row r="322" spans="1:3">
      <c r="A322">
        <v>70</v>
      </c>
      <c r="B322">
        <v>72.8641787310794</v>
      </c>
      <c r="C322">
        <v>78.931564</v>
      </c>
    </row>
    <row r="323" spans="1:3">
      <c r="A323">
        <v>71</v>
      </c>
      <c r="B323">
        <v>73.1078916638486</v>
      </c>
      <c r="C323">
        <v>77.144943</v>
      </c>
    </row>
    <row r="324" spans="1:3">
      <c r="A324">
        <v>72</v>
      </c>
      <c r="B324">
        <v>73.3516045966178</v>
      </c>
      <c r="C324">
        <v>73.480522</v>
      </c>
    </row>
    <row r="325" spans="1:3">
      <c r="A325">
        <v>73</v>
      </c>
      <c r="B325">
        <v>73.5953175293871</v>
      </c>
      <c r="C325">
        <v>70.991577</v>
      </c>
    </row>
    <row r="326" spans="1:3">
      <c r="A326">
        <v>74</v>
      </c>
      <c r="B326">
        <v>73.8390304621563</v>
      </c>
      <c r="C326">
        <v>72.117767</v>
      </c>
    </row>
    <row r="327" spans="1:3">
      <c r="A327">
        <v>75</v>
      </c>
      <c r="B327">
        <v>74.0827433949255</v>
      </c>
      <c r="C327">
        <v>67.403557</v>
      </c>
    </row>
    <row r="328" spans="1:3">
      <c r="A328">
        <v>76</v>
      </c>
      <c r="B328">
        <v>74.3264563276947</v>
      </c>
      <c r="C328">
        <v>67.364128</v>
      </c>
    </row>
    <row r="329" spans="1:3">
      <c r="A329">
        <v>77</v>
      </c>
      <c r="B329">
        <v>74.5701692604639</v>
      </c>
      <c r="C329">
        <v>73.635773</v>
      </c>
    </row>
    <row r="330" spans="1:3">
      <c r="A330">
        <v>78</v>
      </c>
      <c r="B330">
        <v>74.8138821932331</v>
      </c>
      <c r="C330">
        <v>71.297157</v>
      </c>
    </row>
    <row r="331" spans="1:3">
      <c r="A331">
        <v>79</v>
      </c>
      <c r="B331">
        <v>75.0575951260023</v>
      </c>
      <c r="C331">
        <v>74.60424</v>
      </c>
    </row>
    <row r="332" spans="1:3">
      <c r="A332">
        <v>80</v>
      </c>
      <c r="B332">
        <v>75.3013080587715</v>
      </c>
      <c r="C332">
        <v>72.184303</v>
      </c>
    </row>
    <row r="333" spans="1:3">
      <c r="A333">
        <v>81</v>
      </c>
      <c r="B333">
        <v>75.5450209915407</v>
      </c>
      <c r="C333">
        <v>71.225685</v>
      </c>
    </row>
    <row r="334" spans="1:3">
      <c r="A334">
        <v>82</v>
      </c>
      <c r="B334">
        <v>75.7887339243099</v>
      </c>
      <c r="C334">
        <v>65.592308</v>
      </c>
    </row>
    <row r="335" spans="1:3">
      <c r="A335">
        <v>83</v>
      </c>
      <c r="B335">
        <v>76.0324468570791</v>
      </c>
      <c r="C335">
        <v>70.316368</v>
      </c>
    </row>
    <row r="336" spans="1:3">
      <c r="A336">
        <v>84</v>
      </c>
      <c r="B336">
        <v>76.2761597898483</v>
      </c>
      <c r="C336">
        <v>67.874245</v>
      </c>
    </row>
    <row r="337" spans="1:3">
      <c r="A337">
        <v>85</v>
      </c>
      <c r="B337">
        <v>76.5198727226175</v>
      </c>
      <c r="C337">
        <v>61.171341</v>
      </c>
    </row>
    <row r="338" spans="1:3">
      <c r="A338">
        <v>86</v>
      </c>
      <c r="B338">
        <v>76.7635856553867</v>
      </c>
      <c r="C338">
        <v>68.500175</v>
      </c>
    </row>
    <row r="339" spans="1:3">
      <c r="A339">
        <v>87</v>
      </c>
      <c r="B339">
        <v>77.007298588156</v>
      </c>
      <c r="C339">
        <v>59.687832</v>
      </c>
    </row>
    <row r="340" spans="1:3">
      <c r="A340">
        <v>88</v>
      </c>
      <c r="B340">
        <v>77.2510115209252</v>
      </c>
      <c r="C340">
        <v>62.312309</v>
      </c>
    </row>
    <row r="341" spans="1:3">
      <c r="A341">
        <v>89</v>
      </c>
      <c r="B341">
        <v>77.4947244536944</v>
      </c>
      <c r="C341">
        <v>60.786911</v>
      </c>
    </row>
    <row r="342" spans="1:3">
      <c r="A342">
        <v>90</v>
      </c>
      <c r="B342">
        <v>77.7384373864636</v>
      </c>
      <c r="C342">
        <v>60.321156</v>
      </c>
    </row>
    <row r="343" spans="1:3">
      <c r="A343">
        <v>91</v>
      </c>
      <c r="B343">
        <v>77.9821503192328</v>
      </c>
      <c r="C343">
        <v>56.491634</v>
      </c>
    </row>
    <row r="344" spans="1:3">
      <c r="A344">
        <v>92</v>
      </c>
      <c r="B344">
        <v>78.225863252002</v>
      </c>
      <c r="C344">
        <v>55.291519</v>
      </c>
    </row>
    <row r="345" spans="1:3">
      <c r="A345">
        <v>93</v>
      </c>
      <c r="B345">
        <v>78.4695761847712</v>
      </c>
      <c r="C345">
        <v>60.838661</v>
      </c>
    </row>
    <row r="346" spans="1:3">
      <c r="A346">
        <v>94</v>
      </c>
      <c r="B346">
        <v>78.7132891175404</v>
      </c>
      <c r="C346">
        <v>60.503517</v>
      </c>
    </row>
    <row r="347" spans="1:3">
      <c r="A347">
        <v>95</v>
      </c>
      <c r="B347">
        <v>78.9570020503096</v>
      </c>
      <c r="C347">
        <v>63.687393</v>
      </c>
    </row>
    <row r="348" spans="1:3">
      <c r="A348">
        <v>96</v>
      </c>
      <c r="B348">
        <v>79.2007149830788</v>
      </c>
      <c r="C348">
        <v>61.050594</v>
      </c>
    </row>
    <row r="349" spans="1:3">
      <c r="A349">
        <v>97</v>
      </c>
      <c r="B349">
        <v>79.444427915848</v>
      </c>
      <c r="C349">
        <v>62.79285</v>
      </c>
    </row>
    <row r="350" spans="1:3">
      <c r="A350">
        <v>98</v>
      </c>
      <c r="B350">
        <v>79.6881408486172</v>
      </c>
      <c r="C350">
        <v>62.664707</v>
      </c>
    </row>
    <row r="351" spans="1:3">
      <c r="A351">
        <v>99</v>
      </c>
      <c r="B351">
        <v>79.9318537813865</v>
      </c>
      <c r="C351">
        <v>59.367474</v>
      </c>
    </row>
    <row r="352" spans="1:3">
      <c r="A352">
        <v>100</v>
      </c>
      <c r="B352">
        <v>80.1755667141556</v>
      </c>
      <c r="C352">
        <v>60.35812</v>
      </c>
    </row>
    <row r="353" spans="1:3">
      <c r="A353">
        <v>101</v>
      </c>
      <c r="B353">
        <v>80.4192796469249</v>
      </c>
      <c r="C353">
        <v>59.490692</v>
      </c>
    </row>
    <row r="354" spans="1:3">
      <c r="A354">
        <v>102</v>
      </c>
      <c r="B354">
        <v>80.6629925796941</v>
      </c>
      <c r="C354">
        <v>64.680504</v>
      </c>
    </row>
    <row r="355" spans="1:3">
      <c r="A355">
        <v>103</v>
      </c>
      <c r="B355">
        <v>80.9067055124633</v>
      </c>
      <c r="C355">
        <v>63.931355</v>
      </c>
    </row>
    <row r="356" spans="1:3">
      <c r="A356">
        <v>104</v>
      </c>
      <c r="B356">
        <v>81.1504184452325</v>
      </c>
      <c r="C356">
        <v>65.567657</v>
      </c>
    </row>
    <row r="357" spans="1:3">
      <c r="A357">
        <v>105</v>
      </c>
      <c r="B357">
        <v>81.3941313780017</v>
      </c>
      <c r="C357">
        <v>66.040802</v>
      </c>
    </row>
    <row r="358" spans="1:3">
      <c r="A358">
        <v>106</v>
      </c>
      <c r="B358">
        <v>81.6378443107709</v>
      </c>
      <c r="C358">
        <v>67.337029</v>
      </c>
    </row>
    <row r="359" spans="1:3">
      <c r="A359">
        <v>107</v>
      </c>
      <c r="B359">
        <v>81.8815572435401</v>
      </c>
      <c r="C359">
        <v>70.737755</v>
      </c>
    </row>
    <row r="360" spans="1:3">
      <c r="A360">
        <v>108</v>
      </c>
      <c r="B360">
        <v>82.1252701763093</v>
      </c>
      <c r="C360">
        <v>70.09211</v>
      </c>
    </row>
    <row r="361" spans="1:3">
      <c r="A361">
        <v>109</v>
      </c>
      <c r="B361">
        <v>82.3689831090785</v>
      </c>
      <c r="C361">
        <v>70.64904</v>
      </c>
    </row>
    <row r="362" spans="1:3">
      <c r="A362">
        <v>110</v>
      </c>
      <c r="B362">
        <v>82.6126960418477</v>
      </c>
      <c r="C362">
        <v>69.690422</v>
      </c>
    </row>
    <row r="363" spans="1:3">
      <c r="A363">
        <v>111</v>
      </c>
      <c r="B363">
        <v>82.8564089746169</v>
      </c>
      <c r="C363">
        <v>68.243881</v>
      </c>
    </row>
    <row r="364" spans="1:3">
      <c r="A364">
        <v>112</v>
      </c>
      <c r="B364">
        <v>83.1001219073861</v>
      </c>
      <c r="C364">
        <v>66.134438</v>
      </c>
    </row>
    <row r="365" spans="1:3">
      <c r="A365">
        <v>113</v>
      </c>
      <c r="B365">
        <v>83.3438348401554</v>
      </c>
      <c r="C365">
        <v>68.039352</v>
      </c>
    </row>
    <row r="366" spans="1:3">
      <c r="A366">
        <v>114</v>
      </c>
      <c r="B366">
        <v>83.5875477729246</v>
      </c>
      <c r="C366">
        <v>67.775673</v>
      </c>
    </row>
    <row r="367" spans="1:3">
      <c r="A367">
        <v>115</v>
      </c>
      <c r="B367">
        <v>83.8312607056938</v>
      </c>
      <c r="C367">
        <v>69.732323</v>
      </c>
    </row>
    <row r="368" spans="1:3">
      <c r="A368">
        <v>116</v>
      </c>
      <c r="B368">
        <v>84.074973638463</v>
      </c>
      <c r="C368">
        <v>69.781609</v>
      </c>
    </row>
    <row r="369" spans="1:3">
      <c r="A369">
        <v>117</v>
      </c>
      <c r="B369">
        <v>84.3186865712322</v>
      </c>
      <c r="C369">
        <v>68.65049</v>
      </c>
    </row>
    <row r="370" spans="1:3">
      <c r="A370">
        <v>118</v>
      </c>
      <c r="B370">
        <v>84.5623995040014</v>
      </c>
      <c r="C370">
        <v>70.905334</v>
      </c>
    </row>
    <row r="371" spans="1:3">
      <c r="A371">
        <v>119</v>
      </c>
      <c r="B371">
        <v>84.8061124367706</v>
      </c>
      <c r="C371">
        <v>72.401154</v>
      </c>
    </row>
    <row r="372" spans="1:3">
      <c r="A372">
        <v>120</v>
      </c>
      <c r="B372">
        <v>85.0498253695398</v>
      </c>
      <c r="C372">
        <v>71.235542</v>
      </c>
    </row>
    <row r="373" spans="1:3">
      <c r="A373">
        <v>121</v>
      </c>
      <c r="B373">
        <v>85.293538302309</v>
      </c>
      <c r="C373">
        <v>72.243446</v>
      </c>
    </row>
    <row r="374" spans="1:3">
      <c r="A374">
        <v>122</v>
      </c>
      <c r="B374">
        <v>85.5372512350782</v>
      </c>
      <c r="C374">
        <v>73.327736</v>
      </c>
    </row>
    <row r="375" spans="1:3">
      <c r="A375">
        <v>123</v>
      </c>
      <c r="B375">
        <v>85.7809641678474</v>
      </c>
      <c r="C375">
        <v>74.084282</v>
      </c>
    </row>
    <row r="376" spans="1:3">
      <c r="A376">
        <v>124</v>
      </c>
      <c r="B376">
        <v>86.0246771006166</v>
      </c>
      <c r="C376">
        <v>74.85067</v>
      </c>
    </row>
    <row r="377" spans="1:3">
      <c r="A377">
        <v>125</v>
      </c>
      <c r="B377">
        <v>86.2683900333858</v>
      </c>
      <c r="C377">
        <v>77.259674</v>
      </c>
    </row>
    <row r="378" spans="1:3">
      <c r="A378">
        <v>126</v>
      </c>
      <c r="B378">
        <v>86.512102966155</v>
      </c>
      <c r="C378">
        <v>78.475372</v>
      </c>
    </row>
    <row r="379" spans="1:3">
      <c r="A379">
        <v>127</v>
      </c>
      <c r="B379">
        <v>86.7558158989243</v>
      </c>
      <c r="C379">
        <v>77.578537</v>
      </c>
    </row>
    <row r="380" spans="1:3">
      <c r="A380">
        <v>128</v>
      </c>
      <c r="B380">
        <v>86.9995288316935</v>
      </c>
      <c r="C380">
        <v>76.641853</v>
      </c>
    </row>
    <row r="381" spans="1:3">
      <c r="A381">
        <v>129</v>
      </c>
      <c r="B381">
        <v>87.2432417644627</v>
      </c>
      <c r="C381">
        <v>77.112686</v>
      </c>
    </row>
    <row r="382" spans="1:3">
      <c r="A382">
        <v>130</v>
      </c>
      <c r="B382">
        <v>87.4869546972319</v>
      </c>
      <c r="C382">
        <v>76.656792</v>
      </c>
    </row>
    <row r="383" spans="1:3">
      <c r="A383">
        <v>131</v>
      </c>
      <c r="B383">
        <v>87.7306676300011</v>
      </c>
      <c r="C383">
        <v>78.462914</v>
      </c>
    </row>
    <row r="384" spans="1:3">
      <c r="A384">
        <v>132</v>
      </c>
      <c r="B384">
        <v>87.9743805627703</v>
      </c>
      <c r="C384">
        <v>78.009521</v>
      </c>
    </row>
    <row r="385" spans="1:3">
      <c r="A385">
        <v>133</v>
      </c>
      <c r="B385">
        <v>88.2180934955395</v>
      </c>
      <c r="C385">
        <v>79.526665</v>
      </c>
    </row>
    <row r="386" spans="1:3">
      <c r="A386">
        <v>134</v>
      </c>
      <c r="B386">
        <v>88.4618064283087</v>
      </c>
      <c r="C386">
        <v>78.933754</v>
      </c>
    </row>
    <row r="387" spans="1:3">
      <c r="A387">
        <v>135</v>
      </c>
      <c r="B387">
        <v>88.7055193610779</v>
      </c>
      <c r="C387">
        <v>79.441963</v>
      </c>
    </row>
    <row r="388" spans="1:3">
      <c r="A388">
        <v>136</v>
      </c>
      <c r="B388">
        <v>88.9492322938471</v>
      </c>
      <c r="C388">
        <v>78.903862</v>
      </c>
    </row>
    <row r="389" spans="1:3">
      <c r="A389">
        <v>137</v>
      </c>
      <c r="B389">
        <v>89.1929452266163</v>
      </c>
      <c r="C389">
        <v>79.247643</v>
      </c>
    </row>
    <row r="390" spans="1:3">
      <c r="A390">
        <v>138</v>
      </c>
      <c r="B390">
        <v>89.4366581593855</v>
      </c>
      <c r="C390">
        <v>79.282524</v>
      </c>
    </row>
    <row r="391" spans="1:3">
      <c r="A391">
        <v>139</v>
      </c>
      <c r="B391">
        <v>89.6803710921547</v>
      </c>
      <c r="C391">
        <v>79.205299</v>
      </c>
    </row>
    <row r="392" spans="1:3">
      <c r="A392">
        <v>140</v>
      </c>
      <c r="B392">
        <v>89.9240840249239</v>
      </c>
      <c r="C392">
        <v>80.179359</v>
      </c>
    </row>
    <row r="393" spans="1:3">
      <c r="A393">
        <v>141</v>
      </c>
      <c r="B393">
        <v>90.1677969576932</v>
      </c>
      <c r="C393">
        <v>80.550545</v>
      </c>
    </row>
    <row r="394" spans="1:3">
      <c r="A394">
        <v>142</v>
      </c>
      <c r="B394">
        <v>90.4115098904624</v>
      </c>
      <c r="C394">
        <v>80.99398</v>
      </c>
    </row>
    <row r="395" spans="1:3">
      <c r="A395">
        <v>143</v>
      </c>
      <c r="B395">
        <v>90.6552228232316</v>
      </c>
      <c r="C395">
        <v>80.296448</v>
      </c>
    </row>
    <row r="396" spans="1:3">
      <c r="A396">
        <v>144</v>
      </c>
      <c r="B396">
        <v>90.8989357560008</v>
      </c>
      <c r="C396">
        <v>82.583374</v>
      </c>
    </row>
    <row r="397" spans="1:3">
      <c r="A397">
        <v>145</v>
      </c>
      <c r="B397">
        <v>91.14264868877</v>
      </c>
      <c r="C397">
        <v>83.07164</v>
      </c>
    </row>
    <row r="398" spans="1:3">
      <c r="A398">
        <v>146</v>
      </c>
      <c r="B398">
        <v>91.3863616215392</v>
      </c>
      <c r="C398">
        <v>85.694878</v>
      </c>
    </row>
    <row r="399" spans="1:3">
      <c r="A399">
        <v>147</v>
      </c>
      <c r="B399">
        <v>91.6300745543084</v>
      </c>
      <c r="C399">
        <v>87.89959</v>
      </c>
    </row>
    <row r="400" spans="1:3">
      <c r="A400">
        <v>148</v>
      </c>
      <c r="B400">
        <v>91.8737874870776</v>
      </c>
      <c r="C400">
        <v>83.679497</v>
      </c>
    </row>
    <row r="401" spans="1:3">
      <c r="A401">
        <v>149</v>
      </c>
      <c r="B401">
        <v>92.1175004198468</v>
      </c>
      <c r="C401">
        <v>84.401947</v>
      </c>
    </row>
    <row r="402" spans="1:3">
      <c r="A402">
        <v>150</v>
      </c>
      <c r="B402">
        <v>92.361213352616</v>
      </c>
      <c r="C402">
        <v>85.445755</v>
      </c>
    </row>
    <row r="403" spans="1:3">
      <c r="A403">
        <v>151</v>
      </c>
      <c r="B403">
        <v>92.6049262853852</v>
      </c>
      <c r="C403">
        <v>87.710258</v>
      </c>
    </row>
    <row r="404" spans="1:3">
      <c r="A404">
        <v>152</v>
      </c>
      <c r="B404">
        <v>92.8486392181544</v>
      </c>
      <c r="C404">
        <v>87.588196</v>
      </c>
    </row>
    <row r="405" spans="1:3">
      <c r="A405">
        <v>153</v>
      </c>
      <c r="B405">
        <v>93.0923521509236</v>
      </c>
      <c r="C405">
        <v>87.623077</v>
      </c>
    </row>
    <row r="406" spans="1:3">
      <c r="A406">
        <v>154</v>
      </c>
      <c r="B406">
        <v>93.3360650836928</v>
      </c>
      <c r="C406">
        <v>87.122337</v>
      </c>
    </row>
    <row r="407" spans="1:3">
      <c r="A407">
        <v>155</v>
      </c>
      <c r="B407">
        <v>93.579778016462</v>
      </c>
      <c r="C407">
        <v>89.401787</v>
      </c>
    </row>
    <row r="408" spans="1:3">
      <c r="A408">
        <v>156</v>
      </c>
      <c r="B408">
        <v>93.8234909492313</v>
      </c>
      <c r="C408">
        <v>91.310051</v>
      </c>
    </row>
    <row r="409" spans="1:3">
      <c r="A409">
        <v>157</v>
      </c>
      <c r="B409">
        <v>94.0672038820005</v>
      </c>
      <c r="C409">
        <v>89.698242</v>
      </c>
    </row>
    <row r="410" spans="1:3">
      <c r="A410">
        <v>158</v>
      </c>
      <c r="B410">
        <v>94.3109168147697</v>
      </c>
      <c r="C410">
        <v>90.889038</v>
      </c>
    </row>
    <row r="411" spans="1:3">
      <c r="A411">
        <v>159</v>
      </c>
      <c r="B411">
        <v>94.5546297475389</v>
      </c>
      <c r="C411">
        <v>88.096405</v>
      </c>
    </row>
    <row r="412" spans="1:3">
      <c r="A412">
        <v>160</v>
      </c>
      <c r="B412">
        <v>94.7983426803081</v>
      </c>
      <c r="C412">
        <v>90.126732</v>
      </c>
    </row>
    <row r="413" spans="1:3">
      <c r="A413">
        <v>161</v>
      </c>
      <c r="B413">
        <v>95.0420556130773</v>
      </c>
      <c r="C413">
        <v>90.879066</v>
      </c>
    </row>
    <row r="414" spans="1:3">
      <c r="A414">
        <v>162</v>
      </c>
      <c r="B414">
        <v>95.2857685458465</v>
      </c>
      <c r="C414">
        <v>90.707176</v>
      </c>
    </row>
    <row r="415" spans="1:3">
      <c r="A415">
        <v>163</v>
      </c>
      <c r="B415">
        <v>95.5294814786157</v>
      </c>
      <c r="C415">
        <v>90.707176</v>
      </c>
    </row>
    <row r="416" spans="1:3">
      <c r="A416">
        <v>164</v>
      </c>
      <c r="B416">
        <v>95.7731944113849</v>
      </c>
      <c r="C416">
        <v>93.133614</v>
      </c>
    </row>
    <row r="417" spans="1:3">
      <c r="A417">
        <v>165</v>
      </c>
      <c r="B417">
        <v>96.0169073441541</v>
      </c>
      <c r="C417">
        <v>92.844635</v>
      </c>
    </row>
    <row r="418" spans="1:3">
      <c r="A418">
        <v>166</v>
      </c>
      <c r="B418">
        <v>96.2606202769233</v>
      </c>
      <c r="C418">
        <v>95.006996</v>
      </c>
    </row>
    <row r="419" spans="1:3">
      <c r="A419">
        <v>167</v>
      </c>
      <c r="B419">
        <v>96.5043332096925</v>
      </c>
      <c r="C419">
        <v>95.415558</v>
      </c>
    </row>
    <row r="420" spans="1:3">
      <c r="A420">
        <v>168</v>
      </c>
      <c r="B420">
        <v>96.7480461424617</v>
      </c>
      <c r="C420">
        <v>95.582466</v>
      </c>
    </row>
    <row r="421" spans="1:3">
      <c r="A421">
        <v>169</v>
      </c>
      <c r="B421">
        <v>96.991759075231</v>
      </c>
      <c r="C421">
        <v>95.141525</v>
      </c>
    </row>
    <row r="422" spans="1:3">
      <c r="A422">
        <v>170</v>
      </c>
      <c r="B422">
        <v>97.2354720080002</v>
      </c>
      <c r="C422">
        <v>96.715965</v>
      </c>
    </row>
    <row r="423" spans="1:3">
      <c r="A423">
        <v>171</v>
      </c>
      <c r="B423">
        <v>97.4791849407694</v>
      </c>
      <c r="C423">
        <v>97.381111</v>
      </c>
    </row>
    <row r="424" spans="1:3">
      <c r="A424">
        <v>172</v>
      </c>
      <c r="B424">
        <v>97.7228978735386</v>
      </c>
      <c r="C424">
        <v>96.182846</v>
      </c>
    </row>
    <row r="425" spans="1:3">
      <c r="A425">
        <v>173</v>
      </c>
      <c r="B425">
        <v>97.9666108063078</v>
      </c>
      <c r="C425">
        <v>95.988533</v>
      </c>
    </row>
    <row r="426" spans="1:3">
      <c r="A426">
        <v>174</v>
      </c>
      <c r="B426">
        <v>98.210323739077</v>
      </c>
      <c r="C426">
        <v>98.011391</v>
      </c>
    </row>
    <row r="427" spans="1:3">
      <c r="A427">
        <v>175</v>
      </c>
      <c r="B427">
        <v>98.4540366718462</v>
      </c>
      <c r="C427">
        <v>96.658661</v>
      </c>
    </row>
    <row r="428" spans="1:3">
      <c r="A428">
        <v>176</v>
      </c>
      <c r="B428">
        <v>98.6977496046154</v>
      </c>
      <c r="C428">
        <v>96.930199</v>
      </c>
    </row>
    <row r="429" spans="1:3">
      <c r="A429">
        <v>177</v>
      </c>
      <c r="B429">
        <v>98.9414625373846</v>
      </c>
      <c r="C429">
        <v>92.518288</v>
      </c>
    </row>
    <row r="430" spans="1:3">
      <c r="A430">
        <v>178</v>
      </c>
      <c r="B430">
        <v>99.1851754701538</v>
      </c>
      <c r="C430">
        <v>92.289093</v>
      </c>
    </row>
    <row r="431" spans="1:3">
      <c r="A431">
        <v>179</v>
      </c>
      <c r="B431">
        <v>99.428888402923</v>
      </c>
      <c r="C431">
        <v>94.476364</v>
      </c>
    </row>
    <row r="432" spans="1:3">
      <c r="A432">
        <v>180</v>
      </c>
      <c r="B432">
        <v>99.6726013356922</v>
      </c>
      <c r="C432">
        <v>92.924355</v>
      </c>
    </row>
    <row r="433" spans="1:3">
      <c r="A433">
        <v>181</v>
      </c>
      <c r="B433">
        <v>99.9163142684614</v>
      </c>
      <c r="C433">
        <v>94.705559</v>
      </c>
    </row>
    <row r="434" spans="1:3">
      <c r="A434">
        <v>182</v>
      </c>
      <c r="B434">
        <v>100.160027201231</v>
      </c>
      <c r="C434">
        <v>95.851517</v>
      </c>
    </row>
    <row r="435" spans="1:3">
      <c r="A435">
        <v>183</v>
      </c>
      <c r="B435">
        <v>100.403740134</v>
      </c>
      <c r="C435">
        <v>105.886086</v>
      </c>
    </row>
    <row r="436" spans="1:3">
      <c r="A436">
        <v>184</v>
      </c>
      <c r="B436">
        <v>100.647453066769</v>
      </c>
      <c r="C436">
        <v>108.554153</v>
      </c>
    </row>
    <row r="437" spans="1:3">
      <c r="A437">
        <v>185</v>
      </c>
      <c r="B437">
        <v>100.891165999538</v>
      </c>
      <c r="C437">
        <v>109.279099</v>
      </c>
    </row>
    <row r="438" spans="1:3">
      <c r="A438">
        <v>186</v>
      </c>
      <c r="B438">
        <v>101.134878932307</v>
      </c>
      <c r="C438">
        <v>109.675194</v>
      </c>
    </row>
    <row r="439" spans="1:3">
      <c r="A439">
        <v>187</v>
      </c>
      <c r="B439">
        <v>101.378591865077</v>
      </c>
      <c r="C439">
        <v>113.501678</v>
      </c>
    </row>
    <row r="440" spans="1:3">
      <c r="A440">
        <v>188</v>
      </c>
      <c r="B440">
        <v>101.622304797846</v>
      </c>
      <c r="C440">
        <v>110.921135</v>
      </c>
    </row>
    <row r="441" spans="1:3">
      <c r="A441">
        <v>189</v>
      </c>
      <c r="B441">
        <v>101.866017730615</v>
      </c>
      <c r="C441">
        <v>112.533356</v>
      </c>
    </row>
    <row r="442" spans="1:3">
      <c r="A442">
        <v>190</v>
      </c>
      <c r="B442">
        <v>102.109730663384</v>
      </c>
      <c r="C442">
        <v>109.186623</v>
      </c>
    </row>
    <row r="443" spans="1:3">
      <c r="A443">
        <v>191</v>
      </c>
      <c r="B443">
        <v>102.353443596154</v>
      </c>
      <c r="C443">
        <v>112.815369</v>
      </c>
    </row>
    <row r="444" spans="1:3">
      <c r="A444">
        <v>192</v>
      </c>
      <c r="B444">
        <v>102.597156528923</v>
      </c>
      <c r="C444">
        <v>114.81192</v>
      </c>
    </row>
    <row r="445" spans="1:3">
      <c r="A445">
        <v>193</v>
      </c>
      <c r="B445">
        <v>102.840869461692</v>
      </c>
      <c r="C445">
        <v>114.709602</v>
      </c>
    </row>
    <row r="446" spans="1:3">
      <c r="A446">
        <v>194</v>
      </c>
      <c r="B446">
        <v>103.084582394461</v>
      </c>
      <c r="C446">
        <v>114.41011</v>
      </c>
    </row>
    <row r="447" spans="1:3">
      <c r="A447">
        <v>195</v>
      </c>
      <c r="B447">
        <v>103.32829532723</v>
      </c>
      <c r="C447">
        <v>115.363472</v>
      </c>
    </row>
    <row r="448" spans="1:3">
      <c r="A448">
        <v>196</v>
      </c>
      <c r="B448">
        <v>103.57200826</v>
      </c>
      <c r="C448">
        <v>115.508217</v>
      </c>
    </row>
    <row r="449" spans="1:3">
      <c r="A449">
        <v>197</v>
      </c>
      <c r="B449">
        <v>103.815721192769</v>
      </c>
      <c r="C449">
        <v>118.071297</v>
      </c>
    </row>
    <row r="450" spans="1:3">
      <c r="A450">
        <v>198</v>
      </c>
      <c r="B450">
        <v>104.059434125538</v>
      </c>
      <c r="C450">
        <v>124.1558</v>
      </c>
    </row>
    <row r="451" spans="1:3">
      <c r="A451">
        <v>199</v>
      </c>
      <c r="B451">
        <v>104.303147058307</v>
      </c>
      <c r="C451">
        <v>125.640739</v>
      </c>
    </row>
    <row r="452" spans="1:3">
      <c r="A452">
        <v>200</v>
      </c>
      <c r="B452">
        <v>104.546859991076</v>
      </c>
      <c r="C452">
        <v>124.610016</v>
      </c>
    </row>
    <row r="453" spans="1:3">
      <c r="A453">
        <v>201</v>
      </c>
      <c r="B453">
        <v>104.790572923846</v>
      </c>
      <c r="C453">
        <v>126.304596</v>
      </c>
    </row>
    <row r="454" spans="1:3">
      <c r="A454">
        <v>202</v>
      </c>
      <c r="B454">
        <v>105.034285856615</v>
      </c>
      <c r="C454">
        <v>124.794701</v>
      </c>
    </row>
    <row r="455" spans="1:3">
      <c r="A455">
        <v>203</v>
      </c>
      <c r="B455">
        <v>105.277998789384</v>
      </c>
      <c r="C455">
        <v>124.592552</v>
      </c>
    </row>
    <row r="456" spans="1:3">
      <c r="A456">
        <v>204</v>
      </c>
      <c r="B456">
        <v>105.521711722153</v>
      </c>
      <c r="C456">
        <v>128.817749</v>
      </c>
    </row>
    <row r="457" spans="1:3">
      <c r="A457">
        <v>205</v>
      </c>
      <c r="B457">
        <v>105.765424654922</v>
      </c>
      <c r="C457">
        <v>133.948898</v>
      </c>
    </row>
    <row r="458" spans="1:3">
      <c r="A458">
        <v>206</v>
      </c>
      <c r="B458">
        <v>106.009137587692</v>
      </c>
      <c r="C458">
        <v>131.173691</v>
      </c>
    </row>
    <row r="459" spans="1:3">
      <c r="A459">
        <v>207</v>
      </c>
      <c r="B459">
        <v>106.252850520461</v>
      </c>
      <c r="C459">
        <v>120.671806</v>
      </c>
    </row>
    <row r="460" spans="1:3">
      <c r="A460">
        <v>208</v>
      </c>
      <c r="B460">
        <v>106.49656345323</v>
      </c>
      <c r="C460">
        <v>120.751671</v>
      </c>
    </row>
    <row r="461" spans="1:3">
      <c r="A461">
        <v>209</v>
      </c>
      <c r="B461">
        <v>106.740276385999</v>
      </c>
      <c r="C461">
        <v>112.625694</v>
      </c>
    </row>
    <row r="462" spans="1:3">
      <c r="A462">
        <v>210</v>
      </c>
      <c r="B462">
        <v>106.983989318768</v>
      </c>
      <c r="C462">
        <v>117.117943</v>
      </c>
    </row>
    <row r="463" spans="1:3">
      <c r="A463">
        <v>211</v>
      </c>
      <c r="B463">
        <v>107.227702251538</v>
      </c>
      <c r="C463">
        <v>113.29454</v>
      </c>
    </row>
    <row r="464" spans="1:3">
      <c r="A464">
        <v>212</v>
      </c>
      <c r="B464">
        <v>107.471415184307</v>
      </c>
      <c r="C464">
        <v>111.807106</v>
      </c>
    </row>
    <row r="465" spans="1:3">
      <c r="A465">
        <v>213</v>
      </c>
      <c r="B465">
        <v>107.715128117076</v>
      </c>
      <c r="C465">
        <v>115.161316</v>
      </c>
    </row>
    <row r="466" spans="1:3">
      <c r="A466">
        <v>214</v>
      </c>
      <c r="B466">
        <v>107.958841049845</v>
      </c>
      <c r="C466">
        <v>115.341011</v>
      </c>
    </row>
    <row r="467" spans="1:3">
      <c r="A467">
        <v>215</v>
      </c>
      <c r="B467">
        <v>108.202553982614</v>
      </c>
      <c r="C467">
        <v>111.936882</v>
      </c>
    </row>
    <row r="468" spans="1:3">
      <c r="A468">
        <v>216</v>
      </c>
      <c r="B468">
        <v>108.446266915384</v>
      </c>
      <c r="C468">
        <v>110.149963</v>
      </c>
    </row>
    <row r="469" spans="1:3">
      <c r="A469">
        <v>217</v>
      </c>
      <c r="B469">
        <v>108.689979848153</v>
      </c>
      <c r="C469">
        <v>106.655991</v>
      </c>
    </row>
    <row r="470" spans="1:3">
      <c r="A470">
        <v>218</v>
      </c>
      <c r="B470">
        <v>108.933692780922</v>
      </c>
      <c r="C470">
        <v>109.890411</v>
      </c>
    </row>
    <row r="471" spans="1:3">
      <c r="A471">
        <v>219</v>
      </c>
      <c r="B471">
        <v>109.177405713691</v>
      </c>
      <c r="C471">
        <v>111.617432</v>
      </c>
    </row>
    <row r="472" spans="1:3">
      <c r="A472">
        <v>220</v>
      </c>
      <c r="B472">
        <v>109.421118646461</v>
      </c>
      <c r="C472">
        <v>106.935509</v>
      </c>
    </row>
    <row r="473" spans="1:3">
      <c r="A473">
        <v>221</v>
      </c>
      <c r="B473">
        <v>109.66483157923</v>
      </c>
      <c r="C473">
        <v>108.033615</v>
      </c>
    </row>
    <row r="474" spans="1:3">
      <c r="A474">
        <v>222</v>
      </c>
      <c r="B474">
        <v>109.908544511999</v>
      </c>
      <c r="C474">
        <v>112.086624</v>
      </c>
    </row>
    <row r="475" spans="1:3">
      <c r="A475">
        <v>223</v>
      </c>
      <c r="B475">
        <v>110.152257444768</v>
      </c>
      <c r="C475">
        <v>114.762009</v>
      </c>
    </row>
    <row r="476" spans="1:3">
      <c r="A476">
        <v>224</v>
      </c>
      <c r="B476">
        <v>110.395970377537</v>
      </c>
      <c r="C476">
        <v>113.893501</v>
      </c>
    </row>
    <row r="477" spans="1:3">
      <c r="A477">
        <v>225</v>
      </c>
      <c r="B477">
        <v>110.639683310307</v>
      </c>
      <c r="C477">
        <v>115.610542</v>
      </c>
    </row>
    <row r="478" spans="1:3">
      <c r="A478">
        <v>226</v>
      </c>
      <c r="B478">
        <v>110.883396243076</v>
      </c>
      <c r="C478">
        <v>116.58886</v>
      </c>
    </row>
    <row r="479" spans="1:3">
      <c r="A479">
        <v>227</v>
      </c>
      <c r="B479">
        <v>111.127109175845</v>
      </c>
      <c r="C479">
        <v>112.825348</v>
      </c>
    </row>
    <row r="480" spans="1:3">
      <c r="A480">
        <v>228</v>
      </c>
      <c r="B480">
        <v>111.370822108614</v>
      </c>
      <c r="C480">
        <v>116.299355</v>
      </c>
    </row>
    <row r="481" spans="1:3">
      <c r="A481">
        <v>229</v>
      </c>
      <c r="B481">
        <v>111.614535041383</v>
      </c>
      <c r="C481">
        <v>112.965111</v>
      </c>
    </row>
    <row r="482" spans="1:3">
      <c r="A482">
        <v>230</v>
      </c>
      <c r="B482">
        <v>111.858247974153</v>
      </c>
      <c r="C482">
        <v>114.881805</v>
      </c>
    </row>
    <row r="483" spans="1:3">
      <c r="A483">
        <v>231</v>
      </c>
      <c r="B483">
        <v>112.101960906922</v>
      </c>
      <c r="C483">
        <v>114.771988</v>
      </c>
    </row>
    <row r="484" spans="1:3">
      <c r="A484">
        <v>232</v>
      </c>
      <c r="B484">
        <v>112.345673839691</v>
      </c>
      <c r="C484">
        <v>116.768547</v>
      </c>
    </row>
    <row r="485" spans="1:3">
      <c r="A485">
        <v>233</v>
      </c>
      <c r="B485">
        <v>112.58938677246</v>
      </c>
      <c r="C485">
        <v>124.185753</v>
      </c>
    </row>
    <row r="486" spans="1:3">
      <c r="A486">
        <v>234</v>
      </c>
      <c r="B486">
        <v>112.833099705229</v>
      </c>
      <c r="C486">
        <v>120.891434</v>
      </c>
    </row>
    <row r="487" spans="1:3">
      <c r="A487">
        <v>235</v>
      </c>
      <c r="B487">
        <v>113.076812637999</v>
      </c>
      <c r="C487">
        <v>120.981277</v>
      </c>
    </row>
    <row r="488" spans="1:3">
      <c r="A488">
        <v>236</v>
      </c>
      <c r="B488">
        <v>113.320525570768</v>
      </c>
      <c r="C488">
        <v>120.502106</v>
      </c>
    </row>
    <row r="489" spans="1:3">
      <c r="A489">
        <v>237</v>
      </c>
      <c r="B489">
        <v>113.564238503537</v>
      </c>
      <c r="C489">
        <v>118.81501</v>
      </c>
    </row>
    <row r="490" spans="1:3">
      <c r="A490">
        <v>238</v>
      </c>
      <c r="B490">
        <v>113.807951436306</v>
      </c>
      <c r="C490">
        <v>115.780251</v>
      </c>
    </row>
    <row r="491" spans="1:3">
      <c r="A491">
        <v>239</v>
      </c>
      <c r="B491">
        <v>114.051664369075</v>
      </c>
      <c r="C491">
        <v>117.307617</v>
      </c>
    </row>
    <row r="492" spans="1:3">
      <c r="A492">
        <v>240</v>
      </c>
      <c r="B492">
        <v>114.295377301845</v>
      </c>
      <c r="C492">
        <v>116.668724</v>
      </c>
    </row>
    <row r="493" spans="1:3">
      <c r="A493">
        <v>241</v>
      </c>
      <c r="B493">
        <v>114.539090234614</v>
      </c>
      <c r="C493">
        <v>115.550644</v>
      </c>
    </row>
    <row r="494" spans="1:3">
      <c r="A494">
        <v>242</v>
      </c>
      <c r="B494">
        <v>114.782803167383</v>
      </c>
      <c r="C494">
        <v>114.841873</v>
      </c>
    </row>
    <row r="495" spans="1:3">
      <c r="A495">
        <v>243</v>
      </c>
      <c r="B495">
        <v>115.026516100152</v>
      </c>
      <c r="C495">
        <v>114.851852</v>
      </c>
    </row>
    <row r="496" spans="1:3">
      <c r="A496">
        <v>244</v>
      </c>
      <c r="B496">
        <v>115.270229032921</v>
      </c>
      <c r="C496">
        <v>116.399178</v>
      </c>
    </row>
    <row r="497" spans="1:3">
      <c r="A497">
        <v>245</v>
      </c>
      <c r="B497">
        <v>115.513941965691</v>
      </c>
      <c r="C497">
        <v>111.008476</v>
      </c>
    </row>
    <row r="498" spans="1:3">
      <c r="A498">
        <v>246</v>
      </c>
      <c r="B498">
        <v>115.75765489846</v>
      </c>
      <c r="C498">
        <v>115.121384</v>
      </c>
    </row>
    <row r="499" spans="1:3">
      <c r="A499">
        <v>247</v>
      </c>
      <c r="B499">
        <v>116.001367831229</v>
      </c>
      <c r="C499">
        <v>108.672516</v>
      </c>
    </row>
    <row r="500" spans="1:3">
      <c r="A500">
        <v>248</v>
      </c>
      <c r="B500">
        <v>116.245080763998</v>
      </c>
      <c r="C500">
        <v>108.582664</v>
      </c>
    </row>
    <row r="501" spans="1:3">
      <c r="A501">
        <v>249</v>
      </c>
      <c r="B501">
        <v>116.488793696768</v>
      </c>
      <c r="C501">
        <v>110.249794</v>
      </c>
    </row>
    <row r="502" spans="1:3">
      <c r="A502">
        <v>250</v>
      </c>
      <c r="B502">
        <v>116.732506629537</v>
      </c>
      <c r="C502">
        <v>114.752022</v>
      </c>
    </row>
    <row r="503" spans="1:3">
      <c r="A503">
        <v>251</v>
      </c>
      <c r="B503">
        <v>116.976219562306</v>
      </c>
      <c r="C503">
        <v>118.824997</v>
      </c>
    </row>
    <row r="504" spans="1:3">
      <c r="A504">
        <v>252</v>
      </c>
      <c r="B504">
        <v>117.219932495075</v>
      </c>
      <c r="C504">
        <v>118.690002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4"/>
  <sheetViews>
    <sheetView workbookViewId="0">
      <selection activeCell="A1" sqref="A1"/>
    </sheetView>
  </sheetViews>
  <sheetFormatPr defaultColWidth="9" defaultRowHeight="15.6" outlineLevelCol="2"/>
  <sheetData>
    <row r="1" spans="1:3">
      <c r="A1">
        <v>1</v>
      </c>
      <c r="B1">
        <v>7.90655762999585</v>
      </c>
      <c r="C1">
        <v>0</v>
      </c>
    </row>
    <row r="2" spans="1:3">
      <c r="A2">
        <v>2</v>
      </c>
      <c r="B2">
        <v>8.16929169722665</v>
      </c>
      <c r="C2">
        <v>0</v>
      </c>
    </row>
    <row r="3" spans="1:3">
      <c r="A3">
        <v>3</v>
      </c>
      <c r="B3">
        <v>7.86656576445744</v>
      </c>
      <c r="C3">
        <v>0</v>
      </c>
    </row>
    <row r="4" spans="1:3">
      <c r="A4">
        <v>4</v>
      </c>
      <c r="B4">
        <v>8.23992583168824</v>
      </c>
      <c r="C4">
        <v>0</v>
      </c>
    </row>
    <row r="5" spans="1:3">
      <c r="A5">
        <v>5</v>
      </c>
      <c r="B5">
        <v>7.54632189891902</v>
      </c>
      <c r="C5">
        <v>0</v>
      </c>
    </row>
    <row r="6" spans="1:3">
      <c r="A6">
        <v>6</v>
      </c>
      <c r="B6">
        <v>8.06966096614982</v>
      </c>
      <c r="C6">
        <v>0</v>
      </c>
    </row>
    <row r="7" spans="1:3">
      <c r="A7">
        <v>7</v>
      </c>
      <c r="B7">
        <v>8.15537003338061</v>
      </c>
      <c r="C7">
        <v>0</v>
      </c>
    </row>
    <row r="8" spans="1:3">
      <c r="A8">
        <v>8</v>
      </c>
      <c r="B8">
        <v>7.7125301006114</v>
      </c>
      <c r="C8">
        <v>0</v>
      </c>
    </row>
    <row r="9" spans="1:3">
      <c r="A9">
        <v>9</v>
      </c>
      <c r="B9">
        <v>6.70668616784219</v>
      </c>
      <c r="C9">
        <v>0</v>
      </c>
    </row>
    <row r="10" spans="1:3">
      <c r="A10">
        <v>10</v>
      </c>
      <c r="B10">
        <v>6.172865235073</v>
      </c>
      <c r="C10">
        <v>0</v>
      </c>
    </row>
    <row r="11" spans="1:3">
      <c r="A11">
        <v>11</v>
      </c>
      <c r="B11">
        <v>5.87261130230378</v>
      </c>
      <c r="C11">
        <v>0</v>
      </c>
    </row>
    <row r="12" spans="1:3">
      <c r="A12">
        <v>12</v>
      </c>
      <c r="B12">
        <v>6.75733936953458</v>
      </c>
      <c r="C12">
        <v>0</v>
      </c>
    </row>
    <row r="13" spans="1:3">
      <c r="A13">
        <v>13</v>
      </c>
      <c r="B13">
        <v>6.00227343676537</v>
      </c>
      <c r="C13">
        <v>0</v>
      </c>
    </row>
    <row r="14" spans="1:3">
      <c r="A14">
        <v>14</v>
      </c>
      <c r="B14">
        <v>6.63131050399616</v>
      </c>
      <c r="C14">
        <v>0</v>
      </c>
    </row>
    <row r="15" spans="1:3">
      <c r="A15">
        <v>15</v>
      </c>
      <c r="B15">
        <v>6.24254757122696</v>
      </c>
      <c r="C15">
        <v>0</v>
      </c>
    </row>
    <row r="16" spans="1:3">
      <c r="A16">
        <v>16</v>
      </c>
      <c r="B16">
        <v>5.23916063845775</v>
      </c>
      <c r="C16">
        <v>0</v>
      </c>
    </row>
    <row r="17" spans="1:3">
      <c r="A17">
        <v>17</v>
      </c>
      <c r="B17">
        <v>3.83752270568854</v>
      </c>
      <c r="C17">
        <v>0</v>
      </c>
    </row>
    <row r="18" spans="1:3">
      <c r="A18">
        <v>18</v>
      </c>
      <c r="B18">
        <v>4.15678677291933</v>
      </c>
      <c r="C18">
        <v>0</v>
      </c>
    </row>
    <row r="19" spans="1:3">
      <c r="A19">
        <v>19</v>
      </c>
      <c r="B19">
        <v>4.85712684015012</v>
      </c>
      <c r="C19">
        <v>0</v>
      </c>
    </row>
    <row r="20" spans="1:3">
      <c r="A20">
        <v>20</v>
      </c>
      <c r="B20">
        <v>5.87459890738091</v>
      </c>
      <c r="C20">
        <v>0</v>
      </c>
    </row>
    <row r="21" spans="1:3">
      <c r="A21">
        <v>21</v>
      </c>
      <c r="B21">
        <v>4.69913897461171</v>
      </c>
      <c r="C21">
        <v>0</v>
      </c>
    </row>
    <row r="22" spans="1:3">
      <c r="A22">
        <v>22</v>
      </c>
      <c r="B22">
        <v>4.8389400418425</v>
      </c>
      <c r="C22">
        <v>0</v>
      </c>
    </row>
    <row r="23" spans="1:3">
      <c r="A23">
        <v>23</v>
      </c>
      <c r="B23">
        <v>5.1582151090733</v>
      </c>
      <c r="C23">
        <v>0</v>
      </c>
    </row>
    <row r="24" spans="1:3">
      <c r="A24">
        <v>24</v>
      </c>
      <c r="B24">
        <v>5.08413417630408</v>
      </c>
      <c r="C24">
        <v>0</v>
      </c>
    </row>
    <row r="25" spans="1:3">
      <c r="A25">
        <v>25</v>
      </c>
      <c r="B25">
        <v>5.74761024353488</v>
      </c>
      <c r="C25">
        <v>0</v>
      </c>
    </row>
    <row r="26" spans="1:3">
      <c r="A26">
        <v>26</v>
      </c>
      <c r="B26">
        <v>6.66182531076567</v>
      </c>
      <c r="C26">
        <v>0</v>
      </c>
    </row>
    <row r="27" spans="1:3">
      <c r="A27">
        <v>27</v>
      </c>
      <c r="B27">
        <v>6.55332837799646</v>
      </c>
      <c r="C27">
        <v>0</v>
      </c>
    </row>
    <row r="28" spans="1:3">
      <c r="A28">
        <v>28</v>
      </c>
      <c r="B28">
        <v>6.14489644522726</v>
      </c>
      <c r="C28">
        <v>0</v>
      </c>
    </row>
    <row r="29" spans="1:3">
      <c r="A29">
        <v>29</v>
      </c>
      <c r="B29">
        <v>5.97001651245805</v>
      </c>
      <c r="C29">
        <v>0</v>
      </c>
    </row>
    <row r="30" spans="1:3">
      <c r="A30">
        <v>30</v>
      </c>
      <c r="B30">
        <v>5.58372557968885</v>
      </c>
      <c r="C30">
        <v>0</v>
      </c>
    </row>
    <row r="31" spans="1:3">
      <c r="A31">
        <v>31</v>
      </c>
      <c r="B31">
        <v>6.46106764691964</v>
      </c>
      <c r="C31">
        <v>0</v>
      </c>
    </row>
    <row r="32" spans="1:3">
      <c r="A32">
        <v>32</v>
      </c>
      <c r="B32">
        <v>6.28373071415044</v>
      </c>
      <c r="C32">
        <v>0</v>
      </c>
    </row>
    <row r="33" spans="1:3">
      <c r="A33">
        <v>33</v>
      </c>
      <c r="B33">
        <v>7.42659178138123</v>
      </c>
      <c r="C33">
        <v>0</v>
      </c>
    </row>
    <row r="34" spans="1:3">
      <c r="A34">
        <v>34</v>
      </c>
      <c r="B34">
        <v>7.15583984861202</v>
      </c>
      <c r="C34">
        <v>0</v>
      </c>
    </row>
    <row r="35" spans="1:3">
      <c r="A35">
        <v>35</v>
      </c>
      <c r="B35">
        <v>7.33498591584281</v>
      </c>
      <c r="C35">
        <v>0</v>
      </c>
    </row>
    <row r="36" spans="1:3">
      <c r="A36">
        <v>36</v>
      </c>
      <c r="B36">
        <v>7.61492398307361</v>
      </c>
      <c r="C36">
        <v>0</v>
      </c>
    </row>
    <row r="37" spans="1:3">
      <c r="A37">
        <v>37</v>
      </c>
      <c r="B37">
        <v>9.01839005030439</v>
      </c>
      <c r="C37">
        <v>0</v>
      </c>
    </row>
    <row r="38" spans="1:3">
      <c r="A38">
        <v>38</v>
      </c>
      <c r="B38">
        <v>8.05678911753519</v>
      </c>
      <c r="C38">
        <v>0</v>
      </c>
    </row>
    <row r="39" spans="1:3">
      <c r="A39">
        <v>39</v>
      </c>
      <c r="B39">
        <v>8.39574118476598</v>
      </c>
      <c r="C39">
        <v>0</v>
      </c>
    </row>
    <row r="40" spans="1:3">
      <c r="A40">
        <v>40</v>
      </c>
      <c r="B40">
        <v>7.80539425199679</v>
      </c>
      <c r="C40">
        <v>0</v>
      </c>
    </row>
    <row r="41" spans="1:3">
      <c r="A41">
        <v>41</v>
      </c>
      <c r="B41">
        <v>8.74173531922757</v>
      </c>
      <c r="C41">
        <v>0</v>
      </c>
    </row>
    <row r="42" spans="1:3">
      <c r="A42">
        <v>42</v>
      </c>
      <c r="B42">
        <v>10.0812813864584</v>
      </c>
      <c r="C42">
        <v>0</v>
      </c>
    </row>
    <row r="43" spans="1:3">
      <c r="A43">
        <v>43</v>
      </c>
      <c r="B43">
        <v>10.0096494536891</v>
      </c>
      <c r="C43">
        <v>0</v>
      </c>
    </row>
    <row r="44" spans="1:3">
      <c r="A44">
        <v>44</v>
      </c>
      <c r="B44">
        <v>11.3958955209199</v>
      </c>
      <c r="C44">
        <v>0</v>
      </c>
    </row>
    <row r="45" spans="1:3">
      <c r="A45">
        <v>45</v>
      </c>
      <c r="B45">
        <v>10.0999675881507</v>
      </c>
      <c r="C45">
        <v>0</v>
      </c>
    </row>
    <row r="46" spans="1:3">
      <c r="A46">
        <v>46</v>
      </c>
      <c r="B46">
        <v>9.52681665538152</v>
      </c>
      <c r="C46">
        <v>0</v>
      </c>
    </row>
    <row r="47" spans="1:3">
      <c r="A47">
        <v>47</v>
      </c>
      <c r="B47">
        <v>10.2419127226123</v>
      </c>
      <c r="C47">
        <v>0</v>
      </c>
    </row>
    <row r="48" spans="1:3">
      <c r="A48">
        <v>48</v>
      </c>
      <c r="B48">
        <v>10.8562017898431</v>
      </c>
      <c r="C48">
        <v>0</v>
      </c>
    </row>
    <row r="49" spans="1:3">
      <c r="A49">
        <v>49</v>
      </c>
      <c r="B49">
        <v>10.0814598570739</v>
      </c>
      <c r="C49">
        <v>0</v>
      </c>
    </row>
    <row r="50" spans="1:3">
      <c r="A50">
        <v>50</v>
      </c>
      <c r="B50">
        <v>10.1155559243047</v>
      </c>
      <c r="C50">
        <v>0</v>
      </c>
    </row>
    <row r="51" spans="1:3">
      <c r="A51">
        <v>51</v>
      </c>
      <c r="B51">
        <v>10.2479879915355</v>
      </c>
      <c r="C51">
        <v>0</v>
      </c>
    </row>
    <row r="52" spans="1:3">
      <c r="A52">
        <v>52</v>
      </c>
      <c r="B52">
        <v>9.77809405876628</v>
      </c>
      <c r="C52">
        <v>0</v>
      </c>
    </row>
    <row r="53" spans="1:3">
      <c r="A53">
        <v>53</v>
      </c>
      <c r="B53">
        <v>7.23325612599707</v>
      </c>
      <c r="C53">
        <v>0</v>
      </c>
    </row>
    <row r="54" spans="1:3">
      <c r="A54">
        <v>54</v>
      </c>
      <c r="B54">
        <v>9.13824019322789</v>
      </c>
      <c r="C54">
        <v>0</v>
      </c>
    </row>
    <row r="55" spans="1:3">
      <c r="A55">
        <v>55</v>
      </c>
      <c r="B55">
        <v>10.5294152604587</v>
      </c>
      <c r="C55">
        <v>0</v>
      </c>
    </row>
    <row r="56" spans="1:3">
      <c r="A56">
        <v>56</v>
      </c>
      <c r="B56">
        <v>10.1701393276895</v>
      </c>
      <c r="C56">
        <v>0</v>
      </c>
    </row>
    <row r="57" spans="1:3">
      <c r="A57">
        <v>57</v>
      </c>
      <c r="B57">
        <v>6.39608439492025</v>
      </c>
      <c r="C57">
        <v>0</v>
      </c>
    </row>
    <row r="58" spans="1:3">
      <c r="A58">
        <v>58</v>
      </c>
      <c r="B58">
        <v>5.94339446215105</v>
      </c>
      <c r="C58">
        <v>0</v>
      </c>
    </row>
    <row r="59" spans="1:3">
      <c r="A59">
        <v>59</v>
      </c>
      <c r="B59">
        <v>8.20486252938184</v>
      </c>
      <c r="C59">
        <v>0</v>
      </c>
    </row>
    <row r="60" spans="1:3">
      <c r="A60">
        <v>60</v>
      </c>
      <c r="B60">
        <v>8.60035559661263</v>
      </c>
      <c r="C60">
        <v>0</v>
      </c>
    </row>
    <row r="61" spans="1:3">
      <c r="A61">
        <v>61</v>
      </c>
      <c r="B61">
        <v>9.28101266384343</v>
      </c>
      <c r="C61">
        <v>0</v>
      </c>
    </row>
    <row r="62" spans="1:3">
      <c r="A62">
        <v>62</v>
      </c>
      <c r="B62">
        <v>7.95054573107421</v>
      </c>
      <c r="C62">
        <v>0</v>
      </c>
    </row>
    <row r="63" spans="1:3">
      <c r="A63">
        <v>63</v>
      </c>
      <c r="B63">
        <v>8.081405798305</v>
      </c>
      <c r="C63">
        <v>0</v>
      </c>
    </row>
    <row r="64" spans="1:3">
      <c r="A64">
        <v>64</v>
      </c>
      <c r="B64">
        <v>7.35961886553581</v>
      </c>
      <c r="C64">
        <v>0</v>
      </c>
    </row>
    <row r="65" spans="1:3">
      <c r="A65">
        <v>65</v>
      </c>
      <c r="B65">
        <v>8.98631293276661</v>
      </c>
      <c r="C65">
        <v>0</v>
      </c>
    </row>
    <row r="66" spans="1:3">
      <c r="A66">
        <v>66</v>
      </c>
      <c r="B66">
        <v>8.16841199999739</v>
      </c>
      <c r="C66">
        <v>0</v>
      </c>
    </row>
    <row r="67" spans="1:3">
      <c r="A67">
        <v>67</v>
      </c>
      <c r="B67">
        <v>7.94442106722818</v>
      </c>
      <c r="C67">
        <v>0</v>
      </c>
    </row>
    <row r="68" spans="1:3">
      <c r="A68">
        <v>68</v>
      </c>
      <c r="B68">
        <v>6.23444513445898</v>
      </c>
      <c r="C68">
        <v>0</v>
      </c>
    </row>
    <row r="69" spans="1:3">
      <c r="A69">
        <v>69</v>
      </c>
      <c r="B69">
        <v>7.12923620168976</v>
      </c>
      <c r="C69">
        <v>0</v>
      </c>
    </row>
    <row r="70" spans="1:3">
      <c r="A70">
        <v>70</v>
      </c>
      <c r="B70">
        <v>6.06738526892055</v>
      </c>
      <c r="C70">
        <v>0</v>
      </c>
    </row>
    <row r="71" spans="1:3">
      <c r="A71">
        <v>71</v>
      </c>
      <c r="B71">
        <v>4.03705133615135</v>
      </c>
      <c r="C71">
        <v>0</v>
      </c>
    </row>
    <row r="72" spans="1:3">
      <c r="A72">
        <v>72</v>
      </c>
      <c r="B72">
        <v>0.128917403382147</v>
      </c>
      <c r="C72">
        <v>0</v>
      </c>
    </row>
    <row r="73" spans="1:3">
      <c r="A73">
        <v>73</v>
      </c>
      <c r="B73">
        <v>-2.60374052938705</v>
      </c>
      <c r="C73">
        <v>0</v>
      </c>
    </row>
    <row r="74" spans="1:3">
      <c r="A74">
        <v>74</v>
      </c>
      <c r="B74">
        <v>-1.72126346215627</v>
      </c>
      <c r="C74">
        <v>0</v>
      </c>
    </row>
    <row r="75" spans="1:3">
      <c r="A75">
        <v>75</v>
      </c>
      <c r="B75">
        <v>-6.67918639492547</v>
      </c>
      <c r="C75">
        <v>0</v>
      </c>
    </row>
    <row r="76" spans="1:3">
      <c r="A76">
        <v>76</v>
      </c>
      <c r="B76">
        <v>-6.96232832769469</v>
      </c>
      <c r="C76">
        <v>0</v>
      </c>
    </row>
    <row r="77" spans="1:3">
      <c r="A77">
        <v>77</v>
      </c>
      <c r="B77">
        <v>-0.934396260463885</v>
      </c>
      <c r="C77">
        <v>0</v>
      </c>
    </row>
    <row r="78" spans="1:3">
      <c r="A78">
        <v>78</v>
      </c>
      <c r="B78">
        <v>-3.5167251932331</v>
      </c>
      <c r="C78">
        <v>0</v>
      </c>
    </row>
    <row r="79" spans="1:3">
      <c r="A79">
        <v>79</v>
      </c>
      <c r="B79">
        <v>-0.453355126002293</v>
      </c>
      <c r="C79">
        <v>0</v>
      </c>
    </row>
    <row r="80" spans="1:3">
      <c r="A80">
        <v>80</v>
      </c>
      <c r="B80">
        <v>-3.11700505877151</v>
      </c>
      <c r="C80">
        <v>0</v>
      </c>
    </row>
    <row r="81" spans="1:3">
      <c r="A81">
        <v>81</v>
      </c>
      <c r="B81">
        <v>-4.31933599154073</v>
      </c>
      <c r="C81">
        <v>0</v>
      </c>
    </row>
    <row r="82" spans="1:3">
      <c r="A82">
        <v>82</v>
      </c>
      <c r="B82">
        <v>-10.1964259243099</v>
      </c>
      <c r="C82">
        <v>0</v>
      </c>
    </row>
    <row r="83" spans="1:3">
      <c r="A83">
        <v>83</v>
      </c>
      <c r="B83">
        <v>-5.71607885707914</v>
      </c>
      <c r="C83">
        <v>0</v>
      </c>
    </row>
    <row r="84" spans="1:3">
      <c r="A84">
        <v>84</v>
      </c>
      <c r="B84">
        <v>-8.40191478984833</v>
      </c>
      <c r="C84">
        <v>0</v>
      </c>
    </row>
    <row r="85" spans="1:3">
      <c r="A85">
        <v>85</v>
      </c>
      <c r="B85">
        <v>-15.3485317226176</v>
      </c>
      <c r="C85">
        <v>0</v>
      </c>
    </row>
    <row r="86" spans="1:3">
      <c r="A86">
        <v>86</v>
      </c>
      <c r="B86">
        <v>-8.26341065538675</v>
      </c>
      <c r="C86">
        <v>0</v>
      </c>
    </row>
    <row r="87" spans="1:3">
      <c r="A87">
        <v>87</v>
      </c>
      <c r="B87">
        <v>-17.319466588156</v>
      </c>
      <c r="C87">
        <v>0</v>
      </c>
    </row>
    <row r="88" spans="1:3">
      <c r="A88">
        <v>88</v>
      </c>
      <c r="B88">
        <v>-14.9387025209252</v>
      </c>
      <c r="C88">
        <v>0</v>
      </c>
    </row>
    <row r="89" spans="1:3">
      <c r="A89">
        <v>89</v>
      </c>
      <c r="B89">
        <v>-16.7078134536944</v>
      </c>
      <c r="C89">
        <v>0</v>
      </c>
    </row>
    <row r="90" spans="1:3">
      <c r="A90">
        <v>90</v>
      </c>
      <c r="B90">
        <v>-17.4172813864636</v>
      </c>
      <c r="C90">
        <v>0</v>
      </c>
    </row>
    <row r="91" spans="1:3">
      <c r="A91">
        <v>91</v>
      </c>
      <c r="B91">
        <v>-21.4905163192328</v>
      </c>
      <c r="C91">
        <v>0</v>
      </c>
    </row>
    <row r="92" spans="1:3">
      <c r="A92">
        <v>92</v>
      </c>
      <c r="B92">
        <v>-22.934344252002</v>
      </c>
      <c r="C92">
        <v>0</v>
      </c>
    </row>
    <row r="93" spans="1:3">
      <c r="A93">
        <v>93</v>
      </c>
      <c r="B93">
        <v>-17.6309151847712</v>
      </c>
      <c r="C93">
        <v>0</v>
      </c>
    </row>
    <row r="94" spans="1:3">
      <c r="A94">
        <v>94</v>
      </c>
      <c r="B94">
        <v>-18.2097721175404</v>
      </c>
      <c r="C94">
        <v>0</v>
      </c>
    </row>
    <row r="95" spans="1:3">
      <c r="A95">
        <v>95</v>
      </c>
      <c r="B95">
        <v>-15.2696090503096</v>
      </c>
      <c r="C95">
        <v>0</v>
      </c>
    </row>
    <row r="96" spans="1:3">
      <c r="A96">
        <v>96</v>
      </c>
      <c r="B96">
        <v>-18.1501209830788</v>
      </c>
      <c r="C96">
        <v>0</v>
      </c>
    </row>
    <row r="97" spans="1:3">
      <c r="A97">
        <v>97</v>
      </c>
      <c r="B97">
        <v>-16.651577915848</v>
      </c>
      <c r="C97">
        <v>0</v>
      </c>
    </row>
    <row r="98" spans="1:3">
      <c r="A98">
        <v>98</v>
      </c>
      <c r="B98">
        <v>-17.0234338486172</v>
      </c>
      <c r="C98">
        <v>0</v>
      </c>
    </row>
    <row r="99" spans="1:3">
      <c r="A99">
        <v>99</v>
      </c>
      <c r="B99">
        <v>-20.5643797813864</v>
      </c>
      <c r="C99">
        <v>0</v>
      </c>
    </row>
    <row r="100" spans="1:3">
      <c r="A100">
        <v>100</v>
      </c>
      <c r="B100">
        <v>-19.8174467141557</v>
      </c>
      <c r="C100">
        <v>0</v>
      </c>
    </row>
    <row r="101" spans="1:3">
      <c r="A101">
        <v>101</v>
      </c>
      <c r="B101">
        <v>-20.9285876469249</v>
      </c>
      <c r="C101">
        <v>0</v>
      </c>
    </row>
    <row r="102" spans="1:3">
      <c r="A102">
        <v>102</v>
      </c>
      <c r="B102">
        <v>-15.9824885796941</v>
      </c>
      <c r="C102">
        <v>0</v>
      </c>
    </row>
    <row r="103" spans="1:3">
      <c r="A103">
        <v>103</v>
      </c>
      <c r="B103">
        <v>-16.9753505124633</v>
      </c>
      <c r="C103">
        <v>0</v>
      </c>
    </row>
    <row r="104" spans="1:3">
      <c r="A104">
        <v>104</v>
      </c>
      <c r="B104">
        <v>-15.5827614452325</v>
      </c>
      <c r="C104">
        <v>0</v>
      </c>
    </row>
    <row r="105" spans="1:3">
      <c r="A105">
        <v>105</v>
      </c>
      <c r="B105">
        <v>-15.3533293780017</v>
      </c>
      <c r="C105">
        <v>0</v>
      </c>
    </row>
    <row r="106" spans="1:3">
      <c r="A106">
        <v>106</v>
      </c>
      <c r="B106">
        <v>-14.3008153107709</v>
      </c>
      <c r="C106">
        <v>0</v>
      </c>
    </row>
    <row r="107" spans="1:3">
      <c r="A107">
        <v>107</v>
      </c>
      <c r="B107">
        <v>-11.1438022435401</v>
      </c>
      <c r="C107">
        <v>0</v>
      </c>
    </row>
    <row r="108" spans="1:3">
      <c r="A108">
        <v>108</v>
      </c>
      <c r="B108">
        <v>-12.0331601763093</v>
      </c>
      <c r="C108">
        <v>0</v>
      </c>
    </row>
    <row r="109" spans="1:3">
      <c r="A109">
        <v>109</v>
      </c>
      <c r="B109">
        <v>-11.7199431090785</v>
      </c>
      <c r="C109">
        <v>0</v>
      </c>
    </row>
    <row r="110" spans="1:3">
      <c r="A110">
        <v>110</v>
      </c>
      <c r="B110">
        <v>-12.9222740418477</v>
      </c>
      <c r="C110">
        <v>0</v>
      </c>
    </row>
    <row r="111" spans="1:3">
      <c r="A111">
        <v>111</v>
      </c>
      <c r="B111">
        <v>-14.6125279746169</v>
      </c>
      <c r="C111">
        <v>0</v>
      </c>
    </row>
    <row r="112" spans="1:3">
      <c r="A112">
        <v>112</v>
      </c>
      <c r="B112">
        <v>-16.9656839073861</v>
      </c>
      <c r="C112">
        <v>0</v>
      </c>
    </row>
    <row r="113" spans="1:3">
      <c r="A113">
        <v>113</v>
      </c>
      <c r="B113">
        <v>-15.3044828401554</v>
      </c>
      <c r="C113">
        <v>0</v>
      </c>
    </row>
    <row r="114" spans="1:3">
      <c r="A114">
        <v>114</v>
      </c>
      <c r="B114">
        <v>-15.8118747729246</v>
      </c>
      <c r="C114">
        <v>0</v>
      </c>
    </row>
    <row r="115" spans="1:3">
      <c r="A115">
        <v>115</v>
      </c>
      <c r="B115">
        <v>-14.0989377056938</v>
      </c>
      <c r="C115">
        <v>0</v>
      </c>
    </row>
    <row r="116" spans="1:3">
      <c r="A116">
        <v>116</v>
      </c>
      <c r="B116">
        <v>-14.293364638463</v>
      </c>
      <c r="C116">
        <v>0</v>
      </c>
    </row>
    <row r="117" spans="1:3">
      <c r="A117">
        <v>117</v>
      </c>
      <c r="B117">
        <v>-15.6681965712322</v>
      </c>
      <c r="C117">
        <v>0</v>
      </c>
    </row>
    <row r="118" spans="1:3">
      <c r="A118">
        <v>118</v>
      </c>
      <c r="B118">
        <v>-13.6570655040014</v>
      </c>
      <c r="C118">
        <v>0</v>
      </c>
    </row>
    <row r="119" spans="1:3">
      <c r="A119">
        <v>119</v>
      </c>
      <c r="B119">
        <v>-12.4049584367706</v>
      </c>
      <c r="C119">
        <v>0</v>
      </c>
    </row>
    <row r="120" spans="1:3">
      <c r="A120">
        <v>120</v>
      </c>
      <c r="B120">
        <v>-13.8142833695398</v>
      </c>
      <c r="C120">
        <v>0</v>
      </c>
    </row>
    <row r="121" spans="1:3">
      <c r="A121">
        <v>121</v>
      </c>
      <c r="B121">
        <v>-13.050092302309</v>
      </c>
      <c r="C121">
        <v>0</v>
      </c>
    </row>
    <row r="122" spans="1:3">
      <c r="A122">
        <v>122</v>
      </c>
      <c r="B122">
        <v>-12.2095152350782</v>
      </c>
      <c r="C122">
        <v>0</v>
      </c>
    </row>
    <row r="123" spans="1:3">
      <c r="A123">
        <v>123</v>
      </c>
      <c r="B123">
        <v>-11.6966821678474</v>
      </c>
      <c r="C123">
        <v>0</v>
      </c>
    </row>
    <row r="124" spans="1:3">
      <c r="A124">
        <v>124</v>
      </c>
      <c r="B124">
        <v>-11.1740071006166</v>
      </c>
      <c r="C124">
        <v>0</v>
      </c>
    </row>
    <row r="125" spans="1:3">
      <c r="A125">
        <v>125</v>
      </c>
      <c r="B125">
        <v>-9.00871603338582</v>
      </c>
      <c r="C125">
        <v>0</v>
      </c>
    </row>
    <row r="126" spans="1:3">
      <c r="A126">
        <v>126</v>
      </c>
      <c r="B126">
        <v>-8.03673096615505</v>
      </c>
      <c r="C126">
        <v>0</v>
      </c>
    </row>
    <row r="127" spans="1:3">
      <c r="A127">
        <v>127</v>
      </c>
      <c r="B127">
        <v>-9.17727889892426</v>
      </c>
      <c r="C127">
        <v>0</v>
      </c>
    </row>
    <row r="128" spans="1:3">
      <c r="A128">
        <v>128</v>
      </c>
      <c r="B128">
        <v>-10.3576758316935</v>
      </c>
      <c r="C128">
        <v>0</v>
      </c>
    </row>
    <row r="129" spans="1:3">
      <c r="A129">
        <v>129</v>
      </c>
      <c r="B129">
        <v>-10.1305557644627</v>
      </c>
      <c r="C129">
        <v>0</v>
      </c>
    </row>
    <row r="130" spans="1:3">
      <c r="A130">
        <v>130</v>
      </c>
      <c r="B130">
        <v>-10.8301626972319</v>
      </c>
      <c r="C130">
        <v>0</v>
      </c>
    </row>
    <row r="131" spans="1:3">
      <c r="A131">
        <v>131</v>
      </c>
      <c r="B131">
        <v>-9.26775363000108</v>
      </c>
      <c r="C131">
        <v>0</v>
      </c>
    </row>
    <row r="132" spans="1:3">
      <c r="A132">
        <v>132</v>
      </c>
      <c r="B132">
        <v>-9.96485956277027</v>
      </c>
      <c r="C132">
        <v>0</v>
      </c>
    </row>
    <row r="133" spans="1:3">
      <c r="A133">
        <v>133</v>
      </c>
      <c r="B133">
        <v>-8.6914284955395</v>
      </c>
      <c r="C133">
        <v>0</v>
      </c>
    </row>
    <row r="134" spans="1:3">
      <c r="A134">
        <v>134</v>
      </c>
      <c r="B134">
        <v>-9.52805242830871</v>
      </c>
      <c r="C134">
        <v>0</v>
      </c>
    </row>
    <row r="135" spans="1:3">
      <c r="A135">
        <v>135</v>
      </c>
      <c r="B135">
        <v>-9.2635563610779</v>
      </c>
      <c r="C135">
        <v>0</v>
      </c>
    </row>
    <row r="136" spans="1:3">
      <c r="A136">
        <v>136</v>
      </c>
      <c r="B136">
        <v>-10.0453702938471</v>
      </c>
      <c r="C136">
        <v>0</v>
      </c>
    </row>
    <row r="137" spans="1:3">
      <c r="A137">
        <v>137</v>
      </c>
      <c r="B137">
        <v>-9.94530222661632</v>
      </c>
      <c r="C137">
        <v>0</v>
      </c>
    </row>
    <row r="138" spans="1:3">
      <c r="A138">
        <v>138</v>
      </c>
      <c r="B138">
        <v>-10.1541341593855</v>
      </c>
      <c r="C138">
        <v>0</v>
      </c>
    </row>
    <row r="139" spans="1:3">
      <c r="A139">
        <v>139</v>
      </c>
      <c r="B139">
        <v>-10.4750720921547</v>
      </c>
      <c r="C139">
        <v>0</v>
      </c>
    </row>
    <row r="140" spans="1:3">
      <c r="A140">
        <v>140</v>
      </c>
      <c r="B140">
        <v>-9.74472502492394</v>
      </c>
      <c r="C140">
        <v>0</v>
      </c>
    </row>
    <row r="141" spans="1:3">
      <c r="A141">
        <v>141</v>
      </c>
      <c r="B141">
        <v>-9.61725195769316</v>
      </c>
      <c r="C141">
        <v>0</v>
      </c>
    </row>
    <row r="142" spans="1:3">
      <c r="A142">
        <v>142</v>
      </c>
      <c r="B142">
        <v>-9.41752989046236</v>
      </c>
      <c r="C142">
        <v>0</v>
      </c>
    </row>
    <row r="143" spans="1:3">
      <c r="A143">
        <v>143</v>
      </c>
      <c r="B143">
        <v>-10.3587748232316</v>
      </c>
      <c r="C143">
        <v>0</v>
      </c>
    </row>
    <row r="144" spans="1:3">
      <c r="A144">
        <v>144</v>
      </c>
      <c r="B144">
        <v>-8.31556175600076</v>
      </c>
      <c r="C144">
        <v>0</v>
      </c>
    </row>
    <row r="145" spans="1:3">
      <c r="A145">
        <v>145</v>
      </c>
      <c r="B145">
        <v>-8.07100868876998</v>
      </c>
      <c r="C145">
        <v>0</v>
      </c>
    </row>
    <row r="146" spans="1:3">
      <c r="A146">
        <v>146</v>
      </c>
      <c r="B146">
        <v>-5.69148362153918</v>
      </c>
      <c r="C146">
        <v>0</v>
      </c>
    </row>
    <row r="147" spans="1:3">
      <c r="A147">
        <v>147</v>
      </c>
      <c r="B147">
        <v>-3.73048455430838</v>
      </c>
      <c r="C147">
        <v>0</v>
      </c>
    </row>
    <row r="148" spans="1:3">
      <c r="A148">
        <v>148</v>
      </c>
      <c r="B148">
        <v>-8.19429048707759</v>
      </c>
      <c r="C148">
        <v>0</v>
      </c>
    </row>
    <row r="149" spans="1:3">
      <c r="A149">
        <v>149</v>
      </c>
      <c r="B149">
        <v>-7.7155534198468</v>
      </c>
      <c r="C149">
        <v>0</v>
      </c>
    </row>
    <row r="150" spans="1:3">
      <c r="A150">
        <v>150</v>
      </c>
      <c r="B150">
        <v>-6.915458352616</v>
      </c>
      <c r="C150">
        <v>0</v>
      </c>
    </row>
    <row r="151" spans="1:3">
      <c r="A151">
        <v>151</v>
      </c>
      <c r="B151">
        <v>-4.89466828538522</v>
      </c>
      <c r="C151">
        <v>0</v>
      </c>
    </row>
    <row r="152" spans="1:3">
      <c r="A152">
        <v>152</v>
      </c>
      <c r="B152">
        <v>-5.26044321815444</v>
      </c>
      <c r="C152">
        <v>0</v>
      </c>
    </row>
    <row r="153" spans="1:3">
      <c r="A153">
        <v>153</v>
      </c>
      <c r="B153">
        <v>-5.46927515092364</v>
      </c>
      <c r="C153">
        <v>0</v>
      </c>
    </row>
    <row r="154" spans="1:3">
      <c r="A154">
        <v>154</v>
      </c>
      <c r="B154">
        <v>-6.21372808369283</v>
      </c>
      <c r="C154">
        <v>0</v>
      </c>
    </row>
    <row r="155" spans="1:3">
      <c r="A155">
        <v>155</v>
      </c>
      <c r="B155">
        <v>-4.17799101646204</v>
      </c>
      <c r="C155">
        <v>0</v>
      </c>
    </row>
    <row r="156" spans="1:3">
      <c r="A156">
        <v>156</v>
      </c>
      <c r="B156">
        <v>-2.51343994923126</v>
      </c>
      <c r="C156">
        <v>0</v>
      </c>
    </row>
    <row r="157" spans="1:3">
      <c r="A157">
        <v>157</v>
      </c>
      <c r="B157">
        <v>-4.36896188200046</v>
      </c>
      <c r="C157">
        <v>0</v>
      </c>
    </row>
    <row r="158" spans="1:3">
      <c r="A158">
        <v>158</v>
      </c>
      <c r="B158">
        <v>-3.42187881476967</v>
      </c>
      <c r="C158">
        <v>0</v>
      </c>
    </row>
    <row r="159" spans="1:3">
      <c r="A159">
        <v>159</v>
      </c>
      <c r="B159">
        <v>-6.45822474753888</v>
      </c>
      <c r="C159">
        <v>0</v>
      </c>
    </row>
    <row r="160" spans="1:3">
      <c r="A160">
        <v>160</v>
      </c>
      <c r="B160">
        <v>-4.67161068030808</v>
      </c>
      <c r="C160">
        <v>0</v>
      </c>
    </row>
    <row r="161" spans="1:3">
      <c r="A161">
        <v>161</v>
      </c>
      <c r="B161">
        <v>-4.16298961307729</v>
      </c>
      <c r="C161">
        <v>0</v>
      </c>
    </row>
    <row r="162" spans="1:3">
      <c r="A162">
        <v>162</v>
      </c>
      <c r="B162">
        <v>-4.57859254584649</v>
      </c>
      <c r="C162">
        <v>0</v>
      </c>
    </row>
    <row r="163" spans="1:3">
      <c r="A163">
        <v>163</v>
      </c>
      <c r="B163">
        <v>-4.8223054786157</v>
      </c>
      <c r="C163">
        <v>0</v>
      </c>
    </row>
    <row r="164" spans="1:3">
      <c r="A164">
        <v>164</v>
      </c>
      <c r="B164">
        <v>-2.63958041138491</v>
      </c>
      <c r="C164">
        <v>0</v>
      </c>
    </row>
    <row r="165" spans="1:3">
      <c r="A165">
        <v>165</v>
      </c>
      <c r="B165">
        <v>-3.17227234415412</v>
      </c>
      <c r="C165">
        <v>0</v>
      </c>
    </row>
    <row r="166" spans="1:3">
      <c r="A166">
        <v>166</v>
      </c>
      <c r="B166">
        <v>-1.25362427692333</v>
      </c>
      <c r="C166">
        <v>0</v>
      </c>
    </row>
    <row r="167" spans="1:3">
      <c r="A167">
        <v>167</v>
      </c>
      <c r="B167">
        <v>-1.08877520969253</v>
      </c>
      <c r="C167">
        <v>0</v>
      </c>
    </row>
    <row r="168" spans="1:3">
      <c r="A168">
        <v>168</v>
      </c>
      <c r="B168">
        <v>-1.16558014246174</v>
      </c>
      <c r="C168">
        <v>0</v>
      </c>
    </row>
    <row r="169" spans="1:3">
      <c r="A169">
        <v>169</v>
      </c>
      <c r="B169">
        <v>-1.85023407523094</v>
      </c>
      <c r="C169">
        <v>0</v>
      </c>
    </row>
    <row r="170" spans="1:3">
      <c r="A170">
        <v>170</v>
      </c>
      <c r="B170">
        <v>-0.519507008000161</v>
      </c>
      <c r="C170">
        <v>0</v>
      </c>
    </row>
    <row r="171" spans="1:3">
      <c r="A171">
        <v>171</v>
      </c>
      <c r="B171">
        <v>-0.0980739407693534</v>
      </c>
      <c r="C171">
        <v>0</v>
      </c>
    </row>
    <row r="172" spans="1:3">
      <c r="A172">
        <v>172</v>
      </c>
      <c r="B172">
        <v>-1.54005187353857</v>
      </c>
      <c r="C172">
        <v>0</v>
      </c>
    </row>
    <row r="173" spans="1:3">
      <c r="A173">
        <v>173</v>
      </c>
      <c r="B173">
        <v>-1.97807780630778</v>
      </c>
      <c r="C173">
        <v>0</v>
      </c>
    </row>
    <row r="174" spans="1:3">
      <c r="A174">
        <v>174</v>
      </c>
      <c r="B174">
        <v>-0.19893273907698</v>
      </c>
      <c r="C174">
        <v>0</v>
      </c>
    </row>
    <row r="175" spans="1:3">
      <c r="A175">
        <v>175</v>
      </c>
      <c r="B175">
        <v>-1.79537567184619</v>
      </c>
      <c r="C175">
        <v>0</v>
      </c>
    </row>
    <row r="176" spans="1:3">
      <c r="A176">
        <v>176</v>
      </c>
      <c r="B176">
        <v>-1.76755060461539</v>
      </c>
      <c r="C176">
        <v>0</v>
      </c>
    </row>
    <row r="177" spans="1:3">
      <c r="A177">
        <v>177</v>
      </c>
      <c r="B177">
        <v>-6.42317453738461</v>
      </c>
      <c r="C177">
        <v>0</v>
      </c>
    </row>
    <row r="178" spans="1:3">
      <c r="A178">
        <v>178</v>
      </c>
      <c r="B178">
        <v>-6.89608247015381</v>
      </c>
      <c r="C178">
        <v>0</v>
      </c>
    </row>
    <row r="179" spans="1:3">
      <c r="A179">
        <v>179</v>
      </c>
      <c r="B179">
        <v>-4.952524402923</v>
      </c>
      <c r="C179">
        <v>0</v>
      </c>
    </row>
    <row r="180" spans="1:3">
      <c r="A180">
        <v>180</v>
      </c>
      <c r="B180">
        <v>-6.74824633569222</v>
      </c>
      <c r="C180">
        <v>0</v>
      </c>
    </row>
    <row r="181" spans="1:3">
      <c r="A181">
        <v>181</v>
      </c>
      <c r="B181">
        <v>-5.21075526846144</v>
      </c>
      <c r="C181">
        <v>0</v>
      </c>
    </row>
    <row r="182" spans="1:3">
      <c r="A182">
        <v>182</v>
      </c>
      <c r="B182">
        <v>-4.30851020123063</v>
      </c>
      <c r="C182">
        <v>0</v>
      </c>
    </row>
    <row r="183" spans="1:3">
      <c r="A183">
        <v>183</v>
      </c>
      <c r="B183">
        <v>5.48234586600016</v>
      </c>
      <c r="C183">
        <v>0</v>
      </c>
    </row>
    <row r="184" spans="1:3">
      <c r="A184">
        <v>184</v>
      </c>
      <c r="B184">
        <v>7.90669993323094</v>
      </c>
      <c r="C184">
        <v>0</v>
      </c>
    </row>
    <row r="185" spans="1:3">
      <c r="A185">
        <v>185</v>
      </c>
      <c r="B185">
        <v>8.38793300046174</v>
      </c>
      <c r="C185">
        <v>0</v>
      </c>
    </row>
    <row r="186" spans="1:3">
      <c r="A186">
        <v>186</v>
      </c>
      <c r="B186">
        <v>8.54031506769255</v>
      </c>
      <c r="C186">
        <v>0</v>
      </c>
    </row>
    <row r="187" spans="1:3">
      <c r="A187">
        <v>187</v>
      </c>
      <c r="B187">
        <v>12.1230861349233</v>
      </c>
      <c r="C187">
        <v>0</v>
      </c>
    </row>
    <row r="188" spans="1:3">
      <c r="A188">
        <v>188</v>
      </c>
      <c r="B188">
        <v>9.29883020215412</v>
      </c>
      <c r="C188">
        <v>0</v>
      </c>
    </row>
    <row r="189" spans="1:3">
      <c r="A189">
        <v>189</v>
      </c>
      <c r="B189">
        <v>10.6673382693849</v>
      </c>
      <c r="C189">
        <v>0</v>
      </c>
    </row>
    <row r="190" spans="1:3">
      <c r="A190">
        <v>190</v>
      </c>
      <c r="B190">
        <v>7.0768923366157</v>
      </c>
      <c r="C190">
        <v>0</v>
      </c>
    </row>
    <row r="191" spans="1:3">
      <c r="A191">
        <v>191</v>
      </c>
      <c r="B191">
        <v>10.4619254038465</v>
      </c>
      <c r="C191">
        <v>0</v>
      </c>
    </row>
    <row r="192" spans="1:3">
      <c r="A192">
        <v>192</v>
      </c>
      <c r="B192">
        <v>12.2147634710773</v>
      </c>
      <c r="C192">
        <v>0</v>
      </c>
    </row>
    <row r="193" spans="1:3">
      <c r="A193">
        <v>193</v>
      </c>
      <c r="B193">
        <v>11.8687325383081</v>
      </c>
      <c r="C193">
        <v>0</v>
      </c>
    </row>
    <row r="194" spans="1:3">
      <c r="A194">
        <v>194</v>
      </c>
      <c r="B194">
        <v>11.3255276055389</v>
      </c>
      <c r="C194">
        <v>0</v>
      </c>
    </row>
    <row r="195" spans="1:3">
      <c r="A195">
        <v>195</v>
      </c>
      <c r="B195">
        <v>12.0351766727697</v>
      </c>
      <c r="C195">
        <v>0</v>
      </c>
    </row>
    <row r="196" spans="1:3">
      <c r="A196">
        <v>196</v>
      </c>
      <c r="B196">
        <v>11.9362087400005</v>
      </c>
      <c r="C196">
        <v>0</v>
      </c>
    </row>
    <row r="197" spans="1:3">
      <c r="A197">
        <v>197</v>
      </c>
      <c r="B197">
        <v>14.2555758072313</v>
      </c>
      <c r="C197">
        <v>0</v>
      </c>
    </row>
    <row r="198" spans="1:3">
      <c r="A198">
        <v>198</v>
      </c>
      <c r="B198">
        <v>20.096365874462</v>
      </c>
      <c r="C198">
        <v>0</v>
      </c>
    </row>
    <row r="199" spans="1:3">
      <c r="A199">
        <v>199</v>
      </c>
      <c r="B199">
        <v>21.3375919416928</v>
      </c>
      <c r="C199">
        <v>0</v>
      </c>
    </row>
    <row r="200" spans="1:3">
      <c r="A200">
        <v>200</v>
      </c>
      <c r="B200">
        <v>20.0631560089236</v>
      </c>
      <c r="C200">
        <v>0</v>
      </c>
    </row>
    <row r="201" spans="1:3">
      <c r="A201">
        <v>201</v>
      </c>
      <c r="B201">
        <v>21.5140230761544</v>
      </c>
      <c r="C201">
        <v>0</v>
      </c>
    </row>
    <row r="202" spans="1:3">
      <c r="A202">
        <v>202</v>
      </c>
      <c r="B202">
        <v>19.7604151433852</v>
      </c>
      <c r="C202">
        <v>0</v>
      </c>
    </row>
    <row r="203" spans="1:3">
      <c r="A203">
        <v>203</v>
      </c>
      <c r="B203">
        <v>19.314553210616</v>
      </c>
      <c r="C203">
        <v>0</v>
      </c>
    </row>
    <row r="204" spans="1:3">
      <c r="A204">
        <v>204</v>
      </c>
      <c r="B204">
        <v>23.2960372778468</v>
      </c>
      <c r="C204">
        <v>0</v>
      </c>
    </row>
    <row r="205" spans="1:3">
      <c r="A205">
        <v>205</v>
      </c>
      <c r="B205">
        <v>28.1834733450776</v>
      </c>
      <c r="C205">
        <v>0</v>
      </c>
    </row>
    <row r="206" spans="1:3">
      <c r="A206">
        <v>206</v>
      </c>
      <c r="B206">
        <v>25.1645534123084</v>
      </c>
      <c r="C206">
        <v>0</v>
      </c>
    </row>
    <row r="207" spans="1:3">
      <c r="A207">
        <v>207</v>
      </c>
      <c r="B207">
        <v>14.4189554795392</v>
      </c>
      <c r="C207">
        <v>0</v>
      </c>
    </row>
    <row r="208" spans="1:3">
      <c r="A208">
        <v>208</v>
      </c>
      <c r="B208">
        <v>14.25510754677</v>
      </c>
      <c r="C208">
        <v>0</v>
      </c>
    </row>
    <row r="209" spans="1:3">
      <c r="A209">
        <v>209</v>
      </c>
      <c r="B209">
        <v>5.88541761400076</v>
      </c>
      <c r="C209">
        <v>0</v>
      </c>
    </row>
    <row r="210" spans="1:3">
      <c r="A210">
        <v>210</v>
      </c>
      <c r="B210">
        <v>10.1339536812316</v>
      </c>
      <c r="C210">
        <v>0</v>
      </c>
    </row>
    <row r="211" spans="1:3">
      <c r="A211">
        <v>211</v>
      </c>
      <c r="B211">
        <v>6.06683774846236</v>
      </c>
      <c r="C211">
        <v>0</v>
      </c>
    </row>
    <row r="212" spans="1:3">
      <c r="A212">
        <v>212</v>
      </c>
      <c r="B212">
        <v>4.33569081569316</v>
      </c>
      <c r="C212">
        <v>0</v>
      </c>
    </row>
    <row r="213" spans="1:3">
      <c r="A213">
        <v>213</v>
      </c>
      <c r="B213">
        <v>7.44618788292394</v>
      </c>
      <c r="C213">
        <v>0</v>
      </c>
    </row>
    <row r="214" spans="1:3">
      <c r="A214">
        <v>214</v>
      </c>
      <c r="B214">
        <v>7.38216995015473</v>
      </c>
      <c r="C214">
        <v>0</v>
      </c>
    </row>
    <row r="215" spans="1:3">
      <c r="A215">
        <v>215</v>
      </c>
      <c r="B215">
        <v>3.73432801738552</v>
      </c>
      <c r="C215">
        <v>0</v>
      </c>
    </row>
    <row r="216" spans="1:3">
      <c r="A216">
        <v>216</v>
      </c>
      <c r="B216">
        <v>1.70369608461631</v>
      </c>
      <c r="C216">
        <v>0</v>
      </c>
    </row>
    <row r="217" spans="1:3">
      <c r="A217">
        <v>217</v>
      </c>
      <c r="B217">
        <v>-2.03398884815289</v>
      </c>
      <c r="C217">
        <v>0</v>
      </c>
    </row>
    <row r="218" spans="1:3">
      <c r="A218">
        <v>218</v>
      </c>
      <c r="B218">
        <v>0.956718219077914</v>
      </c>
      <c r="C218">
        <v>0</v>
      </c>
    </row>
    <row r="219" spans="1:3">
      <c r="A219">
        <v>219</v>
      </c>
      <c r="B219">
        <v>2.44002628630869</v>
      </c>
      <c r="C219">
        <v>0</v>
      </c>
    </row>
    <row r="220" spans="1:3">
      <c r="A220">
        <v>220</v>
      </c>
      <c r="B220">
        <v>-2.48560964646052</v>
      </c>
      <c r="C220">
        <v>0</v>
      </c>
    </row>
    <row r="221" spans="1:3">
      <c r="A221">
        <v>221</v>
      </c>
      <c r="B221">
        <v>-1.63121657922972</v>
      </c>
      <c r="C221">
        <v>0</v>
      </c>
    </row>
    <row r="222" spans="1:3">
      <c r="A222">
        <v>222</v>
      </c>
      <c r="B222">
        <v>2.17807948800107</v>
      </c>
      <c r="C222">
        <v>0</v>
      </c>
    </row>
    <row r="223" spans="1:3">
      <c r="A223">
        <v>223</v>
      </c>
      <c r="B223">
        <v>4.60975155523187</v>
      </c>
      <c r="C223">
        <v>0</v>
      </c>
    </row>
    <row r="224" spans="1:3">
      <c r="A224">
        <v>224</v>
      </c>
      <c r="B224">
        <v>3.49753062246266</v>
      </c>
      <c r="C224">
        <v>0</v>
      </c>
    </row>
    <row r="225" spans="1:3">
      <c r="A225">
        <v>225</v>
      </c>
      <c r="B225">
        <v>4.97085868969346</v>
      </c>
      <c r="C225">
        <v>0</v>
      </c>
    </row>
    <row r="226" spans="1:3">
      <c r="A226">
        <v>226</v>
      </c>
      <c r="B226">
        <v>5.70546375692425</v>
      </c>
      <c r="C226">
        <v>0</v>
      </c>
    </row>
    <row r="227" spans="1:3">
      <c r="A227">
        <v>227</v>
      </c>
      <c r="B227">
        <v>1.69823882415504</v>
      </c>
      <c r="C227">
        <v>0</v>
      </c>
    </row>
    <row r="228" spans="1:3">
      <c r="A228">
        <v>228</v>
      </c>
      <c r="B228">
        <v>4.92853289138584</v>
      </c>
      <c r="C228">
        <v>0</v>
      </c>
    </row>
    <row r="229" spans="1:3">
      <c r="A229">
        <v>229</v>
      </c>
      <c r="B229">
        <v>1.35057595861662</v>
      </c>
      <c r="C229">
        <v>0</v>
      </c>
    </row>
    <row r="230" spans="1:3">
      <c r="A230">
        <v>230</v>
      </c>
      <c r="B230">
        <v>3.02355702584741</v>
      </c>
      <c r="C230">
        <v>0</v>
      </c>
    </row>
    <row r="231" spans="1:3">
      <c r="A231">
        <v>231</v>
      </c>
      <c r="B231">
        <v>2.6700270930782</v>
      </c>
      <c r="C231">
        <v>0</v>
      </c>
    </row>
    <row r="232" spans="1:3">
      <c r="A232">
        <v>232</v>
      </c>
      <c r="B232">
        <v>4.42287316030901</v>
      </c>
      <c r="C232">
        <v>0</v>
      </c>
    </row>
    <row r="233" spans="1:3">
      <c r="A233">
        <v>233</v>
      </c>
      <c r="B233">
        <v>11.5963662275398</v>
      </c>
      <c r="C233">
        <v>0</v>
      </c>
    </row>
    <row r="234" spans="1:3">
      <c r="A234">
        <v>234</v>
      </c>
      <c r="B234">
        <v>8.05833429477059</v>
      </c>
      <c r="C234">
        <v>0</v>
      </c>
    </row>
    <row r="235" spans="1:3">
      <c r="A235">
        <v>235</v>
      </c>
      <c r="B235">
        <v>7.90446436200139</v>
      </c>
      <c r="C235">
        <v>0</v>
      </c>
    </row>
    <row r="236" spans="1:3">
      <c r="A236">
        <v>236</v>
      </c>
      <c r="B236">
        <v>7.18158042923217</v>
      </c>
      <c r="C236">
        <v>0</v>
      </c>
    </row>
    <row r="237" spans="1:3">
      <c r="A237">
        <v>237</v>
      </c>
      <c r="B237">
        <v>5.25077149646296</v>
      </c>
      <c r="C237">
        <v>0</v>
      </c>
    </row>
    <row r="238" spans="1:3">
      <c r="A238">
        <v>238</v>
      </c>
      <c r="B238">
        <v>1.97229956369377</v>
      </c>
      <c r="C238">
        <v>0</v>
      </c>
    </row>
    <row r="239" spans="1:3">
      <c r="A239">
        <v>239</v>
      </c>
      <c r="B239">
        <v>3.25595263092455</v>
      </c>
      <c r="C239">
        <v>0</v>
      </c>
    </row>
    <row r="240" spans="1:3">
      <c r="A240">
        <v>240</v>
      </c>
      <c r="B240">
        <v>2.37334669815534</v>
      </c>
      <c r="C240">
        <v>0</v>
      </c>
    </row>
    <row r="241" spans="1:3">
      <c r="A241">
        <v>241</v>
      </c>
      <c r="B241">
        <v>1.01155376538614</v>
      </c>
      <c r="C241">
        <v>0</v>
      </c>
    </row>
    <row r="242" spans="1:3">
      <c r="A242">
        <v>242</v>
      </c>
      <c r="B242">
        <v>0.0590698326169417</v>
      </c>
      <c r="C242">
        <v>0</v>
      </c>
    </row>
    <row r="243" spans="1:3">
      <c r="A243">
        <v>243</v>
      </c>
      <c r="B243">
        <v>-0.17466410015227</v>
      </c>
      <c r="C243">
        <v>0</v>
      </c>
    </row>
    <row r="244" spans="1:3">
      <c r="A244">
        <v>244</v>
      </c>
      <c r="B244">
        <v>1.12894896707853</v>
      </c>
      <c r="C244">
        <v>0</v>
      </c>
    </row>
    <row r="245" spans="1:3">
      <c r="A245">
        <v>245</v>
      </c>
      <c r="B245">
        <v>-4.50546596569069</v>
      </c>
      <c r="C245">
        <v>0</v>
      </c>
    </row>
    <row r="246" spans="1:3">
      <c r="A246">
        <v>246</v>
      </c>
      <c r="B246">
        <v>-0.636270898459884</v>
      </c>
      <c r="C246">
        <v>0</v>
      </c>
    </row>
    <row r="247" spans="1:3">
      <c r="A247">
        <v>247</v>
      </c>
      <c r="B247">
        <v>-7.3288518312291</v>
      </c>
      <c r="C247">
        <v>0</v>
      </c>
    </row>
    <row r="248" spans="1:3">
      <c r="A248">
        <v>248</v>
      </c>
      <c r="B248">
        <v>-7.66241676399832</v>
      </c>
      <c r="C248">
        <v>0</v>
      </c>
    </row>
    <row r="249" spans="1:3">
      <c r="A249">
        <v>249</v>
      </c>
      <c r="B249">
        <v>-6.23899969676752</v>
      </c>
      <c r="C249">
        <v>0</v>
      </c>
    </row>
    <row r="250" spans="1:3">
      <c r="A250">
        <v>250</v>
      </c>
      <c r="B250">
        <v>-1.98048462953672</v>
      </c>
      <c r="C250">
        <v>0</v>
      </c>
    </row>
    <row r="251" spans="1:3">
      <c r="A251">
        <v>251</v>
      </c>
      <c r="B251">
        <v>1.84877743769407</v>
      </c>
      <c r="C251">
        <v>0</v>
      </c>
    </row>
    <row r="252" spans="1:3">
      <c r="A252">
        <v>252</v>
      </c>
      <c r="B252">
        <v>1.47006950492487</v>
      </c>
      <c r="C252">
        <v>0</v>
      </c>
    </row>
    <row r="253" spans="1:3">
      <c r="A253">
        <v>1</v>
      </c>
      <c r="B253">
        <v>56.0479863700041</v>
      </c>
      <c r="C253">
        <v>55.291519</v>
      </c>
    </row>
    <row r="254" spans="1:3">
      <c r="A254">
        <v>2</v>
      </c>
      <c r="B254">
        <v>56.2916993027734</v>
      </c>
      <c r="C254">
        <v>56.491634</v>
      </c>
    </row>
    <row r="255" spans="1:3">
      <c r="A255">
        <v>3</v>
      </c>
      <c r="B255">
        <v>56.5354122355426</v>
      </c>
      <c r="C255">
        <v>59.367474</v>
      </c>
    </row>
    <row r="256" spans="1:3">
      <c r="A256">
        <v>4</v>
      </c>
      <c r="B256">
        <v>56.7791251683118</v>
      </c>
      <c r="C256">
        <v>59.490692</v>
      </c>
    </row>
    <row r="257" spans="1:3">
      <c r="A257">
        <v>5</v>
      </c>
      <c r="B257">
        <v>57.022838101081</v>
      </c>
      <c r="C257">
        <v>59.687832</v>
      </c>
    </row>
    <row r="258" spans="1:3">
      <c r="A258">
        <v>6</v>
      </c>
      <c r="B258">
        <v>57.2665510338502</v>
      </c>
      <c r="C258">
        <v>60.321156</v>
      </c>
    </row>
    <row r="259" spans="1:3">
      <c r="A259">
        <v>7</v>
      </c>
      <c r="B259">
        <v>57.5102639666194</v>
      </c>
      <c r="C259">
        <v>60.35812</v>
      </c>
    </row>
    <row r="260" spans="1:3">
      <c r="A260">
        <v>8</v>
      </c>
      <c r="B260">
        <v>57.7539768993886</v>
      </c>
      <c r="C260">
        <v>60.503517</v>
      </c>
    </row>
    <row r="261" spans="1:3">
      <c r="A261">
        <v>9</v>
      </c>
      <c r="B261">
        <v>57.9976898321578</v>
      </c>
      <c r="C261">
        <v>60.786911</v>
      </c>
    </row>
    <row r="262" spans="1:3">
      <c r="A262">
        <v>10</v>
      </c>
      <c r="B262">
        <v>58.241402764927</v>
      </c>
      <c r="C262">
        <v>60.838661</v>
      </c>
    </row>
    <row r="263" spans="1:3">
      <c r="A263">
        <v>11</v>
      </c>
      <c r="B263">
        <v>58.4851156976962</v>
      </c>
      <c r="C263">
        <v>61.050594</v>
      </c>
    </row>
    <row r="264" spans="1:3">
      <c r="A264">
        <v>12</v>
      </c>
      <c r="B264">
        <v>58.7288286304654</v>
      </c>
      <c r="C264">
        <v>61.171341</v>
      </c>
    </row>
    <row r="265" spans="1:3">
      <c r="A265">
        <v>13</v>
      </c>
      <c r="B265">
        <v>58.9725415632346</v>
      </c>
      <c r="C265">
        <v>62.312309</v>
      </c>
    </row>
    <row r="266" spans="1:3">
      <c r="A266">
        <v>14</v>
      </c>
      <c r="B266">
        <v>59.2162544960038</v>
      </c>
      <c r="C266">
        <v>62.664707</v>
      </c>
    </row>
    <row r="267" spans="1:3">
      <c r="A267">
        <v>15</v>
      </c>
      <c r="B267">
        <v>59.459967428773</v>
      </c>
      <c r="C267">
        <v>62.79285</v>
      </c>
    </row>
    <row r="268" spans="1:3">
      <c r="A268">
        <v>16</v>
      </c>
      <c r="B268">
        <v>59.7036803615423</v>
      </c>
      <c r="C268">
        <v>63.687393</v>
      </c>
    </row>
    <row r="269" spans="1:3">
      <c r="A269">
        <v>17</v>
      </c>
      <c r="B269">
        <v>59.9473932943115</v>
      </c>
      <c r="C269">
        <v>63.784916</v>
      </c>
    </row>
    <row r="270" spans="1:3">
      <c r="A270">
        <v>18</v>
      </c>
      <c r="B270">
        <v>60.1911062270807</v>
      </c>
      <c r="C270">
        <v>63.931355</v>
      </c>
    </row>
    <row r="271" spans="1:3">
      <c r="A271">
        <v>19</v>
      </c>
      <c r="B271">
        <v>60.4348191598499</v>
      </c>
      <c r="C271">
        <v>63.954544</v>
      </c>
    </row>
    <row r="272" spans="1:3">
      <c r="A272">
        <v>20</v>
      </c>
      <c r="B272">
        <v>60.6785320926191</v>
      </c>
      <c r="C272">
        <v>64.347893</v>
      </c>
    </row>
    <row r="273" spans="1:3">
      <c r="A273">
        <v>21</v>
      </c>
      <c r="B273">
        <v>60.9222450253883</v>
      </c>
      <c r="C273">
        <v>64.357727</v>
      </c>
    </row>
    <row r="274" spans="1:3">
      <c r="A274">
        <v>22</v>
      </c>
      <c r="B274">
        <v>61.1659579581575</v>
      </c>
      <c r="C274">
        <v>64.401978</v>
      </c>
    </row>
    <row r="275" spans="1:3">
      <c r="A275">
        <v>23</v>
      </c>
      <c r="B275">
        <v>61.4096708909267</v>
      </c>
      <c r="C275">
        <v>64.414268</v>
      </c>
    </row>
    <row r="276" spans="1:3">
      <c r="A276">
        <v>24</v>
      </c>
      <c r="B276">
        <v>61.6533838236959</v>
      </c>
      <c r="C276">
        <v>64.460991</v>
      </c>
    </row>
    <row r="277" spans="1:3">
      <c r="A277">
        <v>25</v>
      </c>
      <c r="B277">
        <v>61.8970967564651</v>
      </c>
      <c r="C277">
        <v>64.56916</v>
      </c>
    </row>
    <row r="278" spans="1:3">
      <c r="A278">
        <v>26</v>
      </c>
      <c r="B278">
        <v>62.1408096892343</v>
      </c>
      <c r="C278">
        <v>64.680504</v>
      </c>
    </row>
    <row r="279" spans="1:3">
      <c r="A279">
        <v>27</v>
      </c>
      <c r="B279">
        <v>62.3845226220035</v>
      </c>
      <c r="C279">
        <v>64.704376</v>
      </c>
    </row>
    <row r="280" spans="1:3">
      <c r="A280">
        <v>28</v>
      </c>
      <c r="B280">
        <v>62.6282355547727</v>
      </c>
      <c r="C280">
        <v>64.942841</v>
      </c>
    </row>
    <row r="281" spans="1:3">
      <c r="A281">
        <v>29</v>
      </c>
      <c r="B281">
        <v>62.8719484875419</v>
      </c>
      <c r="C281">
        <v>64.974815</v>
      </c>
    </row>
    <row r="282" spans="1:3">
      <c r="A282">
        <v>30</v>
      </c>
      <c r="B282">
        <v>63.1156614203111</v>
      </c>
      <c r="C282">
        <v>65.019051</v>
      </c>
    </row>
    <row r="283" spans="1:3">
      <c r="A283">
        <v>31</v>
      </c>
      <c r="B283">
        <v>63.3593743530804</v>
      </c>
      <c r="C283">
        <v>65.291946</v>
      </c>
    </row>
    <row r="284" spans="1:3">
      <c r="A284">
        <v>32</v>
      </c>
      <c r="B284">
        <v>63.6030872858496</v>
      </c>
      <c r="C284">
        <v>65.336212</v>
      </c>
    </row>
    <row r="285" spans="1:3">
      <c r="A285">
        <v>33</v>
      </c>
      <c r="B285">
        <v>63.8468002186188</v>
      </c>
      <c r="C285">
        <v>65.466507</v>
      </c>
    </row>
    <row r="286" spans="1:3">
      <c r="A286">
        <v>34</v>
      </c>
      <c r="B286">
        <v>64.090513151388</v>
      </c>
      <c r="C286">
        <v>65.486168</v>
      </c>
    </row>
    <row r="287" spans="1:3">
      <c r="A287">
        <v>35</v>
      </c>
      <c r="B287">
        <v>64.3342260841572</v>
      </c>
      <c r="C287">
        <v>65.567657</v>
      </c>
    </row>
    <row r="288" spans="1:3">
      <c r="A288">
        <v>36</v>
      </c>
      <c r="B288">
        <v>64.5779390169264</v>
      </c>
      <c r="C288">
        <v>65.592308</v>
      </c>
    </row>
    <row r="289" spans="1:3">
      <c r="A289">
        <v>37</v>
      </c>
      <c r="B289">
        <v>64.8216519496956</v>
      </c>
      <c r="C289">
        <v>65.621384</v>
      </c>
    </row>
    <row r="290" spans="1:3">
      <c r="A290">
        <v>38</v>
      </c>
      <c r="B290">
        <v>65.0653648824648</v>
      </c>
      <c r="C290">
        <v>65.665634</v>
      </c>
    </row>
    <row r="291" spans="1:3">
      <c r="A291">
        <v>39</v>
      </c>
      <c r="B291">
        <v>65.309077815234</v>
      </c>
      <c r="C291">
        <v>65.702515</v>
      </c>
    </row>
    <row r="292" spans="1:3">
      <c r="A292">
        <v>40</v>
      </c>
      <c r="B292">
        <v>65.5527907480032</v>
      </c>
      <c r="C292">
        <v>65.847565</v>
      </c>
    </row>
    <row r="293" spans="1:3">
      <c r="A293">
        <v>41</v>
      </c>
      <c r="B293">
        <v>65.7965036807724</v>
      </c>
      <c r="C293">
        <v>66.004898</v>
      </c>
    </row>
    <row r="294" spans="1:3">
      <c r="A294">
        <v>42</v>
      </c>
      <c r="B294">
        <v>66.0402166135416</v>
      </c>
      <c r="C294">
        <v>66.040802</v>
      </c>
    </row>
    <row r="295" spans="1:3">
      <c r="A295">
        <v>43</v>
      </c>
      <c r="B295">
        <v>66.2839295463108</v>
      </c>
      <c r="C295">
        <v>66.134438</v>
      </c>
    </row>
    <row r="296" spans="1:3">
      <c r="A296">
        <v>44</v>
      </c>
      <c r="B296">
        <v>66.5276424790801</v>
      </c>
      <c r="C296">
        <v>66.553131</v>
      </c>
    </row>
    <row r="297" spans="1:3">
      <c r="A297">
        <v>45</v>
      </c>
      <c r="B297">
        <v>66.7713554118493</v>
      </c>
      <c r="C297">
        <v>66.567886</v>
      </c>
    </row>
    <row r="298" spans="1:3">
      <c r="A298">
        <v>46</v>
      </c>
      <c r="B298">
        <v>67.0150683446185</v>
      </c>
      <c r="C298">
        <v>66.737518</v>
      </c>
    </row>
    <row r="299" spans="1:3">
      <c r="A299">
        <v>47</v>
      </c>
      <c r="B299">
        <v>67.2587812773877</v>
      </c>
      <c r="C299">
        <v>67.337029</v>
      </c>
    </row>
    <row r="300" spans="1:3">
      <c r="A300">
        <v>48</v>
      </c>
      <c r="B300">
        <v>67.5024942101569</v>
      </c>
      <c r="C300">
        <v>67.364128</v>
      </c>
    </row>
    <row r="301" spans="1:3">
      <c r="A301">
        <v>49</v>
      </c>
      <c r="B301">
        <v>67.7462071429261</v>
      </c>
      <c r="C301">
        <v>67.403557</v>
      </c>
    </row>
    <row r="302" spans="1:3">
      <c r="A302">
        <v>50</v>
      </c>
      <c r="B302">
        <v>67.9899200756953</v>
      </c>
      <c r="C302">
        <v>67.644707</v>
      </c>
    </row>
    <row r="303" spans="1:3">
      <c r="A303">
        <v>51</v>
      </c>
      <c r="B303">
        <v>68.2336330084645</v>
      </c>
      <c r="C303">
        <v>67.775673</v>
      </c>
    </row>
    <row r="304" spans="1:3">
      <c r="A304">
        <v>52</v>
      </c>
      <c r="B304">
        <v>68.4773459412337</v>
      </c>
      <c r="C304">
        <v>67.874245</v>
      </c>
    </row>
    <row r="305" spans="1:3">
      <c r="A305">
        <v>53</v>
      </c>
      <c r="B305">
        <v>68.7210588740029</v>
      </c>
      <c r="C305">
        <v>68.039352</v>
      </c>
    </row>
    <row r="306" spans="1:3">
      <c r="A306">
        <v>54</v>
      </c>
      <c r="B306">
        <v>68.9647718067721</v>
      </c>
      <c r="C306">
        <v>68.243881</v>
      </c>
    </row>
    <row r="307" spans="1:3">
      <c r="A307">
        <v>55</v>
      </c>
      <c r="B307">
        <v>69.2084847395413</v>
      </c>
      <c r="C307">
        <v>68.500175</v>
      </c>
    </row>
    <row r="308" spans="1:3">
      <c r="A308">
        <v>56</v>
      </c>
      <c r="B308">
        <v>69.4521976723105</v>
      </c>
      <c r="C308">
        <v>68.65049</v>
      </c>
    </row>
    <row r="309" spans="1:3">
      <c r="A309">
        <v>57</v>
      </c>
      <c r="B309">
        <v>69.6959106050797</v>
      </c>
      <c r="C309">
        <v>68.699387</v>
      </c>
    </row>
    <row r="310" spans="1:3">
      <c r="A310">
        <v>58</v>
      </c>
      <c r="B310">
        <v>69.939623537849</v>
      </c>
      <c r="C310">
        <v>68.773132</v>
      </c>
    </row>
    <row r="311" spans="1:3">
      <c r="A311">
        <v>59</v>
      </c>
      <c r="B311">
        <v>70.1833364706182</v>
      </c>
      <c r="C311">
        <v>68.802635</v>
      </c>
    </row>
    <row r="312" spans="1:3">
      <c r="A312">
        <v>60</v>
      </c>
      <c r="B312">
        <v>70.4270494033874</v>
      </c>
      <c r="C312">
        <v>68.841965</v>
      </c>
    </row>
    <row r="313" spans="1:3">
      <c r="A313">
        <v>61</v>
      </c>
      <c r="B313">
        <v>70.6707623361566</v>
      </c>
      <c r="C313">
        <v>68.937851</v>
      </c>
    </row>
    <row r="314" spans="1:3">
      <c r="A314">
        <v>62</v>
      </c>
      <c r="B314">
        <v>70.9144752689258</v>
      </c>
      <c r="C314">
        <v>69.690422</v>
      </c>
    </row>
    <row r="315" spans="1:3">
      <c r="A315">
        <v>63</v>
      </c>
      <c r="B315">
        <v>71.158188201695</v>
      </c>
      <c r="C315">
        <v>69.732323</v>
      </c>
    </row>
    <row r="316" spans="1:3">
      <c r="A316">
        <v>64</v>
      </c>
      <c r="B316">
        <v>71.4019011344642</v>
      </c>
      <c r="C316">
        <v>69.781609</v>
      </c>
    </row>
    <row r="317" spans="1:3">
      <c r="A317">
        <v>65</v>
      </c>
      <c r="B317">
        <v>71.6456140672334</v>
      </c>
      <c r="C317">
        <v>69.820442</v>
      </c>
    </row>
    <row r="318" spans="1:3">
      <c r="A318">
        <v>66</v>
      </c>
      <c r="B318">
        <v>71.8893270000026</v>
      </c>
      <c r="C318">
        <v>69.886818</v>
      </c>
    </row>
    <row r="319" spans="1:3">
      <c r="A319">
        <v>67</v>
      </c>
      <c r="B319">
        <v>72.1330399327718</v>
      </c>
      <c r="C319">
        <v>70.09211</v>
      </c>
    </row>
    <row r="320" spans="1:3">
      <c r="A320">
        <v>68</v>
      </c>
      <c r="B320">
        <v>72.376752865541</v>
      </c>
      <c r="C320">
        <v>70.316368</v>
      </c>
    </row>
    <row r="321" spans="1:3">
      <c r="A321">
        <v>69</v>
      </c>
      <c r="B321">
        <v>72.6204657983102</v>
      </c>
      <c r="C321">
        <v>70.64904</v>
      </c>
    </row>
    <row r="322" spans="1:3">
      <c r="A322">
        <v>70</v>
      </c>
      <c r="B322">
        <v>72.8641787310794</v>
      </c>
      <c r="C322">
        <v>70.737755</v>
      </c>
    </row>
    <row r="323" spans="1:3">
      <c r="A323">
        <v>71</v>
      </c>
      <c r="B323">
        <v>73.1078916638486</v>
      </c>
      <c r="C323">
        <v>70.905334</v>
      </c>
    </row>
    <row r="324" spans="1:3">
      <c r="A324">
        <v>72</v>
      </c>
      <c r="B324">
        <v>73.3516045966178</v>
      </c>
      <c r="C324">
        <v>70.991577</v>
      </c>
    </row>
    <row r="325" spans="1:3">
      <c r="A325">
        <v>73</v>
      </c>
      <c r="B325">
        <v>73.5953175293871</v>
      </c>
      <c r="C325">
        <v>71.225685</v>
      </c>
    </row>
    <row r="326" spans="1:3">
      <c r="A326">
        <v>74</v>
      </c>
      <c r="B326">
        <v>73.8390304621563</v>
      </c>
      <c r="C326">
        <v>71.235542</v>
      </c>
    </row>
    <row r="327" spans="1:3">
      <c r="A327">
        <v>75</v>
      </c>
      <c r="B327">
        <v>74.0827433949255</v>
      </c>
      <c r="C327">
        <v>71.246353</v>
      </c>
    </row>
    <row r="328" spans="1:3">
      <c r="A328">
        <v>76</v>
      </c>
      <c r="B328">
        <v>74.3264563276947</v>
      </c>
      <c r="C328">
        <v>71.273392</v>
      </c>
    </row>
    <row r="329" spans="1:3">
      <c r="A329">
        <v>77</v>
      </c>
      <c r="B329">
        <v>74.5701692604639</v>
      </c>
      <c r="C329">
        <v>71.297157</v>
      </c>
    </row>
    <row r="330" spans="1:3">
      <c r="A330">
        <v>78</v>
      </c>
      <c r="B330">
        <v>74.8138821932331</v>
      </c>
      <c r="C330">
        <v>71.669212</v>
      </c>
    </row>
    <row r="331" spans="1:3">
      <c r="A331">
        <v>79</v>
      </c>
      <c r="B331">
        <v>75.0575951260023</v>
      </c>
      <c r="C331">
        <v>72.117767</v>
      </c>
    </row>
    <row r="332" spans="1:3">
      <c r="A332">
        <v>80</v>
      </c>
      <c r="B332">
        <v>75.3013080587715</v>
      </c>
      <c r="C332">
        <v>72.184303</v>
      </c>
    </row>
    <row r="333" spans="1:3">
      <c r="A333">
        <v>81</v>
      </c>
      <c r="B333">
        <v>75.5450209915407</v>
      </c>
      <c r="C333">
        <v>72.192863</v>
      </c>
    </row>
    <row r="334" spans="1:3">
      <c r="A334">
        <v>82</v>
      </c>
      <c r="B334">
        <v>75.7887339243099</v>
      </c>
      <c r="C334">
        <v>72.243446</v>
      </c>
    </row>
    <row r="335" spans="1:3">
      <c r="A335">
        <v>83</v>
      </c>
      <c r="B335">
        <v>76.0324468570791</v>
      </c>
      <c r="C335">
        <v>72.401154</v>
      </c>
    </row>
    <row r="336" spans="1:3">
      <c r="A336">
        <v>84</v>
      </c>
      <c r="B336">
        <v>76.2761597898483</v>
      </c>
      <c r="C336">
        <v>73.122154</v>
      </c>
    </row>
    <row r="337" spans="1:3">
      <c r="A337">
        <v>85</v>
      </c>
      <c r="B337">
        <v>76.5198727226175</v>
      </c>
      <c r="C337">
        <v>73.327736</v>
      </c>
    </row>
    <row r="338" spans="1:3">
      <c r="A338">
        <v>86</v>
      </c>
      <c r="B338">
        <v>76.7635856553867</v>
      </c>
      <c r="C338">
        <v>73.358185</v>
      </c>
    </row>
    <row r="339" spans="1:3">
      <c r="A339">
        <v>87</v>
      </c>
      <c r="B339">
        <v>77.007298588156</v>
      </c>
      <c r="C339">
        <v>73.480522</v>
      </c>
    </row>
    <row r="340" spans="1:3">
      <c r="A340">
        <v>88</v>
      </c>
      <c r="B340">
        <v>77.2510115209252</v>
      </c>
      <c r="C340">
        <v>73.635773</v>
      </c>
    </row>
    <row r="341" spans="1:3">
      <c r="A341">
        <v>89</v>
      </c>
      <c r="B341">
        <v>77.4947244536944</v>
      </c>
      <c r="C341">
        <v>73.704819</v>
      </c>
    </row>
    <row r="342" spans="1:3">
      <c r="A342">
        <v>90</v>
      </c>
      <c r="B342">
        <v>77.7384373864636</v>
      </c>
      <c r="C342">
        <v>73.840042</v>
      </c>
    </row>
    <row r="343" spans="1:3">
      <c r="A343">
        <v>91</v>
      </c>
      <c r="B343">
        <v>77.9821503192328</v>
      </c>
      <c r="C343">
        <v>74.084282</v>
      </c>
    </row>
    <row r="344" spans="1:3">
      <c r="A344">
        <v>92</v>
      </c>
      <c r="B344">
        <v>78.225863252002</v>
      </c>
      <c r="C344">
        <v>74.538239</v>
      </c>
    </row>
    <row r="345" spans="1:3">
      <c r="A345">
        <v>93</v>
      </c>
      <c r="B345">
        <v>78.4695761847712</v>
      </c>
      <c r="C345">
        <v>74.60424</v>
      </c>
    </row>
    <row r="346" spans="1:3">
      <c r="A346">
        <v>94</v>
      </c>
      <c r="B346">
        <v>78.7132891175404</v>
      </c>
      <c r="C346">
        <v>74.85067</v>
      </c>
    </row>
    <row r="347" spans="1:3">
      <c r="A347">
        <v>95</v>
      </c>
      <c r="B347">
        <v>78.9570020503096</v>
      </c>
      <c r="C347">
        <v>75.883018</v>
      </c>
    </row>
    <row r="348" spans="1:3">
      <c r="A348">
        <v>96</v>
      </c>
      <c r="B348">
        <v>79.2007149830788</v>
      </c>
      <c r="C348">
        <v>75.954315</v>
      </c>
    </row>
    <row r="349" spans="1:3">
      <c r="A349">
        <v>97</v>
      </c>
      <c r="B349">
        <v>79.444427915848</v>
      </c>
      <c r="C349">
        <v>76.091995</v>
      </c>
    </row>
    <row r="350" spans="1:3">
      <c r="A350">
        <v>98</v>
      </c>
      <c r="B350">
        <v>79.6881408486172</v>
      </c>
      <c r="C350">
        <v>76.121498</v>
      </c>
    </row>
    <row r="351" spans="1:3">
      <c r="A351">
        <v>99</v>
      </c>
      <c r="B351">
        <v>79.9318537813865</v>
      </c>
      <c r="C351">
        <v>76.293579</v>
      </c>
    </row>
    <row r="352" spans="1:3">
      <c r="A352">
        <v>100</v>
      </c>
      <c r="B352">
        <v>80.1755667141556</v>
      </c>
      <c r="C352">
        <v>76.541885</v>
      </c>
    </row>
    <row r="353" spans="1:3">
      <c r="A353">
        <v>101</v>
      </c>
      <c r="B353">
        <v>80.4192796469249</v>
      </c>
      <c r="C353">
        <v>76.641853</v>
      </c>
    </row>
    <row r="354" spans="1:3">
      <c r="A354">
        <v>102</v>
      </c>
      <c r="B354">
        <v>80.6629925796941</v>
      </c>
      <c r="C354">
        <v>76.656792</v>
      </c>
    </row>
    <row r="355" spans="1:3">
      <c r="A355">
        <v>103</v>
      </c>
      <c r="B355">
        <v>80.9067055124633</v>
      </c>
      <c r="C355">
        <v>76.871323</v>
      </c>
    </row>
    <row r="356" spans="1:3">
      <c r="A356">
        <v>104</v>
      </c>
      <c r="B356">
        <v>81.1504184452325</v>
      </c>
      <c r="C356">
        <v>77.112686</v>
      </c>
    </row>
    <row r="357" spans="1:3">
      <c r="A357">
        <v>105</v>
      </c>
      <c r="B357">
        <v>81.3941313780017</v>
      </c>
      <c r="C357">
        <v>77.144943</v>
      </c>
    </row>
    <row r="358" spans="1:3">
      <c r="A358">
        <v>106</v>
      </c>
      <c r="B358">
        <v>81.6378443107709</v>
      </c>
      <c r="C358">
        <v>77.259674</v>
      </c>
    </row>
    <row r="359" spans="1:3">
      <c r="A359">
        <v>107</v>
      </c>
      <c r="B359">
        <v>81.8815572435401</v>
      </c>
      <c r="C359">
        <v>77.500694</v>
      </c>
    </row>
    <row r="360" spans="1:3">
      <c r="A360">
        <v>108</v>
      </c>
      <c r="B360">
        <v>82.1252701763093</v>
      </c>
      <c r="C360">
        <v>77.578537</v>
      </c>
    </row>
    <row r="361" spans="1:3">
      <c r="A361">
        <v>109</v>
      </c>
      <c r="B361">
        <v>82.3689831090785</v>
      </c>
      <c r="C361">
        <v>77.827667</v>
      </c>
    </row>
    <row r="362" spans="1:3">
      <c r="A362">
        <v>110</v>
      </c>
      <c r="B362">
        <v>82.6126960418477</v>
      </c>
      <c r="C362">
        <v>77.923538</v>
      </c>
    </row>
    <row r="363" spans="1:3">
      <c r="A363">
        <v>111</v>
      </c>
      <c r="B363">
        <v>82.8564089746169</v>
      </c>
      <c r="C363">
        <v>78.009521</v>
      </c>
    </row>
    <row r="364" spans="1:3">
      <c r="A364">
        <v>112</v>
      </c>
      <c r="B364">
        <v>83.1001219073861</v>
      </c>
      <c r="C364">
        <v>78.103012</v>
      </c>
    </row>
    <row r="365" spans="1:3">
      <c r="A365">
        <v>113</v>
      </c>
      <c r="B365">
        <v>83.3438348401554</v>
      </c>
      <c r="C365">
        <v>78.105476</v>
      </c>
    </row>
    <row r="366" spans="1:3">
      <c r="A366">
        <v>114</v>
      </c>
      <c r="B366">
        <v>83.5875477729246</v>
      </c>
      <c r="C366">
        <v>78.25544</v>
      </c>
    </row>
    <row r="367" spans="1:3">
      <c r="A367">
        <v>115</v>
      </c>
      <c r="B367">
        <v>83.8312607056938</v>
      </c>
      <c r="C367">
        <v>78.358696</v>
      </c>
    </row>
    <row r="368" spans="1:3">
      <c r="A368">
        <v>116</v>
      </c>
      <c r="B368">
        <v>84.074973638463</v>
      </c>
      <c r="C368">
        <v>78.388199</v>
      </c>
    </row>
    <row r="369" spans="1:3">
      <c r="A369">
        <v>117</v>
      </c>
      <c r="B369">
        <v>84.3186865712322</v>
      </c>
      <c r="C369">
        <v>78.462914</v>
      </c>
    </row>
    <row r="370" spans="1:3">
      <c r="A370">
        <v>118</v>
      </c>
      <c r="B370">
        <v>84.5623995040014</v>
      </c>
      <c r="C370">
        <v>78.475372</v>
      </c>
    </row>
    <row r="371" spans="1:3">
      <c r="A371">
        <v>119</v>
      </c>
      <c r="B371">
        <v>84.8061124367706</v>
      </c>
      <c r="C371">
        <v>78.481621</v>
      </c>
    </row>
    <row r="372" spans="1:3">
      <c r="A372">
        <v>120</v>
      </c>
      <c r="B372">
        <v>85.0498253695398</v>
      </c>
      <c r="C372">
        <v>78.611198</v>
      </c>
    </row>
    <row r="373" spans="1:3">
      <c r="A373">
        <v>121</v>
      </c>
      <c r="B373">
        <v>85.293538302309</v>
      </c>
      <c r="C373">
        <v>78.76152</v>
      </c>
    </row>
    <row r="374" spans="1:3">
      <c r="A374">
        <v>122</v>
      </c>
      <c r="B374">
        <v>85.5372512350782</v>
      </c>
      <c r="C374">
        <v>78.865021</v>
      </c>
    </row>
    <row r="375" spans="1:3">
      <c r="A375">
        <v>123</v>
      </c>
      <c r="B375">
        <v>85.7809641678474</v>
      </c>
      <c r="C375">
        <v>78.903862</v>
      </c>
    </row>
    <row r="376" spans="1:3">
      <c r="A376">
        <v>124</v>
      </c>
      <c r="B376">
        <v>86.0246771006166</v>
      </c>
      <c r="C376">
        <v>78.931564</v>
      </c>
    </row>
    <row r="377" spans="1:3">
      <c r="A377">
        <v>125</v>
      </c>
      <c r="B377">
        <v>86.2683900333858</v>
      </c>
      <c r="C377">
        <v>78.933754</v>
      </c>
    </row>
    <row r="378" spans="1:3">
      <c r="A378">
        <v>126</v>
      </c>
      <c r="B378">
        <v>86.512102966155</v>
      </c>
      <c r="C378">
        <v>79.027405</v>
      </c>
    </row>
    <row r="379" spans="1:3">
      <c r="A379">
        <v>127</v>
      </c>
      <c r="B379">
        <v>86.7558158989243</v>
      </c>
      <c r="C379">
        <v>79.205299</v>
      </c>
    </row>
    <row r="380" spans="1:3">
      <c r="A380">
        <v>128</v>
      </c>
      <c r="B380">
        <v>86.9995288316935</v>
      </c>
      <c r="C380">
        <v>79.239594</v>
      </c>
    </row>
    <row r="381" spans="1:3">
      <c r="A381">
        <v>129</v>
      </c>
      <c r="B381">
        <v>87.2432417644627</v>
      </c>
      <c r="C381">
        <v>79.247643</v>
      </c>
    </row>
    <row r="382" spans="1:3">
      <c r="A382">
        <v>130</v>
      </c>
      <c r="B382">
        <v>87.4869546972319</v>
      </c>
      <c r="C382">
        <v>79.282524</v>
      </c>
    </row>
    <row r="383" spans="1:3">
      <c r="A383">
        <v>131</v>
      </c>
      <c r="B383">
        <v>87.7306676300011</v>
      </c>
      <c r="C383">
        <v>79.441963</v>
      </c>
    </row>
    <row r="384" spans="1:3">
      <c r="A384">
        <v>132</v>
      </c>
      <c r="B384">
        <v>87.9743805627703</v>
      </c>
      <c r="C384">
        <v>79.526665</v>
      </c>
    </row>
    <row r="385" spans="1:3">
      <c r="A385">
        <v>133</v>
      </c>
      <c r="B385">
        <v>88.2180934955395</v>
      </c>
      <c r="C385">
        <v>79.622337</v>
      </c>
    </row>
    <row r="386" spans="1:3">
      <c r="A386">
        <v>134</v>
      </c>
      <c r="B386">
        <v>88.4618064283087</v>
      </c>
      <c r="C386">
        <v>79.7379</v>
      </c>
    </row>
    <row r="387" spans="1:3">
      <c r="A387">
        <v>135</v>
      </c>
      <c r="B387">
        <v>88.7055193610779</v>
      </c>
      <c r="C387">
        <v>79.749702</v>
      </c>
    </row>
    <row r="388" spans="1:3">
      <c r="A388">
        <v>136</v>
      </c>
      <c r="B388">
        <v>88.9492322938471</v>
      </c>
      <c r="C388">
        <v>79.951775</v>
      </c>
    </row>
    <row r="389" spans="1:3">
      <c r="A389">
        <v>137</v>
      </c>
      <c r="B389">
        <v>89.1929452266163</v>
      </c>
      <c r="C389">
        <v>80.057739</v>
      </c>
    </row>
    <row r="390" spans="1:3">
      <c r="A390">
        <v>138</v>
      </c>
      <c r="B390">
        <v>89.4366581593855</v>
      </c>
      <c r="C390">
        <v>80.077461</v>
      </c>
    </row>
    <row r="391" spans="1:3">
      <c r="A391">
        <v>139</v>
      </c>
      <c r="B391">
        <v>89.6803710921547</v>
      </c>
      <c r="C391">
        <v>80.179359</v>
      </c>
    </row>
    <row r="392" spans="1:3">
      <c r="A392">
        <v>140</v>
      </c>
      <c r="B392">
        <v>89.9240840249239</v>
      </c>
      <c r="C392">
        <v>80.296448</v>
      </c>
    </row>
    <row r="393" spans="1:3">
      <c r="A393">
        <v>141</v>
      </c>
      <c r="B393">
        <v>90.1677969576932</v>
      </c>
      <c r="C393">
        <v>80.550545</v>
      </c>
    </row>
    <row r="394" spans="1:3">
      <c r="A394">
        <v>142</v>
      </c>
      <c r="B394">
        <v>90.4115098904624</v>
      </c>
      <c r="C394">
        <v>80.631927</v>
      </c>
    </row>
    <row r="395" spans="1:3">
      <c r="A395">
        <v>143</v>
      </c>
      <c r="B395">
        <v>90.6552228232316</v>
      </c>
      <c r="C395">
        <v>80.99398</v>
      </c>
    </row>
    <row r="396" spans="1:3">
      <c r="A396">
        <v>144</v>
      </c>
      <c r="B396">
        <v>90.8989357560008</v>
      </c>
      <c r="C396">
        <v>82.583374</v>
      </c>
    </row>
    <row r="397" spans="1:3">
      <c r="A397">
        <v>145</v>
      </c>
      <c r="B397">
        <v>91.14264868877</v>
      </c>
      <c r="C397">
        <v>83.07164</v>
      </c>
    </row>
    <row r="398" spans="1:3">
      <c r="A398">
        <v>146</v>
      </c>
      <c r="B398">
        <v>91.3863616215392</v>
      </c>
      <c r="C398">
        <v>83.679497</v>
      </c>
    </row>
    <row r="399" spans="1:3">
      <c r="A399">
        <v>147</v>
      </c>
      <c r="B399">
        <v>91.6300745543084</v>
      </c>
      <c r="C399">
        <v>84.401947</v>
      </c>
    </row>
    <row r="400" spans="1:3">
      <c r="A400">
        <v>148</v>
      </c>
      <c r="B400">
        <v>91.8737874870776</v>
      </c>
      <c r="C400">
        <v>85.445755</v>
      </c>
    </row>
    <row r="401" spans="1:3">
      <c r="A401">
        <v>149</v>
      </c>
      <c r="B401">
        <v>92.1175004198468</v>
      </c>
      <c r="C401">
        <v>85.694878</v>
      </c>
    </row>
    <row r="402" spans="1:3">
      <c r="A402">
        <v>150</v>
      </c>
      <c r="B402">
        <v>92.361213352616</v>
      </c>
      <c r="C402">
        <v>87.122337</v>
      </c>
    </row>
    <row r="403" spans="1:3">
      <c r="A403">
        <v>151</v>
      </c>
      <c r="B403">
        <v>92.6049262853852</v>
      </c>
      <c r="C403">
        <v>87.588196</v>
      </c>
    </row>
    <row r="404" spans="1:3">
      <c r="A404">
        <v>152</v>
      </c>
      <c r="B404">
        <v>92.8486392181544</v>
      </c>
      <c r="C404">
        <v>87.623077</v>
      </c>
    </row>
    <row r="405" spans="1:3">
      <c r="A405">
        <v>153</v>
      </c>
      <c r="B405">
        <v>93.0923521509236</v>
      </c>
      <c r="C405">
        <v>87.710258</v>
      </c>
    </row>
    <row r="406" spans="1:3">
      <c r="A406">
        <v>154</v>
      </c>
      <c r="B406">
        <v>93.3360650836928</v>
      </c>
      <c r="C406">
        <v>87.89959</v>
      </c>
    </row>
    <row r="407" spans="1:3">
      <c r="A407">
        <v>155</v>
      </c>
      <c r="B407">
        <v>93.579778016462</v>
      </c>
      <c r="C407">
        <v>88.096405</v>
      </c>
    </row>
    <row r="408" spans="1:3">
      <c r="A408">
        <v>156</v>
      </c>
      <c r="B408">
        <v>93.8234909492313</v>
      </c>
      <c r="C408">
        <v>89.401787</v>
      </c>
    </row>
    <row r="409" spans="1:3">
      <c r="A409">
        <v>157</v>
      </c>
      <c r="B409">
        <v>94.0672038820005</v>
      </c>
      <c r="C409">
        <v>89.698242</v>
      </c>
    </row>
    <row r="410" spans="1:3">
      <c r="A410">
        <v>158</v>
      </c>
      <c r="B410">
        <v>94.3109168147697</v>
      </c>
      <c r="C410">
        <v>90.126732</v>
      </c>
    </row>
    <row r="411" spans="1:3">
      <c r="A411">
        <v>159</v>
      </c>
      <c r="B411">
        <v>94.5546297475389</v>
      </c>
      <c r="C411">
        <v>90.707176</v>
      </c>
    </row>
    <row r="412" spans="1:3">
      <c r="A412">
        <v>160</v>
      </c>
      <c r="B412">
        <v>94.7983426803081</v>
      </c>
      <c r="C412">
        <v>90.707176</v>
      </c>
    </row>
    <row r="413" spans="1:3">
      <c r="A413">
        <v>161</v>
      </c>
      <c r="B413">
        <v>95.0420556130773</v>
      </c>
      <c r="C413">
        <v>90.879066</v>
      </c>
    </row>
    <row r="414" spans="1:3">
      <c r="A414">
        <v>162</v>
      </c>
      <c r="B414">
        <v>95.2857685458465</v>
      </c>
      <c r="C414">
        <v>90.889038</v>
      </c>
    </row>
    <row r="415" spans="1:3">
      <c r="A415">
        <v>163</v>
      </c>
      <c r="B415">
        <v>95.5294814786157</v>
      </c>
      <c r="C415">
        <v>91.310051</v>
      </c>
    </row>
    <row r="416" spans="1:3">
      <c r="A416">
        <v>164</v>
      </c>
      <c r="B416">
        <v>95.7731944113849</v>
      </c>
      <c r="C416">
        <v>92.289093</v>
      </c>
    </row>
    <row r="417" spans="1:3">
      <c r="A417">
        <v>165</v>
      </c>
      <c r="B417">
        <v>96.0169073441541</v>
      </c>
      <c r="C417">
        <v>92.518288</v>
      </c>
    </row>
    <row r="418" spans="1:3">
      <c r="A418">
        <v>166</v>
      </c>
      <c r="B418">
        <v>96.2606202769233</v>
      </c>
      <c r="C418">
        <v>92.844635</v>
      </c>
    </row>
    <row r="419" spans="1:3">
      <c r="A419">
        <v>167</v>
      </c>
      <c r="B419">
        <v>96.5043332096925</v>
      </c>
      <c r="C419">
        <v>92.924355</v>
      </c>
    </row>
    <row r="420" spans="1:3">
      <c r="A420">
        <v>168</v>
      </c>
      <c r="B420">
        <v>96.7480461424617</v>
      </c>
      <c r="C420">
        <v>93.133614</v>
      </c>
    </row>
    <row r="421" spans="1:3">
      <c r="A421">
        <v>169</v>
      </c>
      <c r="B421">
        <v>96.991759075231</v>
      </c>
      <c r="C421">
        <v>94.476364</v>
      </c>
    </row>
    <row r="422" spans="1:3">
      <c r="A422">
        <v>170</v>
      </c>
      <c r="B422">
        <v>97.2354720080002</v>
      </c>
      <c r="C422">
        <v>94.705559</v>
      </c>
    </row>
    <row r="423" spans="1:3">
      <c r="A423">
        <v>171</v>
      </c>
      <c r="B423">
        <v>97.4791849407694</v>
      </c>
      <c r="C423">
        <v>95.006996</v>
      </c>
    </row>
    <row r="424" spans="1:3">
      <c r="A424">
        <v>172</v>
      </c>
      <c r="B424">
        <v>97.7228978735386</v>
      </c>
      <c r="C424">
        <v>95.141525</v>
      </c>
    </row>
    <row r="425" spans="1:3">
      <c r="A425">
        <v>173</v>
      </c>
      <c r="B425">
        <v>97.9666108063078</v>
      </c>
      <c r="C425">
        <v>95.415558</v>
      </c>
    </row>
    <row r="426" spans="1:3">
      <c r="A426">
        <v>174</v>
      </c>
      <c r="B426">
        <v>98.210323739077</v>
      </c>
      <c r="C426">
        <v>95.582466</v>
      </c>
    </row>
    <row r="427" spans="1:3">
      <c r="A427">
        <v>175</v>
      </c>
      <c r="B427">
        <v>98.4540366718462</v>
      </c>
      <c r="C427">
        <v>95.851517</v>
      </c>
    </row>
    <row r="428" spans="1:3">
      <c r="A428">
        <v>176</v>
      </c>
      <c r="B428">
        <v>98.6977496046154</v>
      </c>
      <c r="C428">
        <v>95.988533</v>
      </c>
    </row>
    <row r="429" spans="1:3">
      <c r="A429">
        <v>177</v>
      </c>
      <c r="B429">
        <v>98.9414625373846</v>
      </c>
      <c r="C429">
        <v>96.182846</v>
      </c>
    </row>
    <row r="430" spans="1:3">
      <c r="A430">
        <v>178</v>
      </c>
      <c r="B430">
        <v>99.1851754701538</v>
      </c>
      <c r="C430">
        <v>96.658661</v>
      </c>
    </row>
    <row r="431" spans="1:3">
      <c r="A431">
        <v>179</v>
      </c>
      <c r="B431">
        <v>99.428888402923</v>
      </c>
      <c r="C431">
        <v>96.715965</v>
      </c>
    </row>
    <row r="432" spans="1:3">
      <c r="A432">
        <v>180</v>
      </c>
      <c r="B432">
        <v>99.6726013356922</v>
      </c>
      <c r="C432">
        <v>96.930199</v>
      </c>
    </row>
    <row r="433" spans="1:3">
      <c r="A433">
        <v>181</v>
      </c>
      <c r="B433">
        <v>99.9163142684614</v>
      </c>
      <c r="C433">
        <v>97.381111</v>
      </c>
    </row>
    <row r="434" spans="1:3">
      <c r="A434">
        <v>182</v>
      </c>
      <c r="B434">
        <v>100.160027201231</v>
      </c>
      <c r="C434">
        <v>98.011391</v>
      </c>
    </row>
    <row r="435" spans="1:3">
      <c r="A435">
        <v>183</v>
      </c>
      <c r="B435">
        <v>100.403740134</v>
      </c>
      <c r="C435">
        <v>105.886086</v>
      </c>
    </row>
    <row r="436" spans="1:3">
      <c r="A436">
        <v>184</v>
      </c>
      <c r="B436">
        <v>100.647453066769</v>
      </c>
      <c r="C436">
        <v>106.655991</v>
      </c>
    </row>
    <row r="437" spans="1:3">
      <c r="A437">
        <v>185</v>
      </c>
      <c r="B437">
        <v>100.891165999538</v>
      </c>
      <c r="C437">
        <v>106.935509</v>
      </c>
    </row>
    <row r="438" spans="1:3">
      <c r="A438">
        <v>186</v>
      </c>
      <c r="B438">
        <v>101.134878932307</v>
      </c>
      <c r="C438">
        <v>108.033615</v>
      </c>
    </row>
    <row r="439" spans="1:3">
      <c r="A439">
        <v>187</v>
      </c>
      <c r="B439">
        <v>101.378591865077</v>
      </c>
      <c r="C439">
        <v>108.554153</v>
      </c>
    </row>
    <row r="440" spans="1:3">
      <c r="A440">
        <v>188</v>
      </c>
      <c r="B440">
        <v>101.622304797846</v>
      </c>
      <c r="C440">
        <v>108.582664</v>
      </c>
    </row>
    <row r="441" spans="1:3">
      <c r="A441">
        <v>189</v>
      </c>
      <c r="B441">
        <v>101.866017730615</v>
      </c>
      <c r="C441">
        <v>108.672516</v>
      </c>
    </row>
    <row r="442" spans="1:3">
      <c r="A442">
        <v>190</v>
      </c>
      <c r="B442">
        <v>102.109730663384</v>
      </c>
      <c r="C442">
        <v>109.186623</v>
      </c>
    </row>
    <row r="443" spans="1:3">
      <c r="A443">
        <v>191</v>
      </c>
      <c r="B443">
        <v>102.353443596154</v>
      </c>
      <c r="C443">
        <v>109.279099</v>
      </c>
    </row>
    <row r="444" spans="1:3">
      <c r="A444">
        <v>192</v>
      </c>
      <c r="B444">
        <v>102.597156528923</v>
      </c>
      <c r="C444">
        <v>109.675194</v>
      </c>
    </row>
    <row r="445" spans="1:3">
      <c r="A445">
        <v>193</v>
      </c>
      <c r="B445">
        <v>102.840869461692</v>
      </c>
      <c r="C445">
        <v>109.890411</v>
      </c>
    </row>
    <row r="446" spans="1:3">
      <c r="A446">
        <v>194</v>
      </c>
      <c r="B446">
        <v>103.084582394461</v>
      </c>
      <c r="C446">
        <v>110.149963</v>
      </c>
    </row>
    <row r="447" spans="1:3">
      <c r="A447">
        <v>195</v>
      </c>
      <c r="B447">
        <v>103.32829532723</v>
      </c>
      <c r="C447">
        <v>110.249794</v>
      </c>
    </row>
    <row r="448" spans="1:3">
      <c r="A448">
        <v>196</v>
      </c>
      <c r="B448">
        <v>103.57200826</v>
      </c>
      <c r="C448">
        <v>110.921135</v>
      </c>
    </row>
    <row r="449" spans="1:3">
      <c r="A449">
        <v>197</v>
      </c>
      <c r="B449">
        <v>103.815721192769</v>
      </c>
      <c r="C449">
        <v>111.008476</v>
      </c>
    </row>
    <row r="450" spans="1:3">
      <c r="A450">
        <v>198</v>
      </c>
      <c r="B450">
        <v>104.059434125538</v>
      </c>
      <c r="C450">
        <v>111.617432</v>
      </c>
    </row>
    <row r="451" spans="1:3">
      <c r="A451">
        <v>199</v>
      </c>
      <c r="B451">
        <v>104.303147058307</v>
      </c>
      <c r="C451">
        <v>111.807106</v>
      </c>
    </row>
    <row r="452" spans="1:3">
      <c r="A452">
        <v>200</v>
      </c>
      <c r="B452">
        <v>104.546859991076</v>
      </c>
      <c r="C452">
        <v>111.936882</v>
      </c>
    </row>
    <row r="453" spans="1:3">
      <c r="A453">
        <v>201</v>
      </c>
      <c r="B453">
        <v>104.790572923846</v>
      </c>
      <c r="C453">
        <v>112.086624</v>
      </c>
    </row>
    <row r="454" spans="1:3">
      <c r="A454">
        <v>202</v>
      </c>
      <c r="B454">
        <v>105.034285856615</v>
      </c>
      <c r="C454">
        <v>112.533356</v>
      </c>
    </row>
    <row r="455" spans="1:3">
      <c r="A455">
        <v>203</v>
      </c>
      <c r="B455">
        <v>105.277998789384</v>
      </c>
      <c r="C455">
        <v>112.625694</v>
      </c>
    </row>
    <row r="456" spans="1:3">
      <c r="A456">
        <v>204</v>
      </c>
      <c r="B456">
        <v>105.521711722153</v>
      </c>
      <c r="C456">
        <v>112.815369</v>
      </c>
    </row>
    <row r="457" spans="1:3">
      <c r="A457">
        <v>205</v>
      </c>
      <c r="B457">
        <v>105.765424654922</v>
      </c>
      <c r="C457">
        <v>112.825348</v>
      </c>
    </row>
    <row r="458" spans="1:3">
      <c r="A458">
        <v>206</v>
      </c>
      <c r="B458">
        <v>106.009137587692</v>
      </c>
      <c r="C458">
        <v>112.965111</v>
      </c>
    </row>
    <row r="459" spans="1:3">
      <c r="A459">
        <v>207</v>
      </c>
      <c r="B459">
        <v>106.252850520461</v>
      </c>
      <c r="C459">
        <v>113.29454</v>
      </c>
    </row>
    <row r="460" spans="1:3">
      <c r="A460">
        <v>208</v>
      </c>
      <c r="B460">
        <v>106.49656345323</v>
      </c>
      <c r="C460">
        <v>113.501678</v>
      </c>
    </row>
    <row r="461" spans="1:3">
      <c r="A461">
        <v>209</v>
      </c>
      <c r="B461">
        <v>106.740276385999</v>
      </c>
      <c r="C461">
        <v>113.893501</v>
      </c>
    </row>
    <row r="462" spans="1:3">
      <c r="A462">
        <v>210</v>
      </c>
      <c r="B462">
        <v>106.983989318768</v>
      </c>
      <c r="C462">
        <v>114.41011</v>
      </c>
    </row>
    <row r="463" spans="1:3">
      <c r="A463">
        <v>211</v>
      </c>
      <c r="B463">
        <v>107.227702251538</v>
      </c>
      <c r="C463">
        <v>114.709602</v>
      </c>
    </row>
    <row r="464" spans="1:3">
      <c r="A464">
        <v>212</v>
      </c>
      <c r="B464">
        <v>107.471415184307</v>
      </c>
      <c r="C464">
        <v>114.752022</v>
      </c>
    </row>
    <row r="465" spans="1:3">
      <c r="A465">
        <v>213</v>
      </c>
      <c r="B465">
        <v>107.715128117076</v>
      </c>
      <c r="C465">
        <v>114.762009</v>
      </c>
    </row>
    <row r="466" spans="1:3">
      <c r="A466">
        <v>214</v>
      </c>
      <c r="B466">
        <v>107.958841049845</v>
      </c>
      <c r="C466">
        <v>114.771988</v>
      </c>
    </row>
    <row r="467" spans="1:3">
      <c r="A467">
        <v>215</v>
      </c>
      <c r="B467">
        <v>108.202553982614</v>
      </c>
      <c r="C467">
        <v>114.81192</v>
      </c>
    </row>
    <row r="468" spans="1:3">
      <c r="A468">
        <v>216</v>
      </c>
      <c r="B468">
        <v>108.446266915384</v>
      </c>
      <c r="C468">
        <v>114.841873</v>
      </c>
    </row>
    <row r="469" spans="1:3">
      <c r="A469">
        <v>217</v>
      </c>
      <c r="B469">
        <v>108.689979848153</v>
      </c>
      <c r="C469">
        <v>114.851852</v>
      </c>
    </row>
    <row r="470" spans="1:3">
      <c r="A470">
        <v>218</v>
      </c>
      <c r="B470">
        <v>108.933692780922</v>
      </c>
      <c r="C470">
        <v>114.881805</v>
      </c>
    </row>
    <row r="471" spans="1:3">
      <c r="A471">
        <v>219</v>
      </c>
      <c r="B471">
        <v>109.177405713691</v>
      </c>
      <c r="C471">
        <v>115.121384</v>
      </c>
    </row>
    <row r="472" spans="1:3">
      <c r="A472">
        <v>220</v>
      </c>
      <c r="B472">
        <v>109.421118646461</v>
      </c>
      <c r="C472">
        <v>115.161316</v>
      </c>
    </row>
    <row r="473" spans="1:3">
      <c r="A473">
        <v>221</v>
      </c>
      <c r="B473">
        <v>109.66483157923</v>
      </c>
      <c r="C473">
        <v>115.341011</v>
      </c>
    </row>
    <row r="474" spans="1:3">
      <c r="A474">
        <v>222</v>
      </c>
      <c r="B474">
        <v>109.908544511999</v>
      </c>
      <c r="C474">
        <v>115.363472</v>
      </c>
    </row>
    <row r="475" spans="1:3">
      <c r="A475">
        <v>223</v>
      </c>
      <c r="B475">
        <v>110.152257444768</v>
      </c>
      <c r="C475">
        <v>115.508217</v>
      </c>
    </row>
    <row r="476" spans="1:3">
      <c r="A476">
        <v>224</v>
      </c>
      <c r="B476">
        <v>110.395970377537</v>
      </c>
      <c r="C476">
        <v>115.550644</v>
      </c>
    </row>
    <row r="477" spans="1:3">
      <c r="A477">
        <v>225</v>
      </c>
      <c r="B477">
        <v>110.639683310307</v>
      </c>
      <c r="C477">
        <v>115.610542</v>
      </c>
    </row>
    <row r="478" spans="1:3">
      <c r="A478">
        <v>226</v>
      </c>
      <c r="B478">
        <v>110.883396243076</v>
      </c>
      <c r="C478">
        <v>115.780251</v>
      </c>
    </row>
    <row r="479" spans="1:3">
      <c r="A479">
        <v>227</v>
      </c>
      <c r="B479">
        <v>111.127109175845</v>
      </c>
      <c r="C479">
        <v>116.299355</v>
      </c>
    </row>
    <row r="480" spans="1:3">
      <c r="A480">
        <v>228</v>
      </c>
      <c r="B480">
        <v>111.370822108614</v>
      </c>
      <c r="C480">
        <v>116.399178</v>
      </c>
    </row>
    <row r="481" spans="1:3">
      <c r="A481">
        <v>229</v>
      </c>
      <c r="B481">
        <v>111.614535041383</v>
      </c>
      <c r="C481">
        <v>116.58886</v>
      </c>
    </row>
    <row r="482" spans="1:3">
      <c r="A482">
        <v>230</v>
      </c>
      <c r="B482">
        <v>111.858247974153</v>
      </c>
      <c r="C482">
        <v>116.668724</v>
      </c>
    </row>
    <row r="483" spans="1:3">
      <c r="A483">
        <v>231</v>
      </c>
      <c r="B483">
        <v>112.101960906922</v>
      </c>
      <c r="C483">
        <v>116.768547</v>
      </c>
    </row>
    <row r="484" spans="1:3">
      <c r="A484">
        <v>232</v>
      </c>
      <c r="B484">
        <v>112.345673839691</v>
      </c>
      <c r="C484">
        <v>117.117943</v>
      </c>
    </row>
    <row r="485" spans="1:3">
      <c r="A485">
        <v>233</v>
      </c>
      <c r="B485">
        <v>112.58938677246</v>
      </c>
      <c r="C485">
        <v>117.307617</v>
      </c>
    </row>
    <row r="486" spans="1:3">
      <c r="A486">
        <v>234</v>
      </c>
      <c r="B486">
        <v>112.833099705229</v>
      </c>
      <c r="C486">
        <v>118.071297</v>
      </c>
    </row>
    <row r="487" spans="1:3">
      <c r="A487">
        <v>235</v>
      </c>
      <c r="B487">
        <v>113.076812637999</v>
      </c>
      <c r="C487">
        <v>118.690002</v>
      </c>
    </row>
    <row r="488" spans="1:3">
      <c r="A488">
        <v>236</v>
      </c>
      <c r="B488">
        <v>113.320525570768</v>
      </c>
      <c r="C488">
        <v>118.81501</v>
      </c>
    </row>
    <row r="489" spans="1:3">
      <c r="A489">
        <v>237</v>
      </c>
      <c r="B489">
        <v>113.564238503537</v>
      </c>
      <c r="C489">
        <v>118.824997</v>
      </c>
    </row>
    <row r="490" spans="1:3">
      <c r="A490">
        <v>238</v>
      </c>
      <c r="B490">
        <v>113.807951436306</v>
      </c>
      <c r="C490">
        <v>120.502106</v>
      </c>
    </row>
    <row r="491" spans="1:3">
      <c r="A491">
        <v>239</v>
      </c>
      <c r="B491">
        <v>114.051664369075</v>
      </c>
      <c r="C491">
        <v>120.671806</v>
      </c>
    </row>
    <row r="492" spans="1:3">
      <c r="A492">
        <v>240</v>
      </c>
      <c r="B492">
        <v>114.295377301845</v>
      </c>
      <c r="C492">
        <v>120.751671</v>
      </c>
    </row>
    <row r="493" spans="1:3">
      <c r="A493">
        <v>241</v>
      </c>
      <c r="B493">
        <v>114.539090234614</v>
      </c>
      <c r="C493">
        <v>120.891434</v>
      </c>
    </row>
    <row r="494" spans="1:3">
      <c r="A494">
        <v>242</v>
      </c>
      <c r="B494">
        <v>114.782803167383</v>
      </c>
      <c r="C494">
        <v>120.981277</v>
      </c>
    </row>
    <row r="495" spans="1:3">
      <c r="A495">
        <v>243</v>
      </c>
      <c r="B495">
        <v>115.026516100152</v>
      </c>
      <c r="C495">
        <v>124.1558</v>
      </c>
    </row>
    <row r="496" spans="1:3">
      <c r="A496">
        <v>244</v>
      </c>
      <c r="B496">
        <v>115.270229032921</v>
      </c>
      <c r="C496">
        <v>124.185753</v>
      </c>
    </row>
    <row r="497" spans="1:3">
      <c r="A497">
        <v>245</v>
      </c>
      <c r="B497">
        <v>115.513941965691</v>
      </c>
      <c r="C497">
        <v>124.592552</v>
      </c>
    </row>
    <row r="498" spans="1:3">
      <c r="A498">
        <v>246</v>
      </c>
      <c r="B498">
        <v>115.75765489846</v>
      </c>
      <c r="C498">
        <v>124.610016</v>
      </c>
    </row>
    <row r="499" spans="1:3">
      <c r="A499">
        <v>247</v>
      </c>
      <c r="B499">
        <v>116.001367831229</v>
      </c>
      <c r="C499">
        <v>124.794701</v>
      </c>
    </row>
    <row r="500" spans="1:3">
      <c r="A500">
        <v>248</v>
      </c>
      <c r="B500">
        <v>116.245080763998</v>
      </c>
      <c r="C500">
        <v>125.640739</v>
      </c>
    </row>
    <row r="501" spans="1:3">
      <c r="A501">
        <v>249</v>
      </c>
      <c r="B501">
        <v>116.488793696768</v>
      </c>
      <c r="C501">
        <v>126.304596</v>
      </c>
    </row>
    <row r="502" spans="1:3">
      <c r="A502">
        <v>250</v>
      </c>
      <c r="B502">
        <v>116.732506629537</v>
      </c>
      <c r="C502">
        <v>128.817749</v>
      </c>
    </row>
    <row r="503" spans="1:3">
      <c r="A503">
        <v>251</v>
      </c>
      <c r="B503">
        <v>116.976219562306</v>
      </c>
      <c r="C503">
        <v>131.173691</v>
      </c>
    </row>
    <row r="504" spans="1:3">
      <c r="A504">
        <v>252</v>
      </c>
      <c r="B504">
        <v>117.219932495075</v>
      </c>
      <c r="C504">
        <v>133.948898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4"/>
  <sheetViews>
    <sheetView workbookViewId="0">
      <selection activeCell="A1" sqref="A1"/>
    </sheetView>
  </sheetViews>
  <sheetFormatPr defaultColWidth="9" defaultRowHeight="15.6" outlineLevelCol="2"/>
  <sheetData>
    <row r="1" spans="1:3">
      <c r="A1">
        <v>1</v>
      </c>
      <c r="B1">
        <v>7.90655762999585</v>
      </c>
      <c r="C1">
        <v>0</v>
      </c>
    </row>
    <row r="2" spans="1:3">
      <c r="A2">
        <v>2</v>
      </c>
      <c r="B2">
        <v>8.16929169722665</v>
      </c>
      <c r="C2">
        <v>0</v>
      </c>
    </row>
    <row r="3" spans="1:3">
      <c r="A3">
        <v>3</v>
      </c>
      <c r="B3">
        <v>7.86656576445744</v>
      </c>
      <c r="C3">
        <v>0</v>
      </c>
    </row>
    <row r="4" spans="1:3">
      <c r="A4">
        <v>4</v>
      </c>
      <c r="B4">
        <v>8.23992583168824</v>
      </c>
      <c r="C4">
        <v>0</v>
      </c>
    </row>
    <row r="5" spans="1:3">
      <c r="A5">
        <v>5</v>
      </c>
      <c r="B5">
        <v>7.54632189891902</v>
      </c>
      <c r="C5">
        <v>0</v>
      </c>
    </row>
    <row r="6" spans="1:3">
      <c r="A6">
        <v>6</v>
      </c>
      <c r="B6">
        <v>8.06966096614982</v>
      </c>
      <c r="C6">
        <v>0</v>
      </c>
    </row>
    <row r="7" spans="1:3">
      <c r="A7">
        <v>7</v>
      </c>
      <c r="B7">
        <v>8.15537003338061</v>
      </c>
      <c r="C7">
        <v>0</v>
      </c>
    </row>
    <row r="8" spans="1:3">
      <c r="A8">
        <v>8</v>
      </c>
      <c r="B8">
        <v>7.7125301006114</v>
      </c>
      <c r="C8">
        <v>0</v>
      </c>
    </row>
    <row r="9" spans="1:3">
      <c r="A9">
        <v>9</v>
      </c>
      <c r="B9">
        <v>6.70668616784219</v>
      </c>
      <c r="C9">
        <v>0</v>
      </c>
    </row>
    <row r="10" spans="1:3">
      <c r="A10">
        <v>10</v>
      </c>
      <c r="B10">
        <v>6.172865235073</v>
      </c>
      <c r="C10">
        <v>0</v>
      </c>
    </row>
    <row r="11" spans="1:3">
      <c r="A11">
        <v>11</v>
      </c>
      <c r="B11">
        <v>5.87261130230378</v>
      </c>
      <c r="C11">
        <v>0</v>
      </c>
    </row>
    <row r="12" spans="1:3">
      <c r="A12">
        <v>12</v>
      </c>
      <c r="B12">
        <v>6.75733936953458</v>
      </c>
      <c r="C12">
        <v>0</v>
      </c>
    </row>
    <row r="13" spans="1:3">
      <c r="A13">
        <v>13</v>
      </c>
      <c r="B13">
        <v>6.00227343676537</v>
      </c>
      <c r="C13">
        <v>0</v>
      </c>
    </row>
    <row r="14" spans="1:3">
      <c r="A14">
        <v>14</v>
      </c>
      <c r="B14">
        <v>6.63131050399616</v>
      </c>
      <c r="C14">
        <v>0</v>
      </c>
    </row>
    <row r="15" spans="1:3">
      <c r="A15">
        <v>15</v>
      </c>
      <c r="B15">
        <v>6.24254757122696</v>
      </c>
      <c r="C15">
        <v>0</v>
      </c>
    </row>
    <row r="16" spans="1:3">
      <c r="A16">
        <v>16</v>
      </c>
      <c r="B16">
        <v>5.23916063845775</v>
      </c>
      <c r="C16">
        <v>0</v>
      </c>
    </row>
    <row r="17" spans="1:3">
      <c r="A17">
        <v>17</v>
      </c>
      <c r="B17">
        <v>3.83752270568854</v>
      </c>
      <c r="C17">
        <v>0</v>
      </c>
    </row>
    <row r="18" spans="1:3">
      <c r="A18">
        <v>18</v>
      </c>
      <c r="B18">
        <v>4.15678677291933</v>
      </c>
      <c r="C18">
        <v>0</v>
      </c>
    </row>
    <row r="19" spans="1:3">
      <c r="A19">
        <v>19</v>
      </c>
      <c r="B19">
        <v>4.85712684015012</v>
      </c>
      <c r="C19">
        <v>0</v>
      </c>
    </row>
    <row r="20" spans="1:3">
      <c r="A20">
        <v>20</v>
      </c>
      <c r="B20">
        <v>5.87459890738091</v>
      </c>
      <c r="C20">
        <v>0</v>
      </c>
    </row>
    <row r="21" spans="1:3">
      <c r="A21">
        <v>21</v>
      </c>
      <c r="B21">
        <v>4.69913897461171</v>
      </c>
      <c r="C21">
        <v>0</v>
      </c>
    </row>
    <row r="22" spans="1:3">
      <c r="A22">
        <v>22</v>
      </c>
      <c r="B22">
        <v>4.8389400418425</v>
      </c>
      <c r="C22">
        <v>0</v>
      </c>
    </row>
    <row r="23" spans="1:3">
      <c r="A23">
        <v>23</v>
      </c>
      <c r="B23">
        <v>5.1582151090733</v>
      </c>
      <c r="C23">
        <v>0</v>
      </c>
    </row>
    <row r="24" spans="1:3">
      <c r="A24">
        <v>24</v>
      </c>
      <c r="B24">
        <v>5.08413417630408</v>
      </c>
      <c r="C24">
        <v>0</v>
      </c>
    </row>
    <row r="25" spans="1:3">
      <c r="A25">
        <v>25</v>
      </c>
      <c r="B25">
        <v>5.74761024353488</v>
      </c>
      <c r="C25">
        <v>0</v>
      </c>
    </row>
    <row r="26" spans="1:3">
      <c r="A26">
        <v>26</v>
      </c>
      <c r="B26">
        <v>6.66182531076567</v>
      </c>
      <c r="C26">
        <v>0</v>
      </c>
    </row>
    <row r="27" spans="1:3">
      <c r="A27">
        <v>27</v>
      </c>
      <c r="B27">
        <v>6.55332837799646</v>
      </c>
      <c r="C27">
        <v>0</v>
      </c>
    </row>
    <row r="28" spans="1:3">
      <c r="A28">
        <v>28</v>
      </c>
      <c r="B28">
        <v>6.14489644522726</v>
      </c>
      <c r="C28">
        <v>0</v>
      </c>
    </row>
    <row r="29" spans="1:3">
      <c r="A29">
        <v>29</v>
      </c>
      <c r="B29">
        <v>5.97001651245805</v>
      </c>
      <c r="C29">
        <v>0</v>
      </c>
    </row>
    <row r="30" spans="1:3">
      <c r="A30">
        <v>30</v>
      </c>
      <c r="B30">
        <v>5.58372557968885</v>
      </c>
      <c r="C30">
        <v>0</v>
      </c>
    </row>
    <row r="31" spans="1:3">
      <c r="A31">
        <v>31</v>
      </c>
      <c r="B31">
        <v>6.46106764691964</v>
      </c>
      <c r="C31">
        <v>0</v>
      </c>
    </row>
    <row r="32" spans="1:3">
      <c r="A32">
        <v>32</v>
      </c>
      <c r="B32">
        <v>6.28373071415044</v>
      </c>
      <c r="C32">
        <v>0</v>
      </c>
    </row>
    <row r="33" spans="1:3">
      <c r="A33">
        <v>33</v>
      </c>
      <c r="B33">
        <v>7.42659178138123</v>
      </c>
      <c r="C33">
        <v>0</v>
      </c>
    </row>
    <row r="34" spans="1:3">
      <c r="A34">
        <v>34</v>
      </c>
      <c r="B34">
        <v>7.15583984861202</v>
      </c>
      <c r="C34">
        <v>0</v>
      </c>
    </row>
    <row r="35" spans="1:3">
      <c r="A35">
        <v>35</v>
      </c>
      <c r="B35">
        <v>7.33498591584281</v>
      </c>
      <c r="C35">
        <v>0</v>
      </c>
    </row>
    <row r="36" spans="1:3">
      <c r="A36">
        <v>36</v>
      </c>
      <c r="B36">
        <v>7.61492398307361</v>
      </c>
      <c r="C36">
        <v>0</v>
      </c>
    </row>
    <row r="37" spans="1:3">
      <c r="A37">
        <v>37</v>
      </c>
      <c r="B37">
        <v>9.01839005030439</v>
      </c>
      <c r="C37">
        <v>0</v>
      </c>
    </row>
    <row r="38" spans="1:3">
      <c r="A38">
        <v>38</v>
      </c>
      <c r="B38">
        <v>8.05678911753519</v>
      </c>
      <c r="C38">
        <v>0</v>
      </c>
    </row>
    <row r="39" spans="1:3">
      <c r="A39">
        <v>39</v>
      </c>
      <c r="B39">
        <v>8.39574118476598</v>
      </c>
      <c r="C39">
        <v>0</v>
      </c>
    </row>
    <row r="40" spans="1:3">
      <c r="A40">
        <v>40</v>
      </c>
      <c r="B40">
        <v>7.80539425199679</v>
      </c>
      <c r="C40">
        <v>0</v>
      </c>
    </row>
    <row r="41" spans="1:3">
      <c r="A41">
        <v>41</v>
      </c>
      <c r="B41">
        <v>8.74173531922757</v>
      </c>
      <c r="C41">
        <v>0</v>
      </c>
    </row>
    <row r="42" spans="1:3">
      <c r="A42">
        <v>42</v>
      </c>
      <c r="B42">
        <v>10.0812813864584</v>
      </c>
      <c r="C42">
        <v>0</v>
      </c>
    </row>
    <row r="43" spans="1:3">
      <c r="A43">
        <v>43</v>
      </c>
      <c r="B43">
        <v>10.0096494536891</v>
      </c>
      <c r="C43">
        <v>0</v>
      </c>
    </row>
    <row r="44" spans="1:3">
      <c r="A44">
        <v>44</v>
      </c>
      <c r="B44">
        <v>11.3958955209199</v>
      </c>
      <c r="C44">
        <v>0</v>
      </c>
    </row>
    <row r="45" spans="1:3">
      <c r="A45">
        <v>45</v>
      </c>
      <c r="B45">
        <v>10.0999675881507</v>
      </c>
      <c r="C45">
        <v>0</v>
      </c>
    </row>
    <row r="46" spans="1:3">
      <c r="A46">
        <v>46</v>
      </c>
      <c r="B46">
        <v>9.52681665538152</v>
      </c>
      <c r="C46">
        <v>0</v>
      </c>
    </row>
    <row r="47" spans="1:3">
      <c r="A47">
        <v>47</v>
      </c>
      <c r="B47">
        <v>10.2419127226123</v>
      </c>
      <c r="C47">
        <v>0</v>
      </c>
    </row>
    <row r="48" spans="1:3">
      <c r="A48">
        <v>48</v>
      </c>
      <c r="B48">
        <v>10.8562017898431</v>
      </c>
      <c r="C48">
        <v>0</v>
      </c>
    </row>
    <row r="49" spans="1:3">
      <c r="A49">
        <v>49</v>
      </c>
      <c r="B49">
        <v>10.0814598570739</v>
      </c>
      <c r="C49">
        <v>0</v>
      </c>
    </row>
    <row r="50" spans="1:3">
      <c r="A50">
        <v>50</v>
      </c>
      <c r="B50">
        <v>10.1155559243047</v>
      </c>
      <c r="C50">
        <v>0</v>
      </c>
    </row>
    <row r="51" spans="1:3">
      <c r="A51">
        <v>51</v>
      </c>
      <c r="B51">
        <v>10.2479879915355</v>
      </c>
      <c r="C51">
        <v>0</v>
      </c>
    </row>
    <row r="52" spans="1:3">
      <c r="A52">
        <v>52</v>
      </c>
      <c r="B52">
        <v>9.77809405876628</v>
      </c>
      <c r="C52">
        <v>0</v>
      </c>
    </row>
    <row r="53" spans="1:3">
      <c r="A53">
        <v>53</v>
      </c>
      <c r="B53">
        <v>7.23325612599707</v>
      </c>
      <c r="C53">
        <v>0</v>
      </c>
    </row>
    <row r="54" spans="1:3">
      <c r="A54">
        <v>54</v>
      </c>
      <c r="B54">
        <v>9.13824019322789</v>
      </c>
      <c r="C54">
        <v>0</v>
      </c>
    </row>
    <row r="55" spans="1:3">
      <c r="A55">
        <v>55</v>
      </c>
      <c r="B55">
        <v>10.5294152604587</v>
      </c>
      <c r="C55">
        <v>0</v>
      </c>
    </row>
    <row r="56" spans="1:3">
      <c r="A56">
        <v>56</v>
      </c>
      <c r="B56">
        <v>10.1701393276895</v>
      </c>
      <c r="C56">
        <v>0</v>
      </c>
    </row>
    <row r="57" spans="1:3">
      <c r="A57">
        <v>57</v>
      </c>
      <c r="B57">
        <v>6.39608439492025</v>
      </c>
      <c r="C57">
        <v>0</v>
      </c>
    </row>
    <row r="58" spans="1:3">
      <c r="A58">
        <v>58</v>
      </c>
      <c r="B58">
        <v>5.94339446215105</v>
      </c>
      <c r="C58">
        <v>0</v>
      </c>
    </row>
    <row r="59" spans="1:3">
      <c r="A59">
        <v>59</v>
      </c>
      <c r="B59">
        <v>8.20486252938184</v>
      </c>
      <c r="C59">
        <v>0</v>
      </c>
    </row>
    <row r="60" spans="1:3">
      <c r="A60">
        <v>60</v>
      </c>
      <c r="B60">
        <v>8.60035559661263</v>
      </c>
      <c r="C60">
        <v>0</v>
      </c>
    </row>
    <row r="61" spans="1:3">
      <c r="A61">
        <v>61</v>
      </c>
      <c r="B61">
        <v>9.28101266384343</v>
      </c>
      <c r="C61">
        <v>0</v>
      </c>
    </row>
    <row r="62" spans="1:3">
      <c r="A62">
        <v>62</v>
      </c>
      <c r="B62">
        <v>7.95054573107421</v>
      </c>
      <c r="C62">
        <v>0</v>
      </c>
    </row>
    <row r="63" spans="1:3">
      <c r="A63">
        <v>63</v>
      </c>
      <c r="B63">
        <v>8.081405798305</v>
      </c>
      <c r="C63">
        <v>0</v>
      </c>
    </row>
    <row r="64" spans="1:3">
      <c r="A64">
        <v>64</v>
      </c>
      <c r="B64">
        <v>7.35961886553581</v>
      </c>
      <c r="C64">
        <v>0</v>
      </c>
    </row>
    <row r="65" spans="1:3">
      <c r="A65">
        <v>65</v>
      </c>
      <c r="B65">
        <v>8.98631293276661</v>
      </c>
      <c r="C65">
        <v>0</v>
      </c>
    </row>
    <row r="66" spans="1:3">
      <c r="A66">
        <v>66</v>
      </c>
      <c r="B66">
        <v>8.16841199999739</v>
      </c>
      <c r="C66">
        <v>0</v>
      </c>
    </row>
    <row r="67" spans="1:3">
      <c r="A67">
        <v>67</v>
      </c>
      <c r="B67">
        <v>7.94442106722818</v>
      </c>
      <c r="C67">
        <v>0</v>
      </c>
    </row>
    <row r="68" spans="1:3">
      <c r="A68">
        <v>68</v>
      </c>
      <c r="B68">
        <v>6.23444513445898</v>
      </c>
      <c r="C68">
        <v>0</v>
      </c>
    </row>
    <row r="69" spans="1:3">
      <c r="A69">
        <v>69</v>
      </c>
      <c r="B69">
        <v>7.12923620168976</v>
      </c>
      <c r="C69">
        <v>0</v>
      </c>
    </row>
    <row r="70" spans="1:3">
      <c r="A70">
        <v>70</v>
      </c>
      <c r="B70">
        <v>6.06738526892055</v>
      </c>
      <c r="C70">
        <v>0</v>
      </c>
    </row>
    <row r="71" spans="1:3">
      <c r="A71">
        <v>71</v>
      </c>
      <c r="B71">
        <v>4.03705133615135</v>
      </c>
      <c r="C71">
        <v>0</v>
      </c>
    </row>
    <row r="72" spans="1:3">
      <c r="A72">
        <v>72</v>
      </c>
      <c r="B72">
        <v>0.128917403382147</v>
      </c>
      <c r="C72">
        <v>0</v>
      </c>
    </row>
    <row r="73" spans="1:3">
      <c r="A73">
        <v>73</v>
      </c>
      <c r="B73">
        <v>-2.60374052938705</v>
      </c>
      <c r="C73">
        <v>0</v>
      </c>
    </row>
    <row r="74" spans="1:3">
      <c r="A74">
        <v>74</v>
      </c>
      <c r="B74">
        <v>-1.72126346215627</v>
      </c>
      <c r="C74">
        <v>0</v>
      </c>
    </row>
    <row r="75" spans="1:3">
      <c r="A75">
        <v>75</v>
      </c>
      <c r="B75">
        <v>-6.67918639492547</v>
      </c>
      <c r="C75">
        <v>0</v>
      </c>
    </row>
    <row r="76" spans="1:3">
      <c r="A76">
        <v>76</v>
      </c>
      <c r="B76">
        <v>-6.96232832769469</v>
      </c>
      <c r="C76">
        <v>0</v>
      </c>
    </row>
    <row r="77" spans="1:3">
      <c r="A77">
        <v>77</v>
      </c>
      <c r="B77">
        <v>-0.934396260463885</v>
      </c>
      <c r="C77">
        <v>0</v>
      </c>
    </row>
    <row r="78" spans="1:3">
      <c r="A78">
        <v>78</v>
      </c>
      <c r="B78">
        <v>-3.5167251932331</v>
      </c>
      <c r="C78">
        <v>0</v>
      </c>
    </row>
    <row r="79" spans="1:3">
      <c r="A79">
        <v>79</v>
      </c>
      <c r="B79">
        <v>-0.453355126002293</v>
      </c>
      <c r="C79">
        <v>0</v>
      </c>
    </row>
    <row r="80" spans="1:3">
      <c r="A80">
        <v>80</v>
      </c>
      <c r="B80">
        <v>-3.11700505877151</v>
      </c>
      <c r="C80">
        <v>0</v>
      </c>
    </row>
    <row r="81" spans="1:3">
      <c r="A81">
        <v>81</v>
      </c>
      <c r="B81">
        <v>-4.31933599154073</v>
      </c>
      <c r="C81">
        <v>0</v>
      </c>
    </row>
    <row r="82" spans="1:3">
      <c r="A82">
        <v>82</v>
      </c>
      <c r="B82">
        <v>-10.1964259243099</v>
      </c>
      <c r="C82">
        <v>0</v>
      </c>
    </row>
    <row r="83" spans="1:3">
      <c r="A83">
        <v>83</v>
      </c>
      <c r="B83">
        <v>-5.71607885707914</v>
      </c>
      <c r="C83">
        <v>0</v>
      </c>
    </row>
    <row r="84" spans="1:3">
      <c r="A84">
        <v>84</v>
      </c>
      <c r="B84">
        <v>-8.40191478984833</v>
      </c>
      <c r="C84">
        <v>0</v>
      </c>
    </row>
    <row r="85" spans="1:3">
      <c r="A85">
        <v>85</v>
      </c>
      <c r="B85">
        <v>-15.3485317226176</v>
      </c>
      <c r="C85">
        <v>0</v>
      </c>
    </row>
    <row r="86" spans="1:3">
      <c r="A86">
        <v>86</v>
      </c>
      <c r="B86">
        <v>-8.26341065538675</v>
      </c>
      <c r="C86">
        <v>0</v>
      </c>
    </row>
    <row r="87" spans="1:3">
      <c r="A87">
        <v>87</v>
      </c>
      <c r="B87">
        <v>-17.319466588156</v>
      </c>
      <c r="C87">
        <v>0</v>
      </c>
    </row>
    <row r="88" spans="1:3">
      <c r="A88">
        <v>88</v>
      </c>
      <c r="B88">
        <v>-14.9387025209252</v>
      </c>
      <c r="C88">
        <v>0</v>
      </c>
    </row>
    <row r="89" spans="1:3">
      <c r="A89">
        <v>89</v>
      </c>
      <c r="B89">
        <v>-16.7078134536944</v>
      </c>
      <c r="C89">
        <v>0</v>
      </c>
    </row>
    <row r="90" spans="1:3">
      <c r="A90">
        <v>90</v>
      </c>
      <c r="B90">
        <v>-17.4172813864636</v>
      </c>
      <c r="C90">
        <v>0</v>
      </c>
    </row>
    <row r="91" spans="1:3">
      <c r="A91">
        <v>91</v>
      </c>
      <c r="B91">
        <v>-21.4905163192328</v>
      </c>
      <c r="C91">
        <v>0</v>
      </c>
    </row>
    <row r="92" spans="1:3">
      <c r="A92">
        <v>92</v>
      </c>
      <c r="B92">
        <v>-22.934344252002</v>
      </c>
      <c r="C92">
        <v>0</v>
      </c>
    </row>
    <row r="93" spans="1:3">
      <c r="A93">
        <v>93</v>
      </c>
      <c r="B93">
        <v>-17.6309151847712</v>
      </c>
      <c r="C93">
        <v>0</v>
      </c>
    </row>
    <row r="94" spans="1:3">
      <c r="A94">
        <v>94</v>
      </c>
      <c r="B94">
        <v>-18.2097721175404</v>
      </c>
      <c r="C94">
        <v>0</v>
      </c>
    </row>
    <row r="95" spans="1:3">
      <c r="A95">
        <v>95</v>
      </c>
      <c r="B95">
        <v>-15.2696090503096</v>
      </c>
      <c r="C95">
        <v>0</v>
      </c>
    </row>
    <row r="96" spans="1:3">
      <c r="A96">
        <v>96</v>
      </c>
      <c r="B96">
        <v>-18.1501209830788</v>
      </c>
      <c r="C96">
        <v>0</v>
      </c>
    </row>
    <row r="97" spans="1:3">
      <c r="A97">
        <v>97</v>
      </c>
      <c r="B97">
        <v>-16.651577915848</v>
      </c>
      <c r="C97">
        <v>0</v>
      </c>
    </row>
    <row r="98" spans="1:3">
      <c r="A98">
        <v>98</v>
      </c>
      <c r="B98">
        <v>-17.0234338486172</v>
      </c>
      <c r="C98">
        <v>0</v>
      </c>
    </row>
    <row r="99" spans="1:3">
      <c r="A99">
        <v>99</v>
      </c>
      <c r="B99">
        <v>-20.5643797813864</v>
      </c>
      <c r="C99">
        <v>0</v>
      </c>
    </row>
    <row r="100" spans="1:3">
      <c r="A100">
        <v>100</v>
      </c>
      <c r="B100">
        <v>-19.8174467141557</v>
      </c>
      <c r="C100">
        <v>0</v>
      </c>
    </row>
    <row r="101" spans="1:3">
      <c r="A101">
        <v>101</v>
      </c>
      <c r="B101">
        <v>-20.9285876469249</v>
      </c>
      <c r="C101">
        <v>0</v>
      </c>
    </row>
    <row r="102" spans="1:3">
      <c r="A102">
        <v>102</v>
      </c>
      <c r="B102">
        <v>-15.9824885796941</v>
      </c>
      <c r="C102">
        <v>0</v>
      </c>
    </row>
    <row r="103" spans="1:3">
      <c r="A103">
        <v>103</v>
      </c>
      <c r="B103">
        <v>-16.9753505124633</v>
      </c>
      <c r="C103">
        <v>0</v>
      </c>
    </row>
    <row r="104" spans="1:3">
      <c r="A104">
        <v>104</v>
      </c>
      <c r="B104">
        <v>-15.5827614452325</v>
      </c>
      <c r="C104">
        <v>0</v>
      </c>
    </row>
    <row r="105" spans="1:3">
      <c r="A105">
        <v>105</v>
      </c>
      <c r="B105">
        <v>-15.3533293780017</v>
      </c>
      <c r="C105">
        <v>0</v>
      </c>
    </row>
    <row r="106" spans="1:3">
      <c r="A106">
        <v>106</v>
      </c>
      <c r="B106">
        <v>-14.3008153107709</v>
      </c>
      <c r="C106">
        <v>0</v>
      </c>
    </row>
    <row r="107" spans="1:3">
      <c r="A107">
        <v>107</v>
      </c>
      <c r="B107">
        <v>-11.1438022435401</v>
      </c>
      <c r="C107">
        <v>0</v>
      </c>
    </row>
    <row r="108" spans="1:3">
      <c r="A108">
        <v>108</v>
      </c>
      <c r="B108">
        <v>-12.0331601763093</v>
      </c>
      <c r="C108">
        <v>0</v>
      </c>
    </row>
    <row r="109" spans="1:3">
      <c r="A109">
        <v>109</v>
      </c>
      <c r="B109">
        <v>-11.7199431090785</v>
      </c>
      <c r="C109">
        <v>0</v>
      </c>
    </row>
    <row r="110" spans="1:3">
      <c r="A110">
        <v>110</v>
      </c>
      <c r="B110">
        <v>-12.9222740418477</v>
      </c>
      <c r="C110">
        <v>0</v>
      </c>
    </row>
    <row r="111" spans="1:3">
      <c r="A111">
        <v>111</v>
      </c>
      <c r="B111">
        <v>-14.6125279746169</v>
      </c>
      <c r="C111">
        <v>0</v>
      </c>
    </row>
    <row r="112" spans="1:3">
      <c r="A112">
        <v>112</v>
      </c>
      <c r="B112">
        <v>-16.9656839073861</v>
      </c>
      <c r="C112">
        <v>0</v>
      </c>
    </row>
    <row r="113" spans="1:3">
      <c r="A113">
        <v>113</v>
      </c>
      <c r="B113">
        <v>-15.3044828401554</v>
      </c>
      <c r="C113">
        <v>0</v>
      </c>
    </row>
    <row r="114" spans="1:3">
      <c r="A114">
        <v>114</v>
      </c>
      <c r="B114">
        <v>-15.8118747729246</v>
      </c>
      <c r="C114">
        <v>0</v>
      </c>
    </row>
    <row r="115" spans="1:3">
      <c r="A115">
        <v>115</v>
      </c>
      <c r="B115">
        <v>-14.0989377056938</v>
      </c>
      <c r="C115">
        <v>0</v>
      </c>
    </row>
    <row r="116" spans="1:3">
      <c r="A116">
        <v>116</v>
      </c>
      <c r="B116">
        <v>-14.293364638463</v>
      </c>
      <c r="C116">
        <v>0</v>
      </c>
    </row>
    <row r="117" spans="1:3">
      <c r="A117">
        <v>117</v>
      </c>
      <c r="B117">
        <v>-15.6681965712322</v>
      </c>
      <c r="C117">
        <v>0</v>
      </c>
    </row>
    <row r="118" spans="1:3">
      <c r="A118">
        <v>118</v>
      </c>
      <c r="B118">
        <v>-13.6570655040014</v>
      </c>
      <c r="C118">
        <v>0</v>
      </c>
    </row>
    <row r="119" spans="1:3">
      <c r="A119">
        <v>119</v>
      </c>
      <c r="B119">
        <v>-12.4049584367706</v>
      </c>
      <c r="C119">
        <v>0</v>
      </c>
    </row>
    <row r="120" spans="1:3">
      <c r="A120">
        <v>120</v>
      </c>
      <c r="B120">
        <v>-13.8142833695398</v>
      </c>
      <c r="C120">
        <v>0</v>
      </c>
    </row>
    <row r="121" spans="1:3">
      <c r="A121">
        <v>121</v>
      </c>
      <c r="B121">
        <v>-13.050092302309</v>
      </c>
      <c r="C121">
        <v>0</v>
      </c>
    </row>
    <row r="122" spans="1:3">
      <c r="A122">
        <v>122</v>
      </c>
      <c r="B122">
        <v>-12.2095152350782</v>
      </c>
      <c r="C122">
        <v>0</v>
      </c>
    </row>
    <row r="123" spans="1:3">
      <c r="A123">
        <v>123</v>
      </c>
      <c r="B123">
        <v>-11.6966821678474</v>
      </c>
      <c r="C123">
        <v>0</v>
      </c>
    </row>
    <row r="124" spans="1:3">
      <c r="A124">
        <v>124</v>
      </c>
      <c r="B124">
        <v>-11.1740071006166</v>
      </c>
      <c r="C124">
        <v>0</v>
      </c>
    </row>
    <row r="125" spans="1:3">
      <c r="A125">
        <v>125</v>
      </c>
      <c r="B125">
        <v>-9.00871603338582</v>
      </c>
      <c r="C125">
        <v>0</v>
      </c>
    </row>
    <row r="126" spans="1:3">
      <c r="A126">
        <v>126</v>
      </c>
      <c r="B126">
        <v>-8.03673096615505</v>
      </c>
      <c r="C126">
        <v>0</v>
      </c>
    </row>
    <row r="127" spans="1:3">
      <c r="A127">
        <v>127</v>
      </c>
      <c r="B127">
        <v>-9.17727889892426</v>
      </c>
      <c r="C127">
        <v>0</v>
      </c>
    </row>
    <row r="128" spans="1:3">
      <c r="A128">
        <v>128</v>
      </c>
      <c r="B128">
        <v>-10.3576758316935</v>
      </c>
      <c r="C128">
        <v>0</v>
      </c>
    </row>
    <row r="129" spans="1:3">
      <c r="A129">
        <v>129</v>
      </c>
      <c r="B129">
        <v>-10.1305557644627</v>
      </c>
      <c r="C129">
        <v>0</v>
      </c>
    </row>
    <row r="130" spans="1:3">
      <c r="A130">
        <v>130</v>
      </c>
      <c r="B130">
        <v>-10.8301626972319</v>
      </c>
      <c r="C130">
        <v>0</v>
      </c>
    </row>
    <row r="131" spans="1:3">
      <c r="A131">
        <v>131</v>
      </c>
      <c r="B131">
        <v>-9.26775363000108</v>
      </c>
      <c r="C131">
        <v>0</v>
      </c>
    </row>
    <row r="132" spans="1:3">
      <c r="A132">
        <v>132</v>
      </c>
      <c r="B132">
        <v>-9.96485956277027</v>
      </c>
      <c r="C132">
        <v>0</v>
      </c>
    </row>
    <row r="133" spans="1:3">
      <c r="A133">
        <v>133</v>
      </c>
      <c r="B133">
        <v>-8.6914284955395</v>
      </c>
      <c r="C133">
        <v>0</v>
      </c>
    </row>
    <row r="134" spans="1:3">
      <c r="A134">
        <v>134</v>
      </c>
      <c r="B134">
        <v>-9.52805242830871</v>
      </c>
      <c r="C134">
        <v>0</v>
      </c>
    </row>
    <row r="135" spans="1:3">
      <c r="A135">
        <v>135</v>
      </c>
      <c r="B135">
        <v>-9.2635563610779</v>
      </c>
      <c r="C135">
        <v>0</v>
      </c>
    </row>
    <row r="136" spans="1:3">
      <c r="A136">
        <v>136</v>
      </c>
      <c r="B136">
        <v>-10.0453702938471</v>
      </c>
      <c r="C136">
        <v>0</v>
      </c>
    </row>
    <row r="137" spans="1:3">
      <c r="A137">
        <v>137</v>
      </c>
      <c r="B137">
        <v>-9.94530222661632</v>
      </c>
      <c r="C137">
        <v>0</v>
      </c>
    </row>
    <row r="138" spans="1:3">
      <c r="A138">
        <v>138</v>
      </c>
      <c r="B138">
        <v>-10.1541341593855</v>
      </c>
      <c r="C138">
        <v>0</v>
      </c>
    </row>
    <row r="139" spans="1:3">
      <c r="A139">
        <v>139</v>
      </c>
      <c r="B139">
        <v>-10.4750720921547</v>
      </c>
      <c r="C139">
        <v>0</v>
      </c>
    </row>
    <row r="140" spans="1:3">
      <c r="A140">
        <v>140</v>
      </c>
      <c r="B140">
        <v>-9.74472502492394</v>
      </c>
      <c r="C140">
        <v>0</v>
      </c>
    </row>
    <row r="141" spans="1:3">
      <c r="A141">
        <v>141</v>
      </c>
      <c r="B141">
        <v>-9.61725195769316</v>
      </c>
      <c r="C141">
        <v>0</v>
      </c>
    </row>
    <row r="142" spans="1:3">
      <c r="A142">
        <v>142</v>
      </c>
      <c r="B142">
        <v>-9.41752989046236</v>
      </c>
      <c r="C142">
        <v>0</v>
      </c>
    </row>
    <row r="143" spans="1:3">
      <c r="A143">
        <v>143</v>
      </c>
      <c r="B143">
        <v>-10.3587748232316</v>
      </c>
      <c r="C143">
        <v>0</v>
      </c>
    </row>
    <row r="144" spans="1:3">
      <c r="A144">
        <v>144</v>
      </c>
      <c r="B144">
        <v>-8.31556175600076</v>
      </c>
      <c r="C144">
        <v>0</v>
      </c>
    </row>
    <row r="145" spans="1:3">
      <c r="A145">
        <v>145</v>
      </c>
      <c r="B145">
        <v>-8.07100868876998</v>
      </c>
      <c r="C145">
        <v>0</v>
      </c>
    </row>
    <row r="146" spans="1:3">
      <c r="A146">
        <v>146</v>
      </c>
      <c r="B146">
        <v>-5.69148362153918</v>
      </c>
      <c r="C146">
        <v>0</v>
      </c>
    </row>
    <row r="147" spans="1:3">
      <c r="A147">
        <v>147</v>
      </c>
      <c r="B147">
        <v>-3.73048455430838</v>
      </c>
      <c r="C147">
        <v>0</v>
      </c>
    </row>
    <row r="148" spans="1:3">
      <c r="A148">
        <v>148</v>
      </c>
      <c r="B148">
        <v>-8.19429048707759</v>
      </c>
      <c r="C148">
        <v>0</v>
      </c>
    </row>
    <row r="149" spans="1:3">
      <c r="A149">
        <v>149</v>
      </c>
      <c r="B149">
        <v>-7.7155534198468</v>
      </c>
      <c r="C149">
        <v>0</v>
      </c>
    </row>
    <row r="150" spans="1:3">
      <c r="A150">
        <v>150</v>
      </c>
      <c r="B150">
        <v>-6.915458352616</v>
      </c>
      <c r="C150">
        <v>0</v>
      </c>
    </row>
    <row r="151" spans="1:3">
      <c r="A151">
        <v>151</v>
      </c>
      <c r="B151">
        <v>-4.89466828538522</v>
      </c>
      <c r="C151">
        <v>0</v>
      </c>
    </row>
    <row r="152" spans="1:3">
      <c r="A152">
        <v>152</v>
      </c>
      <c r="B152">
        <v>-5.26044321815444</v>
      </c>
      <c r="C152">
        <v>0</v>
      </c>
    </row>
    <row r="153" spans="1:3">
      <c r="A153">
        <v>153</v>
      </c>
      <c r="B153">
        <v>-5.46927515092364</v>
      </c>
      <c r="C153">
        <v>0</v>
      </c>
    </row>
    <row r="154" spans="1:3">
      <c r="A154">
        <v>154</v>
      </c>
      <c r="B154">
        <v>-6.21372808369283</v>
      </c>
      <c r="C154">
        <v>0</v>
      </c>
    </row>
    <row r="155" spans="1:3">
      <c r="A155">
        <v>155</v>
      </c>
      <c r="B155">
        <v>-4.17799101646204</v>
      </c>
      <c r="C155">
        <v>0</v>
      </c>
    </row>
    <row r="156" spans="1:3">
      <c r="A156">
        <v>156</v>
      </c>
      <c r="B156">
        <v>-2.51343994923126</v>
      </c>
      <c r="C156">
        <v>0</v>
      </c>
    </row>
    <row r="157" spans="1:3">
      <c r="A157">
        <v>157</v>
      </c>
      <c r="B157">
        <v>-4.36896188200046</v>
      </c>
      <c r="C157">
        <v>0</v>
      </c>
    </row>
    <row r="158" spans="1:3">
      <c r="A158">
        <v>158</v>
      </c>
      <c r="B158">
        <v>-3.42187881476967</v>
      </c>
      <c r="C158">
        <v>0</v>
      </c>
    </row>
    <row r="159" spans="1:3">
      <c r="A159">
        <v>159</v>
      </c>
      <c r="B159">
        <v>-6.45822474753888</v>
      </c>
      <c r="C159">
        <v>0</v>
      </c>
    </row>
    <row r="160" spans="1:3">
      <c r="A160">
        <v>160</v>
      </c>
      <c r="B160">
        <v>-4.67161068030808</v>
      </c>
      <c r="C160">
        <v>0</v>
      </c>
    </row>
    <row r="161" spans="1:3">
      <c r="A161">
        <v>161</v>
      </c>
      <c r="B161">
        <v>-4.16298961307729</v>
      </c>
      <c r="C161">
        <v>0</v>
      </c>
    </row>
    <row r="162" spans="1:3">
      <c r="A162">
        <v>162</v>
      </c>
      <c r="B162">
        <v>-4.57859254584649</v>
      </c>
      <c r="C162">
        <v>0</v>
      </c>
    </row>
    <row r="163" spans="1:3">
      <c r="A163">
        <v>163</v>
      </c>
      <c r="B163">
        <v>-4.8223054786157</v>
      </c>
      <c r="C163">
        <v>0</v>
      </c>
    </row>
    <row r="164" spans="1:3">
      <c r="A164">
        <v>164</v>
      </c>
      <c r="B164">
        <v>-2.63958041138491</v>
      </c>
      <c r="C164">
        <v>0</v>
      </c>
    </row>
    <row r="165" spans="1:3">
      <c r="A165">
        <v>165</v>
      </c>
      <c r="B165">
        <v>-3.17227234415412</v>
      </c>
      <c r="C165">
        <v>0</v>
      </c>
    </row>
    <row r="166" spans="1:3">
      <c r="A166">
        <v>166</v>
      </c>
      <c r="B166">
        <v>-1.25362427692333</v>
      </c>
      <c r="C166">
        <v>0</v>
      </c>
    </row>
    <row r="167" spans="1:3">
      <c r="A167">
        <v>167</v>
      </c>
      <c r="B167">
        <v>-1.08877520969253</v>
      </c>
      <c r="C167">
        <v>0</v>
      </c>
    </row>
    <row r="168" spans="1:3">
      <c r="A168">
        <v>168</v>
      </c>
      <c r="B168">
        <v>-1.16558014246174</v>
      </c>
      <c r="C168">
        <v>0</v>
      </c>
    </row>
    <row r="169" spans="1:3">
      <c r="A169">
        <v>169</v>
      </c>
      <c r="B169">
        <v>-1.85023407523094</v>
      </c>
      <c r="C169">
        <v>0</v>
      </c>
    </row>
    <row r="170" spans="1:3">
      <c r="A170">
        <v>170</v>
      </c>
      <c r="B170">
        <v>-0.519507008000161</v>
      </c>
      <c r="C170">
        <v>0</v>
      </c>
    </row>
    <row r="171" spans="1:3">
      <c r="A171">
        <v>171</v>
      </c>
      <c r="B171">
        <v>-0.0980739407693534</v>
      </c>
      <c r="C171">
        <v>0</v>
      </c>
    </row>
    <row r="172" spans="1:3">
      <c r="A172">
        <v>172</v>
      </c>
      <c r="B172">
        <v>-1.54005187353857</v>
      </c>
      <c r="C172">
        <v>0</v>
      </c>
    </row>
    <row r="173" spans="1:3">
      <c r="A173">
        <v>173</v>
      </c>
      <c r="B173">
        <v>-1.97807780630778</v>
      </c>
      <c r="C173">
        <v>0</v>
      </c>
    </row>
    <row r="174" spans="1:3">
      <c r="A174">
        <v>174</v>
      </c>
      <c r="B174">
        <v>-0.19893273907698</v>
      </c>
      <c r="C174">
        <v>0</v>
      </c>
    </row>
    <row r="175" spans="1:3">
      <c r="A175">
        <v>175</v>
      </c>
      <c r="B175">
        <v>-1.79537567184619</v>
      </c>
      <c r="C175">
        <v>0</v>
      </c>
    </row>
    <row r="176" spans="1:3">
      <c r="A176">
        <v>176</v>
      </c>
      <c r="B176">
        <v>-1.76755060461539</v>
      </c>
      <c r="C176">
        <v>0</v>
      </c>
    </row>
    <row r="177" spans="1:3">
      <c r="A177">
        <v>177</v>
      </c>
      <c r="B177">
        <v>-6.42317453738461</v>
      </c>
      <c r="C177">
        <v>0</v>
      </c>
    </row>
    <row r="178" spans="1:3">
      <c r="A178">
        <v>178</v>
      </c>
      <c r="B178">
        <v>-6.89608247015381</v>
      </c>
      <c r="C178">
        <v>0</v>
      </c>
    </row>
    <row r="179" spans="1:3">
      <c r="A179">
        <v>179</v>
      </c>
      <c r="B179">
        <v>-4.952524402923</v>
      </c>
      <c r="C179">
        <v>0</v>
      </c>
    </row>
    <row r="180" spans="1:3">
      <c r="A180">
        <v>180</v>
      </c>
      <c r="B180">
        <v>-6.74824633569222</v>
      </c>
      <c r="C180">
        <v>0</v>
      </c>
    </row>
    <row r="181" spans="1:3">
      <c r="A181">
        <v>181</v>
      </c>
      <c r="B181">
        <v>-5.21075526846144</v>
      </c>
      <c r="C181">
        <v>0</v>
      </c>
    </row>
    <row r="182" spans="1:3">
      <c r="A182">
        <v>182</v>
      </c>
      <c r="B182">
        <v>-4.30851020123063</v>
      </c>
      <c r="C182">
        <v>0</v>
      </c>
    </row>
    <row r="183" spans="1:3">
      <c r="A183">
        <v>183</v>
      </c>
      <c r="B183">
        <v>5.48234586600016</v>
      </c>
      <c r="C183">
        <v>0</v>
      </c>
    </row>
    <row r="184" spans="1:3">
      <c r="A184">
        <v>184</v>
      </c>
      <c r="B184">
        <v>7.90669993323094</v>
      </c>
      <c r="C184">
        <v>0</v>
      </c>
    </row>
    <row r="185" spans="1:3">
      <c r="A185">
        <v>185</v>
      </c>
      <c r="B185">
        <v>8.38793300046174</v>
      </c>
      <c r="C185">
        <v>0</v>
      </c>
    </row>
    <row r="186" spans="1:3">
      <c r="A186">
        <v>186</v>
      </c>
      <c r="B186">
        <v>8.54031506769255</v>
      </c>
      <c r="C186">
        <v>0</v>
      </c>
    </row>
    <row r="187" spans="1:3">
      <c r="A187">
        <v>187</v>
      </c>
      <c r="B187">
        <v>12.1230861349233</v>
      </c>
      <c r="C187">
        <v>0</v>
      </c>
    </row>
    <row r="188" spans="1:3">
      <c r="A188">
        <v>188</v>
      </c>
      <c r="B188">
        <v>9.29883020215412</v>
      </c>
      <c r="C188">
        <v>0</v>
      </c>
    </row>
    <row r="189" spans="1:3">
      <c r="A189">
        <v>189</v>
      </c>
      <c r="B189">
        <v>10.6673382693849</v>
      </c>
      <c r="C189">
        <v>0</v>
      </c>
    </row>
    <row r="190" spans="1:3">
      <c r="A190">
        <v>190</v>
      </c>
      <c r="B190">
        <v>7.0768923366157</v>
      </c>
      <c r="C190">
        <v>0</v>
      </c>
    </row>
    <row r="191" spans="1:3">
      <c r="A191">
        <v>191</v>
      </c>
      <c r="B191">
        <v>10.4619254038465</v>
      </c>
      <c r="C191">
        <v>0</v>
      </c>
    </row>
    <row r="192" spans="1:3">
      <c r="A192">
        <v>192</v>
      </c>
      <c r="B192">
        <v>12.2147634710773</v>
      </c>
      <c r="C192">
        <v>0</v>
      </c>
    </row>
    <row r="193" spans="1:3">
      <c r="A193">
        <v>193</v>
      </c>
      <c r="B193">
        <v>11.8687325383081</v>
      </c>
      <c r="C193">
        <v>0</v>
      </c>
    </row>
    <row r="194" spans="1:3">
      <c r="A194">
        <v>194</v>
      </c>
      <c r="B194">
        <v>11.3255276055389</v>
      </c>
      <c r="C194">
        <v>0</v>
      </c>
    </row>
    <row r="195" spans="1:3">
      <c r="A195">
        <v>195</v>
      </c>
      <c r="B195">
        <v>12.0351766727697</v>
      </c>
      <c r="C195">
        <v>0</v>
      </c>
    </row>
    <row r="196" spans="1:3">
      <c r="A196">
        <v>196</v>
      </c>
      <c r="B196">
        <v>11.9362087400005</v>
      </c>
      <c r="C196">
        <v>0</v>
      </c>
    </row>
    <row r="197" spans="1:3">
      <c r="A197">
        <v>197</v>
      </c>
      <c r="B197">
        <v>14.2555758072313</v>
      </c>
      <c r="C197">
        <v>0</v>
      </c>
    </row>
    <row r="198" spans="1:3">
      <c r="A198">
        <v>198</v>
      </c>
      <c r="B198">
        <v>20.096365874462</v>
      </c>
      <c r="C198">
        <v>0</v>
      </c>
    </row>
    <row r="199" spans="1:3">
      <c r="A199">
        <v>199</v>
      </c>
      <c r="B199">
        <v>21.3375919416928</v>
      </c>
      <c r="C199">
        <v>0</v>
      </c>
    </row>
    <row r="200" spans="1:3">
      <c r="A200">
        <v>200</v>
      </c>
      <c r="B200">
        <v>20.0631560089236</v>
      </c>
      <c r="C200">
        <v>0</v>
      </c>
    </row>
    <row r="201" spans="1:3">
      <c r="A201">
        <v>201</v>
      </c>
      <c r="B201">
        <v>21.5140230761544</v>
      </c>
      <c r="C201">
        <v>0</v>
      </c>
    </row>
    <row r="202" spans="1:3">
      <c r="A202">
        <v>202</v>
      </c>
      <c r="B202">
        <v>19.7604151433852</v>
      </c>
      <c r="C202">
        <v>0</v>
      </c>
    </row>
    <row r="203" spans="1:3">
      <c r="A203">
        <v>203</v>
      </c>
      <c r="B203">
        <v>19.314553210616</v>
      </c>
      <c r="C203">
        <v>0</v>
      </c>
    </row>
    <row r="204" spans="1:3">
      <c r="A204">
        <v>204</v>
      </c>
      <c r="B204">
        <v>23.2960372778468</v>
      </c>
      <c r="C204">
        <v>0</v>
      </c>
    </row>
    <row r="205" spans="1:3">
      <c r="A205">
        <v>205</v>
      </c>
      <c r="B205">
        <v>28.1834733450776</v>
      </c>
      <c r="C205">
        <v>0</v>
      </c>
    </row>
    <row r="206" spans="1:3">
      <c r="A206">
        <v>206</v>
      </c>
      <c r="B206">
        <v>25.1645534123084</v>
      </c>
      <c r="C206">
        <v>0</v>
      </c>
    </row>
    <row r="207" spans="1:3">
      <c r="A207">
        <v>207</v>
      </c>
      <c r="B207">
        <v>14.4189554795392</v>
      </c>
      <c r="C207">
        <v>0</v>
      </c>
    </row>
    <row r="208" spans="1:3">
      <c r="A208">
        <v>208</v>
      </c>
      <c r="B208">
        <v>14.25510754677</v>
      </c>
      <c r="C208">
        <v>0</v>
      </c>
    </row>
    <row r="209" spans="1:3">
      <c r="A209">
        <v>209</v>
      </c>
      <c r="B209">
        <v>5.88541761400076</v>
      </c>
      <c r="C209">
        <v>0</v>
      </c>
    </row>
    <row r="210" spans="1:3">
      <c r="A210">
        <v>210</v>
      </c>
      <c r="B210">
        <v>10.1339536812316</v>
      </c>
      <c r="C210">
        <v>0</v>
      </c>
    </row>
    <row r="211" spans="1:3">
      <c r="A211">
        <v>211</v>
      </c>
      <c r="B211">
        <v>6.06683774846236</v>
      </c>
      <c r="C211">
        <v>0</v>
      </c>
    </row>
    <row r="212" spans="1:3">
      <c r="A212">
        <v>212</v>
      </c>
      <c r="B212">
        <v>4.33569081569316</v>
      </c>
      <c r="C212">
        <v>0</v>
      </c>
    </row>
    <row r="213" spans="1:3">
      <c r="A213">
        <v>213</v>
      </c>
      <c r="B213">
        <v>7.44618788292394</v>
      </c>
      <c r="C213">
        <v>0</v>
      </c>
    </row>
    <row r="214" spans="1:3">
      <c r="A214">
        <v>214</v>
      </c>
      <c r="B214">
        <v>7.38216995015473</v>
      </c>
      <c r="C214">
        <v>0</v>
      </c>
    </row>
    <row r="215" spans="1:3">
      <c r="A215">
        <v>215</v>
      </c>
      <c r="B215">
        <v>3.73432801738552</v>
      </c>
      <c r="C215">
        <v>0</v>
      </c>
    </row>
    <row r="216" spans="1:3">
      <c r="A216">
        <v>216</v>
      </c>
      <c r="B216">
        <v>1.70369608461631</v>
      </c>
      <c r="C216">
        <v>0</v>
      </c>
    </row>
    <row r="217" spans="1:3">
      <c r="A217">
        <v>217</v>
      </c>
      <c r="B217">
        <v>-2.03398884815289</v>
      </c>
      <c r="C217">
        <v>0</v>
      </c>
    </row>
    <row r="218" spans="1:3">
      <c r="A218">
        <v>218</v>
      </c>
      <c r="B218">
        <v>0.956718219077914</v>
      </c>
      <c r="C218">
        <v>0</v>
      </c>
    </row>
    <row r="219" spans="1:3">
      <c r="A219">
        <v>219</v>
      </c>
      <c r="B219">
        <v>2.44002628630869</v>
      </c>
      <c r="C219">
        <v>0</v>
      </c>
    </row>
    <row r="220" spans="1:3">
      <c r="A220">
        <v>220</v>
      </c>
      <c r="B220">
        <v>-2.48560964646052</v>
      </c>
      <c r="C220">
        <v>0</v>
      </c>
    </row>
    <row r="221" spans="1:3">
      <c r="A221">
        <v>221</v>
      </c>
      <c r="B221">
        <v>-1.63121657922972</v>
      </c>
      <c r="C221">
        <v>0</v>
      </c>
    </row>
    <row r="222" spans="1:3">
      <c r="A222">
        <v>222</v>
      </c>
      <c r="B222">
        <v>2.17807948800107</v>
      </c>
      <c r="C222">
        <v>0</v>
      </c>
    </row>
    <row r="223" spans="1:3">
      <c r="A223">
        <v>223</v>
      </c>
      <c r="B223">
        <v>4.60975155523187</v>
      </c>
      <c r="C223">
        <v>0</v>
      </c>
    </row>
    <row r="224" spans="1:3">
      <c r="A224">
        <v>224</v>
      </c>
      <c r="B224">
        <v>3.49753062246266</v>
      </c>
      <c r="C224">
        <v>0</v>
      </c>
    </row>
    <row r="225" spans="1:3">
      <c r="A225">
        <v>225</v>
      </c>
      <c r="B225">
        <v>4.97085868969346</v>
      </c>
      <c r="C225">
        <v>0</v>
      </c>
    </row>
    <row r="226" spans="1:3">
      <c r="A226">
        <v>226</v>
      </c>
      <c r="B226">
        <v>5.70546375692425</v>
      </c>
      <c r="C226">
        <v>0</v>
      </c>
    </row>
    <row r="227" spans="1:3">
      <c r="A227">
        <v>227</v>
      </c>
      <c r="B227">
        <v>1.69823882415504</v>
      </c>
      <c r="C227">
        <v>0</v>
      </c>
    </row>
    <row r="228" spans="1:3">
      <c r="A228">
        <v>228</v>
      </c>
      <c r="B228">
        <v>4.92853289138584</v>
      </c>
      <c r="C228">
        <v>0</v>
      </c>
    </row>
    <row r="229" spans="1:3">
      <c r="A229">
        <v>229</v>
      </c>
      <c r="B229">
        <v>1.35057595861662</v>
      </c>
      <c r="C229">
        <v>0</v>
      </c>
    </row>
    <row r="230" spans="1:3">
      <c r="A230">
        <v>230</v>
      </c>
      <c r="B230">
        <v>3.02355702584741</v>
      </c>
      <c r="C230">
        <v>0</v>
      </c>
    </row>
    <row r="231" spans="1:3">
      <c r="A231">
        <v>231</v>
      </c>
      <c r="B231">
        <v>2.6700270930782</v>
      </c>
      <c r="C231">
        <v>0</v>
      </c>
    </row>
    <row r="232" spans="1:3">
      <c r="A232">
        <v>232</v>
      </c>
      <c r="B232">
        <v>4.42287316030901</v>
      </c>
      <c r="C232">
        <v>0</v>
      </c>
    </row>
    <row r="233" spans="1:3">
      <c r="A233">
        <v>233</v>
      </c>
      <c r="B233">
        <v>11.5963662275398</v>
      </c>
      <c r="C233">
        <v>0</v>
      </c>
    </row>
    <row r="234" spans="1:3">
      <c r="A234">
        <v>234</v>
      </c>
      <c r="B234">
        <v>8.05833429477059</v>
      </c>
      <c r="C234">
        <v>0</v>
      </c>
    </row>
    <row r="235" spans="1:3">
      <c r="A235">
        <v>235</v>
      </c>
      <c r="B235">
        <v>7.90446436200139</v>
      </c>
      <c r="C235">
        <v>0</v>
      </c>
    </row>
    <row r="236" spans="1:3">
      <c r="A236">
        <v>236</v>
      </c>
      <c r="B236">
        <v>7.18158042923217</v>
      </c>
      <c r="C236">
        <v>0</v>
      </c>
    </row>
    <row r="237" spans="1:3">
      <c r="A237">
        <v>237</v>
      </c>
      <c r="B237">
        <v>5.25077149646296</v>
      </c>
      <c r="C237">
        <v>0</v>
      </c>
    </row>
    <row r="238" spans="1:3">
      <c r="A238">
        <v>238</v>
      </c>
      <c r="B238">
        <v>1.97229956369377</v>
      </c>
      <c r="C238">
        <v>0</v>
      </c>
    </row>
    <row r="239" spans="1:3">
      <c r="A239">
        <v>239</v>
      </c>
      <c r="B239">
        <v>3.25595263092455</v>
      </c>
      <c r="C239">
        <v>0</v>
      </c>
    </row>
    <row r="240" spans="1:3">
      <c r="A240">
        <v>240</v>
      </c>
      <c r="B240">
        <v>2.37334669815534</v>
      </c>
      <c r="C240">
        <v>0</v>
      </c>
    </row>
    <row r="241" spans="1:3">
      <c r="A241">
        <v>241</v>
      </c>
      <c r="B241">
        <v>1.01155376538614</v>
      </c>
      <c r="C241">
        <v>0</v>
      </c>
    </row>
    <row r="242" spans="1:3">
      <c r="A242">
        <v>242</v>
      </c>
      <c r="B242">
        <v>0.0590698326169417</v>
      </c>
      <c r="C242">
        <v>0</v>
      </c>
    </row>
    <row r="243" spans="1:3">
      <c r="A243">
        <v>243</v>
      </c>
      <c r="B243">
        <v>-0.17466410015227</v>
      </c>
      <c r="C243">
        <v>0</v>
      </c>
    </row>
    <row r="244" spans="1:3">
      <c r="A244">
        <v>244</v>
      </c>
      <c r="B244">
        <v>1.12894896707853</v>
      </c>
      <c r="C244">
        <v>0</v>
      </c>
    </row>
    <row r="245" spans="1:3">
      <c r="A245">
        <v>245</v>
      </c>
      <c r="B245">
        <v>-4.50546596569069</v>
      </c>
      <c r="C245">
        <v>0</v>
      </c>
    </row>
    <row r="246" spans="1:3">
      <c r="A246">
        <v>246</v>
      </c>
      <c r="B246">
        <v>-0.636270898459884</v>
      </c>
      <c r="C246">
        <v>0</v>
      </c>
    </row>
    <row r="247" spans="1:3">
      <c r="A247">
        <v>247</v>
      </c>
      <c r="B247">
        <v>-7.3288518312291</v>
      </c>
      <c r="C247">
        <v>0</v>
      </c>
    </row>
    <row r="248" spans="1:3">
      <c r="A248">
        <v>248</v>
      </c>
      <c r="B248">
        <v>-7.66241676399832</v>
      </c>
      <c r="C248">
        <v>0</v>
      </c>
    </row>
    <row r="249" spans="1:3">
      <c r="A249">
        <v>249</v>
      </c>
      <c r="B249">
        <v>-6.23899969676752</v>
      </c>
      <c r="C249">
        <v>0</v>
      </c>
    </row>
    <row r="250" spans="1:3">
      <c r="A250">
        <v>250</v>
      </c>
      <c r="B250">
        <v>-1.98048462953672</v>
      </c>
      <c r="C250">
        <v>0</v>
      </c>
    </row>
    <row r="251" spans="1:3">
      <c r="A251">
        <v>251</v>
      </c>
      <c r="B251">
        <v>1.84877743769407</v>
      </c>
      <c r="C251">
        <v>0</v>
      </c>
    </row>
    <row r="252" spans="1:3">
      <c r="A252">
        <v>252</v>
      </c>
      <c r="B252">
        <v>1.47006950492487</v>
      </c>
      <c r="C252">
        <v>0</v>
      </c>
    </row>
    <row r="253" spans="1:3">
      <c r="A253">
        <v>1</v>
      </c>
      <c r="B253">
        <v>56.0479863700041</v>
      </c>
      <c r="C253">
        <v>55.291519</v>
      </c>
    </row>
    <row r="254" spans="1:3">
      <c r="A254">
        <v>2</v>
      </c>
      <c r="B254">
        <v>56.2916993027734</v>
      </c>
      <c r="C254">
        <v>56.491634</v>
      </c>
    </row>
    <row r="255" spans="1:3">
      <c r="A255">
        <v>3</v>
      </c>
      <c r="B255">
        <v>56.5354122355426</v>
      </c>
      <c r="C255">
        <v>59.367474</v>
      </c>
    </row>
    <row r="256" spans="1:3">
      <c r="A256">
        <v>4</v>
      </c>
      <c r="B256">
        <v>56.7791251683118</v>
      </c>
      <c r="C256">
        <v>59.490692</v>
      </c>
    </row>
    <row r="257" spans="1:3">
      <c r="A257">
        <v>5</v>
      </c>
      <c r="B257">
        <v>57.022838101081</v>
      </c>
      <c r="C257">
        <v>59.687832</v>
      </c>
    </row>
    <row r="258" spans="1:3">
      <c r="A258">
        <v>6</v>
      </c>
      <c r="B258">
        <v>57.2665510338502</v>
      </c>
      <c r="C258">
        <v>60.321156</v>
      </c>
    </row>
    <row r="259" spans="1:3">
      <c r="A259">
        <v>7</v>
      </c>
      <c r="B259">
        <v>57.5102639666194</v>
      </c>
      <c r="C259">
        <v>60.35812</v>
      </c>
    </row>
    <row r="260" spans="1:3">
      <c r="A260">
        <v>8</v>
      </c>
      <c r="B260">
        <v>57.7539768993886</v>
      </c>
      <c r="C260">
        <v>60.503517</v>
      </c>
    </row>
    <row r="261" spans="1:3">
      <c r="A261">
        <v>9</v>
      </c>
      <c r="B261">
        <v>57.9976898321578</v>
      </c>
      <c r="C261">
        <v>60.786911</v>
      </c>
    </row>
    <row r="262" spans="1:3">
      <c r="A262">
        <v>10</v>
      </c>
      <c r="B262">
        <v>58.241402764927</v>
      </c>
      <c r="C262">
        <v>60.838661</v>
      </c>
    </row>
    <row r="263" spans="1:3">
      <c r="A263">
        <v>11</v>
      </c>
      <c r="B263">
        <v>58.4851156976962</v>
      </c>
      <c r="C263">
        <v>61.050594</v>
      </c>
    </row>
    <row r="264" spans="1:3">
      <c r="A264">
        <v>12</v>
      </c>
      <c r="B264">
        <v>58.7288286304654</v>
      </c>
      <c r="C264">
        <v>61.171341</v>
      </c>
    </row>
    <row r="265" spans="1:3">
      <c r="A265">
        <v>13</v>
      </c>
      <c r="B265">
        <v>58.9725415632346</v>
      </c>
      <c r="C265">
        <v>62.312309</v>
      </c>
    </row>
    <row r="266" spans="1:3">
      <c r="A266">
        <v>14</v>
      </c>
      <c r="B266">
        <v>59.2162544960038</v>
      </c>
      <c r="C266">
        <v>62.664707</v>
      </c>
    </row>
    <row r="267" spans="1:3">
      <c r="A267">
        <v>15</v>
      </c>
      <c r="B267">
        <v>59.459967428773</v>
      </c>
      <c r="C267">
        <v>62.79285</v>
      </c>
    </row>
    <row r="268" spans="1:3">
      <c r="A268">
        <v>16</v>
      </c>
      <c r="B268">
        <v>59.7036803615423</v>
      </c>
      <c r="C268">
        <v>63.687393</v>
      </c>
    </row>
    <row r="269" spans="1:3">
      <c r="A269">
        <v>17</v>
      </c>
      <c r="B269">
        <v>59.9473932943115</v>
      </c>
      <c r="C269">
        <v>63.784916</v>
      </c>
    </row>
    <row r="270" spans="1:3">
      <c r="A270">
        <v>18</v>
      </c>
      <c r="B270">
        <v>60.1911062270807</v>
      </c>
      <c r="C270">
        <v>63.931355</v>
      </c>
    </row>
    <row r="271" spans="1:3">
      <c r="A271">
        <v>19</v>
      </c>
      <c r="B271">
        <v>60.4348191598499</v>
      </c>
      <c r="C271">
        <v>63.954544</v>
      </c>
    </row>
    <row r="272" spans="1:3">
      <c r="A272">
        <v>20</v>
      </c>
      <c r="B272">
        <v>60.6785320926191</v>
      </c>
      <c r="C272">
        <v>64.347893</v>
      </c>
    </row>
    <row r="273" spans="1:3">
      <c r="A273">
        <v>21</v>
      </c>
      <c r="B273">
        <v>60.9222450253883</v>
      </c>
      <c r="C273">
        <v>64.357727</v>
      </c>
    </row>
    <row r="274" spans="1:3">
      <c r="A274">
        <v>22</v>
      </c>
      <c r="B274">
        <v>61.1659579581575</v>
      </c>
      <c r="C274">
        <v>64.401978</v>
      </c>
    </row>
    <row r="275" spans="1:3">
      <c r="A275">
        <v>23</v>
      </c>
      <c r="B275">
        <v>61.4096708909267</v>
      </c>
      <c r="C275">
        <v>64.414268</v>
      </c>
    </row>
    <row r="276" spans="1:3">
      <c r="A276">
        <v>24</v>
      </c>
      <c r="B276">
        <v>61.6533838236959</v>
      </c>
      <c r="C276">
        <v>64.460991</v>
      </c>
    </row>
    <row r="277" spans="1:3">
      <c r="A277">
        <v>25</v>
      </c>
      <c r="B277">
        <v>61.8970967564651</v>
      </c>
      <c r="C277">
        <v>64.56916</v>
      </c>
    </row>
    <row r="278" spans="1:3">
      <c r="A278">
        <v>26</v>
      </c>
      <c r="B278">
        <v>62.1408096892343</v>
      </c>
      <c r="C278">
        <v>64.680504</v>
      </c>
    </row>
    <row r="279" spans="1:3">
      <c r="A279">
        <v>27</v>
      </c>
      <c r="B279">
        <v>62.3845226220035</v>
      </c>
      <c r="C279">
        <v>64.704376</v>
      </c>
    </row>
    <row r="280" spans="1:3">
      <c r="A280">
        <v>28</v>
      </c>
      <c r="B280">
        <v>62.6282355547727</v>
      </c>
      <c r="C280">
        <v>64.942841</v>
      </c>
    </row>
    <row r="281" spans="1:3">
      <c r="A281">
        <v>29</v>
      </c>
      <c r="B281">
        <v>62.8719484875419</v>
      </c>
      <c r="C281">
        <v>64.974815</v>
      </c>
    </row>
    <row r="282" spans="1:3">
      <c r="A282">
        <v>30</v>
      </c>
      <c r="B282">
        <v>63.1156614203111</v>
      </c>
      <c r="C282">
        <v>65.019051</v>
      </c>
    </row>
    <row r="283" spans="1:3">
      <c r="A283">
        <v>31</v>
      </c>
      <c r="B283">
        <v>63.3593743530804</v>
      </c>
      <c r="C283">
        <v>65.291946</v>
      </c>
    </row>
    <row r="284" spans="1:3">
      <c r="A284">
        <v>32</v>
      </c>
      <c r="B284">
        <v>63.6030872858496</v>
      </c>
      <c r="C284">
        <v>65.336212</v>
      </c>
    </row>
    <row r="285" spans="1:3">
      <c r="A285">
        <v>33</v>
      </c>
      <c r="B285">
        <v>63.8468002186188</v>
      </c>
      <c r="C285">
        <v>65.466507</v>
      </c>
    </row>
    <row r="286" spans="1:3">
      <c r="A286">
        <v>34</v>
      </c>
      <c r="B286">
        <v>64.090513151388</v>
      </c>
      <c r="C286">
        <v>65.486168</v>
      </c>
    </row>
    <row r="287" spans="1:3">
      <c r="A287">
        <v>35</v>
      </c>
      <c r="B287">
        <v>64.3342260841572</v>
      </c>
      <c r="C287">
        <v>65.567657</v>
      </c>
    </row>
    <row r="288" spans="1:3">
      <c r="A288">
        <v>36</v>
      </c>
      <c r="B288">
        <v>64.5779390169264</v>
      </c>
      <c r="C288">
        <v>65.592308</v>
      </c>
    </row>
    <row r="289" spans="1:3">
      <c r="A289">
        <v>37</v>
      </c>
      <c r="B289">
        <v>64.8216519496956</v>
      </c>
      <c r="C289">
        <v>65.621384</v>
      </c>
    </row>
    <row r="290" spans="1:3">
      <c r="A290">
        <v>38</v>
      </c>
      <c r="B290">
        <v>65.0653648824648</v>
      </c>
      <c r="C290">
        <v>65.665634</v>
      </c>
    </row>
    <row r="291" spans="1:3">
      <c r="A291">
        <v>39</v>
      </c>
      <c r="B291">
        <v>65.309077815234</v>
      </c>
      <c r="C291">
        <v>65.702515</v>
      </c>
    </row>
    <row r="292" spans="1:3">
      <c r="A292">
        <v>40</v>
      </c>
      <c r="B292">
        <v>65.5527907480032</v>
      </c>
      <c r="C292">
        <v>65.847565</v>
      </c>
    </row>
    <row r="293" spans="1:3">
      <c r="A293">
        <v>41</v>
      </c>
      <c r="B293">
        <v>65.7965036807724</v>
      </c>
      <c r="C293">
        <v>66.004898</v>
      </c>
    </row>
    <row r="294" spans="1:3">
      <c r="A294">
        <v>42</v>
      </c>
      <c r="B294">
        <v>66.0402166135416</v>
      </c>
      <c r="C294">
        <v>66.040802</v>
      </c>
    </row>
    <row r="295" spans="1:3">
      <c r="A295">
        <v>43</v>
      </c>
      <c r="B295">
        <v>66.2839295463108</v>
      </c>
      <c r="C295">
        <v>66.134438</v>
      </c>
    </row>
    <row r="296" spans="1:3">
      <c r="A296">
        <v>44</v>
      </c>
      <c r="B296">
        <v>66.5276424790801</v>
      </c>
      <c r="C296">
        <v>66.553131</v>
      </c>
    </row>
    <row r="297" spans="1:3">
      <c r="A297">
        <v>45</v>
      </c>
      <c r="B297">
        <v>66.7713554118493</v>
      </c>
      <c r="C297">
        <v>66.567886</v>
      </c>
    </row>
    <row r="298" spans="1:3">
      <c r="A298">
        <v>46</v>
      </c>
      <c r="B298">
        <v>67.0150683446185</v>
      </c>
      <c r="C298">
        <v>66.737518</v>
      </c>
    </row>
    <row r="299" spans="1:3">
      <c r="A299">
        <v>47</v>
      </c>
      <c r="B299">
        <v>67.2587812773877</v>
      </c>
      <c r="C299">
        <v>67.337029</v>
      </c>
    </row>
    <row r="300" spans="1:3">
      <c r="A300">
        <v>48</v>
      </c>
      <c r="B300">
        <v>67.5024942101569</v>
      </c>
      <c r="C300">
        <v>67.364128</v>
      </c>
    </row>
    <row r="301" spans="1:3">
      <c r="A301">
        <v>49</v>
      </c>
      <c r="B301">
        <v>67.7462071429261</v>
      </c>
      <c r="C301">
        <v>67.403557</v>
      </c>
    </row>
    <row r="302" spans="1:3">
      <c r="A302">
        <v>50</v>
      </c>
      <c r="B302">
        <v>67.9899200756953</v>
      </c>
      <c r="C302">
        <v>67.644707</v>
      </c>
    </row>
    <row r="303" spans="1:3">
      <c r="A303">
        <v>51</v>
      </c>
      <c r="B303">
        <v>68.2336330084645</v>
      </c>
      <c r="C303">
        <v>67.775673</v>
      </c>
    </row>
    <row r="304" spans="1:3">
      <c r="A304">
        <v>52</v>
      </c>
      <c r="B304">
        <v>68.4773459412337</v>
      </c>
      <c r="C304">
        <v>67.874245</v>
      </c>
    </row>
    <row r="305" spans="1:3">
      <c r="A305">
        <v>53</v>
      </c>
      <c r="B305">
        <v>68.7210588740029</v>
      </c>
      <c r="C305">
        <v>68.039352</v>
      </c>
    </row>
    <row r="306" spans="1:3">
      <c r="A306">
        <v>54</v>
      </c>
      <c r="B306">
        <v>68.9647718067721</v>
      </c>
      <c r="C306">
        <v>68.243881</v>
      </c>
    </row>
    <row r="307" spans="1:3">
      <c r="A307">
        <v>55</v>
      </c>
      <c r="B307">
        <v>69.2084847395413</v>
      </c>
      <c r="C307">
        <v>68.500175</v>
      </c>
    </row>
    <row r="308" spans="1:3">
      <c r="A308">
        <v>56</v>
      </c>
      <c r="B308">
        <v>69.4521976723105</v>
      </c>
      <c r="C308">
        <v>68.65049</v>
      </c>
    </row>
    <row r="309" spans="1:3">
      <c r="A309">
        <v>57</v>
      </c>
      <c r="B309">
        <v>69.6959106050797</v>
      </c>
      <c r="C309">
        <v>68.699387</v>
      </c>
    </row>
    <row r="310" spans="1:3">
      <c r="A310">
        <v>58</v>
      </c>
      <c r="B310">
        <v>69.939623537849</v>
      </c>
      <c r="C310">
        <v>68.773132</v>
      </c>
    </row>
    <row r="311" spans="1:3">
      <c r="A311">
        <v>59</v>
      </c>
      <c r="B311">
        <v>70.1833364706182</v>
      </c>
      <c r="C311">
        <v>68.802635</v>
      </c>
    </row>
    <row r="312" spans="1:3">
      <c r="A312">
        <v>60</v>
      </c>
      <c r="B312">
        <v>70.4270494033874</v>
      </c>
      <c r="C312">
        <v>68.841965</v>
      </c>
    </row>
    <row r="313" spans="1:3">
      <c r="A313">
        <v>61</v>
      </c>
      <c r="B313">
        <v>70.6707623361566</v>
      </c>
      <c r="C313">
        <v>68.937851</v>
      </c>
    </row>
    <row r="314" spans="1:3">
      <c r="A314">
        <v>62</v>
      </c>
      <c r="B314">
        <v>70.9144752689258</v>
      </c>
      <c r="C314">
        <v>69.690422</v>
      </c>
    </row>
    <row r="315" spans="1:3">
      <c r="A315">
        <v>63</v>
      </c>
      <c r="B315">
        <v>71.158188201695</v>
      </c>
      <c r="C315">
        <v>69.732323</v>
      </c>
    </row>
    <row r="316" spans="1:3">
      <c r="A316">
        <v>64</v>
      </c>
      <c r="B316">
        <v>71.4019011344642</v>
      </c>
      <c r="C316">
        <v>69.781609</v>
      </c>
    </row>
    <row r="317" spans="1:3">
      <c r="A317">
        <v>65</v>
      </c>
      <c r="B317">
        <v>71.6456140672334</v>
      </c>
      <c r="C317">
        <v>69.820442</v>
      </c>
    </row>
    <row r="318" spans="1:3">
      <c r="A318">
        <v>66</v>
      </c>
      <c r="B318">
        <v>71.8893270000026</v>
      </c>
      <c r="C318">
        <v>69.886818</v>
      </c>
    </row>
    <row r="319" spans="1:3">
      <c r="A319">
        <v>67</v>
      </c>
      <c r="B319">
        <v>72.1330399327718</v>
      </c>
      <c r="C319">
        <v>70.09211</v>
      </c>
    </row>
    <row r="320" spans="1:3">
      <c r="A320">
        <v>68</v>
      </c>
      <c r="B320">
        <v>72.376752865541</v>
      </c>
      <c r="C320">
        <v>70.316368</v>
      </c>
    </row>
    <row r="321" spans="1:3">
      <c r="A321">
        <v>69</v>
      </c>
      <c r="B321">
        <v>72.6204657983102</v>
      </c>
      <c r="C321">
        <v>70.64904</v>
      </c>
    </row>
    <row r="322" spans="1:3">
      <c r="A322">
        <v>70</v>
      </c>
      <c r="B322">
        <v>72.8641787310794</v>
      </c>
      <c r="C322">
        <v>70.737755</v>
      </c>
    </row>
    <row r="323" spans="1:3">
      <c r="A323">
        <v>71</v>
      </c>
      <c r="B323">
        <v>73.1078916638486</v>
      </c>
      <c r="C323">
        <v>70.905334</v>
      </c>
    </row>
    <row r="324" spans="1:3">
      <c r="A324">
        <v>72</v>
      </c>
      <c r="B324">
        <v>73.3516045966178</v>
      </c>
      <c r="C324">
        <v>70.991577</v>
      </c>
    </row>
    <row r="325" spans="1:3">
      <c r="A325">
        <v>73</v>
      </c>
      <c r="B325">
        <v>73.5953175293871</v>
      </c>
      <c r="C325">
        <v>71.225685</v>
      </c>
    </row>
    <row r="326" spans="1:3">
      <c r="A326">
        <v>74</v>
      </c>
      <c r="B326">
        <v>73.8390304621563</v>
      </c>
      <c r="C326">
        <v>71.235542</v>
      </c>
    </row>
    <row r="327" spans="1:3">
      <c r="A327">
        <v>75</v>
      </c>
      <c r="B327">
        <v>74.0827433949255</v>
      </c>
      <c r="C327">
        <v>71.246353</v>
      </c>
    </row>
    <row r="328" spans="1:3">
      <c r="A328">
        <v>76</v>
      </c>
      <c r="B328">
        <v>74.3264563276947</v>
      </c>
      <c r="C328">
        <v>71.273392</v>
      </c>
    </row>
    <row r="329" spans="1:3">
      <c r="A329">
        <v>77</v>
      </c>
      <c r="B329">
        <v>74.5701692604639</v>
      </c>
      <c r="C329">
        <v>71.297157</v>
      </c>
    </row>
    <row r="330" spans="1:3">
      <c r="A330">
        <v>78</v>
      </c>
      <c r="B330">
        <v>74.8138821932331</v>
      </c>
      <c r="C330">
        <v>71.669212</v>
      </c>
    </row>
    <row r="331" spans="1:3">
      <c r="A331">
        <v>79</v>
      </c>
      <c r="B331">
        <v>75.0575951260023</v>
      </c>
      <c r="C331">
        <v>72.117767</v>
      </c>
    </row>
    <row r="332" spans="1:3">
      <c r="A332">
        <v>80</v>
      </c>
      <c r="B332">
        <v>75.3013080587715</v>
      </c>
      <c r="C332">
        <v>72.184303</v>
      </c>
    </row>
    <row r="333" spans="1:3">
      <c r="A333">
        <v>81</v>
      </c>
      <c r="B333">
        <v>75.5450209915407</v>
      </c>
      <c r="C333">
        <v>72.192863</v>
      </c>
    </row>
    <row r="334" spans="1:3">
      <c r="A334">
        <v>82</v>
      </c>
      <c r="B334">
        <v>75.7887339243099</v>
      </c>
      <c r="C334">
        <v>72.243446</v>
      </c>
    </row>
    <row r="335" spans="1:3">
      <c r="A335">
        <v>83</v>
      </c>
      <c r="B335">
        <v>76.0324468570791</v>
      </c>
      <c r="C335">
        <v>72.401154</v>
      </c>
    </row>
    <row r="336" spans="1:3">
      <c r="A336">
        <v>84</v>
      </c>
      <c r="B336">
        <v>76.2761597898483</v>
      </c>
      <c r="C336">
        <v>73.122154</v>
      </c>
    </row>
    <row r="337" spans="1:3">
      <c r="A337">
        <v>85</v>
      </c>
      <c r="B337">
        <v>76.5198727226175</v>
      </c>
      <c r="C337">
        <v>73.327736</v>
      </c>
    </row>
    <row r="338" spans="1:3">
      <c r="A338">
        <v>86</v>
      </c>
      <c r="B338">
        <v>76.7635856553867</v>
      </c>
      <c r="C338">
        <v>73.358185</v>
      </c>
    </row>
    <row r="339" spans="1:3">
      <c r="A339">
        <v>87</v>
      </c>
      <c r="B339">
        <v>77.007298588156</v>
      </c>
      <c r="C339">
        <v>73.480522</v>
      </c>
    </row>
    <row r="340" spans="1:3">
      <c r="A340">
        <v>88</v>
      </c>
      <c r="B340">
        <v>77.2510115209252</v>
      </c>
      <c r="C340">
        <v>73.635773</v>
      </c>
    </row>
    <row r="341" spans="1:3">
      <c r="A341">
        <v>89</v>
      </c>
      <c r="B341">
        <v>77.4947244536944</v>
      </c>
      <c r="C341">
        <v>73.704819</v>
      </c>
    </row>
    <row r="342" spans="1:3">
      <c r="A342">
        <v>90</v>
      </c>
      <c r="B342">
        <v>77.7384373864636</v>
      </c>
      <c r="C342">
        <v>73.840042</v>
      </c>
    </row>
    <row r="343" spans="1:3">
      <c r="A343">
        <v>91</v>
      </c>
      <c r="B343">
        <v>77.9821503192328</v>
      </c>
      <c r="C343">
        <v>74.084282</v>
      </c>
    </row>
    <row r="344" spans="1:3">
      <c r="A344">
        <v>92</v>
      </c>
      <c r="B344">
        <v>78.225863252002</v>
      </c>
      <c r="C344">
        <v>74.538239</v>
      </c>
    </row>
    <row r="345" spans="1:3">
      <c r="A345">
        <v>93</v>
      </c>
      <c r="B345">
        <v>78.4695761847712</v>
      </c>
      <c r="C345">
        <v>74.60424</v>
      </c>
    </row>
    <row r="346" spans="1:3">
      <c r="A346">
        <v>94</v>
      </c>
      <c r="B346">
        <v>78.7132891175404</v>
      </c>
      <c r="C346">
        <v>74.85067</v>
      </c>
    </row>
    <row r="347" spans="1:3">
      <c r="A347">
        <v>95</v>
      </c>
      <c r="B347">
        <v>78.9570020503096</v>
      </c>
      <c r="C347">
        <v>75.883018</v>
      </c>
    </row>
    <row r="348" spans="1:3">
      <c r="A348">
        <v>96</v>
      </c>
      <c r="B348">
        <v>79.2007149830788</v>
      </c>
      <c r="C348">
        <v>75.954315</v>
      </c>
    </row>
    <row r="349" spans="1:3">
      <c r="A349">
        <v>97</v>
      </c>
      <c r="B349">
        <v>79.444427915848</v>
      </c>
      <c r="C349">
        <v>76.091995</v>
      </c>
    </row>
    <row r="350" spans="1:3">
      <c r="A350">
        <v>98</v>
      </c>
      <c r="B350">
        <v>79.6881408486172</v>
      </c>
      <c r="C350">
        <v>76.121498</v>
      </c>
    </row>
    <row r="351" spans="1:3">
      <c r="A351">
        <v>99</v>
      </c>
      <c r="B351">
        <v>79.9318537813865</v>
      </c>
      <c r="C351">
        <v>76.293579</v>
      </c>
    </row>
    <row r="352" spans="1:3">
      <c r="A352">
        <v>100</v>
      </c>
      <c r="B352">
        <v>80.1755667141556</v>
      </c>
      <c r="C352">
        <v>76.541885</v>
      </c>
    </row>
    <row r="353" spans="1:3">
      <c r="A353">
        <v>101</v>
      </c>
      <c r="B353">
        <v>80.4192796469249</v>
      </c>
      <c r="C353">
        <v>76.641853</v>
      </c>
    </row>
    <row r="354" spans="1:3">
      <c r="A354">
        <v>102</v>
      </c>
      <c r="B354">
        <v>80.6629925796941</v>
      </c>
      <c r="C354">
        <v>76.656792</v>
      </c>
    </row>
    <row r="355" spans="1:3">
      <c r="A355">
        <v>103</v>
      </c>
      <c r="B355">
        <v>80.9067055124633</v>
      </c>
      <c r="C355">
        <v>76.871323</v>
      </c>
    </row>
    <row r="356" spans="1:3">
      <c r="A356">
        <v>104</v>
      </c>
      <c r="B356">
        <v>81.1504184452325</v>
      </c>
      <c r="C356">
        <v>77.112686</v>
      </c>
    </row>
    <row r="357" spans="1:3">
      <c r="A357">
        <v>105</v>
      </c>
      <c r="B357">
        <v>81.3941313780017</v>
      </c>
      <c r="C357">
        <v>77.144943</v>
      </c>
    </row>
    <row r="358" spans="1:3">
      <c r="A358">
        <v>106</v>
      </c>
      <c r="B358">
        <v>81.6378443107709</v>
      </c>
      <c r="C358">
        <v>77.259674</v>
      </c>
    </row>
    <row r="359" spans="1:3">
      <c r="A359">
        <v>107</v>
      </c>
      <c r="B359">
        <v>81.8815572435401</v>
      </c>
      <c r="C359">
        <v>77.500694</v>
      </c>
    </row>
    <row r="360" spans="1:3">
      <c r="A360">
        <v>108</v>
      </c>
      <c r="B360">
        <v>82.1252701763093</v>
      </c>
      <c r="C360">
        <v>77.578537</v>
      </c>
    </row>
    <row r="361" spans="1:3">
      <c r="A361">
        <v>109</v>
      </c>
      <c r="B361">
        <v>82.3689831090785</v>
      </c>
      <c r="C361">
        <v>77.827667</v>
      </c>
    </row>
    <row r="362" spans="1:3">
      <c r="A362">
        <v>110</v>
      </c>
      <c r="B362">
        <v>82.6126960418477</v>
      </c>
      <c r="C362">
        <v>77.923538</v>
      </c>
    </row>
    <row r="363" spans="1:3">
      <c r="A363">
        <v>111</v>
      </c>
      <c r="B363">
        <v>82.8564089746169</v>
      </c>
      <c r="C363">
        <v>78.009521</v>
      </c>
    </row>
    <row r="364" spans="1:3">
      <c r="A364">
        <v>112</v>
      </c>
      <c r="B364">
        <v>83.1001219073861</v>
      </c>
      <c r="C364">
        <v>78.103012</v>
      </c>
    </row>
    <row r="365" spans="1:3">
      <c r="A365">
        <v>113</v>
      </c>
      <c r="B365">
        <v>83.3438348401554</v>
      </c>
      <c r="C365">
        <v>78.105476</v>
      </c>
    </row>
    <row r="366" spans="1:3">
      <c r="A366">
        <v>114</v>
      </c>
      <c r="B366">
        <v>83.5875477729246</v>
      </c>
      <c r="C366">
        <v>78.25544</v>
      </c>
    </row>
    <row r="367" spans="1:3">
      <c r="A367">
        <v>115</v>
      </c>
      <c r="B367">
        <v>83.8312607056938</v>
      </c>
      <c r="C367">
        <v>78.358696</v>
      </c>
    </row>
    <row r="368" spans="1:3">
      <c r="A368">
        <v>116</v>
      </c>
      <c r="B368">
        <v>84.074973638463</v>
      </c>
      <c r="C368">
        <v>78.388199</v>
      </c>
    </row>
    <row r="369" spans="1:3">
      <c r="A369">
        <v>117</v>
      </c>
      <c r="B369">
        <v>84.3186865712322</v>
      </c>
      <c r="C369">
        <v>78.462914</v>
      </c>
    </row>
    <row r="370" spans="1:3">
      <c r="A370">
        <v>118</v>
      </c>
      <c r="B370">
        <v>84.5623995040014</v>
      </c>
      <c r="C370">
        <v>78.475372</v>
      </c>
    </row>
    <row r="371" spans="1:3">
      <c r="A371">
        <v>119</v>
      </c>
      <c r="B371">
        <v>84.8061124367706</v>
      </c>
      <c r="C371">
        <v>78.481621</v>
      </c>
    </row>
    <row r="372" spans="1:3">
      <c r="A372">
        <v>120</v>
      </c>
      <c r="B372">
        <v>85.0498253695398</v>
      </c>
      <c r="C372">
        <v>78.611198</v>
      </c>
    </row>
    <row r="373" spans="1:3">
      <c r="A373">
        <v>121</v>
      </c>
      <c r="B373">
        <v>85.293538302309</v>
      </c>
      <c r="C373">
        <v>78.76152</v>
      </c>
    </row>
    <row r="374" spans="1:3">
      <c r="A374">
        <v>122</v>
      </c>
      <c r="B374">
        <v>85.5372512350782</v>
      </c>
      <c r="C374">
        <v>78.865021</v>
      </c>
    </row>
    <row r="375" spans="1:3">
      <c r="A375">
        <v>123</v>
      </c>
      <c r="B375">
        <v>85.7809641678474</v>
      </c>
      <c r="C375">
        <v>78.903862</v>
      </c>
    </row>
    <row r="376" spans="1:3">
      <c r="A376">
        <v>124</v>
      </c>
      <c r="B376">
        <v>86.0246771006166</v>
      </c>
      <c r="C376">
        <v>78.931564</v>
      </c>
    </row>
    <row r="377" spans="1:3">
      <c r="A377">
        <v>125</v>
      </c>
      <c r="B377">
        <v>86.2683900333858</v>
      </c>
      <c r="C377">
        <v>78.933754</v>
      </c>
    </row>
    <row r="378" spans="1:3">
      <c r="A378">
        <v>126</v>
      </c>
      <c r="B378">
        <v>86.512102966155</v>
      </c>
      <c r="C378">
        <v>79.027405</v>
      </c>
    </row>
    <row r="379" spans="1:3">
      <c r="A379">
        <v>127</v>
      </c>
      <c r="B379">
        <v>86.7558158989243</v>
      </c>
      <c r="C379">
        <v>79.205299</v>
      </c>
    </row>
    <row r="380" spans="1:3">
      <c r="A380">
        <v>128</v>
      </c>
      <c r="B380">
        <v>86.9995288316935</v>
      </c>
      <c r="C380">
        <v>79.239594</v>
      </c>
    </row>
    <row r="381" spans="1:3">
      <c r="A381">
        <v>129</v>
      </c>
      <c r="B381">
        <v>87.2432417644627</v>
      </c>
      <c r="C381">
        <v>79.247643</v>
      </c>
    </row>
    <row r="382" spans="1:3">
      <c r="A382">
        <v>130</v>
      </c>
      <c r="B382">
        <v>87.4869546972319</v>
      </c>
      <c r="C382">
        <v>79.282524</v>
      </c>
    </row>
    <row r="383" spans="1:3">
      <c r="A383">
        <v>131</v>
      </c>
      <c r="B383">
        <v>87.7306676300011</v>
      </c>
      <c r="C383">
        <v>79.441963</v>
      </c>
    </row>
    <row r="384" spans="1:3">
      <c r="A384">
        <v>132</v>
      </c>
      <c r="B384">
        <v>87.9743805627703</v>
      </c>
      <c r="C384">
        <v>79.526665</v>
      </c>
    </row>
    <row r="385" spans="1:3">
      <c r="A385">
        <v>133</v>
      </c>
      <c r="B385">
        <v>88.2180934955395</v>
      </c>
      <c r="C385">
        <v>79.622337</v>
      </c>
    </row>
    <row r="386" spans="1:3">
      <c r="A386">
        <v>134</v>
      </c>
      <c r="B386">
        <v>88.4618064283087</v>
      </c>
      <c r="C386">
        <v>79.7379</v>
      </c>
    </row>
    <row r="387" spans="1:3">
      <c r="A387">
        <v>135</v>
      </c>
      <c r="B387">
        <v>88.7055193610779</v>
      </c>
      <c r="C387">
        <v>79.749702</v>
      </c>
    </row>
    <row r="388" spans="1:3">
      <c r="A388">
        <v>136</v>
      </c>
      <c r="B388">
        <v>88.9492322938471</v>
      </c>
      <c r="C388">
        <v>79.951775</v>
      </c>
    </row>
    <row r="389" spans="1:3">
      <c r="A389">
        <v>137</v>
      </c>
      <c r="B389">
        <v>89.1929452266163</v>
      </c>
      <c r="C389">
        <v>80.057739</v>
      </c>
    </row>
    <row r="390" spans="1:3">
      <c r="A390">
        <v>138</v>
      </c>
      <c r="B390">
        <v>89.4366581593855</v>
      </c>
      <c r="C390">
        <v>80.077461</v>
      </c>
    </row>
    <row r="391" spans="1:3">
      <c r="A391">
        <v>139</v>
      </c>
      <c r="B391">
        <v>89.6803710921547</v>
      </c>
      <c r="C391">
        <v>80.179359</v>
      </c>
    </row>
    <row r="392" spans="1:3">
      <c r="A392">
        <v>140</v>
      </c>
      <c r="B392">
        <v>89.9240840249239</v>
      </c>
      <c r="C392">
        <v>80.296448</v>
      </c>
    </row>
    <row r="393" spans="1:3">
      <c r="A393">
        <v>141</v>
      </c>
      <c r="B393">
        <v>90.1677969576932</v>
      </c>
      <c r="C393">
        <v>80.550545</v>
      </c>
    </row>
    <row r="394" spans="1:3">
      <c r="A394">
        <v>142</v>
      </c>
      <c r="B394">
        <v>90.4115098904624</v>
      </c>
      <c r="C394">
        <v>80.631927</v>
      </c>
    </row>
    <row r="395" spans="1:3">
      <c r="A395">
        <v>143</v>
      </c>
      <c r="B395">
        <v>90.6552228232316</v>
      </c>
      <c r="C395">
        <v>80.99398</v>
      </c>
    </row>
    <row r="396" spans="1:3">
      <c r="A396">
        <v>144</v>
      </c>
      <c r="B396">
        <v>90.8989357560008</v>
      </c>
      <c r="C396">
        <v>82.583374</v>
      </c>
    </row>
    <row r="397" spans="1:3">
      <c r="A397">
        <v>145</v>
      </c>
      <c r="B397">
        <v>91.14264868877</v>
      </c>
      <c r="C397">
        <v>83.07164</v>
      </c>
    </row>
    <row r="398" spans="1:3">
      <c r="A398">
        <v>146</v>
      </c>
      <c r="B398">
        <v>91.3863616215392</v>
      </c>
      <c r="C398">
        <v>83.679497</v>
      </c>
    </row>
    <row r="399" spans="1:3">
      <c r="A399">
        <v>147</v>
      </c>
      <c r="B399">
        <v>91.6300745543084</v>
      </c>
      <c r="C399">
        <v>84.401947</v>
      </c>
    </row>
    <row r="400" spans="1:3">
      <c r="A400">
        <v>148</v>
      </c>
      <c r="B400">
        <v>91.8737874870776</v>
      </c>
      <c r="C400">
        <v>85.445755</v>
      </c>
    </row>
    <row r="401" spans="1:3">
      <c r="A401">
        <v>149</v>
      </c>
      <c r="B401">
        <v>92.1175004198468</v>
      </c>
      <c r="C401">
        <v>85.694878</v>
      </c>
    </row>
    <row r="402" spans="1:3">
      <c r="A402">
        <v>150</v>
      </c>
      <c r="B402">
        <v>92.361213352616</v>
      </c>
      <c r="C402">
        <v>87.122337</v>
      </c>
    </row>
    <row r="403" spans="1:3">
      <c r="A403">
        <v>151</v>
      </c>
      <c r="B403">
        <v>92.6049262853852</v>
      </c>
      <c r="C403">
        <v>87.588196</v>
      </c>
    </row>
    <row r="404" spans="1:3">
      <c r="A404">
        <v>152</v>
      </c>
      <c r="B404">
        <v>92.8486392181544</v>
      </c>
      <c r="C404">
        <v>87.623077</v>
      </c>
    </row>
    <row r="405" spans="1:3">
      <c r="A405">
        <v>153</v>
      </c>
      <c r="B405">
        <v>93.0923521509236</v>
      </c>
      <c r="C405">
        <v>87.710258</v>
      </c>
    </row>
    <row r="406" spans="1:3">
      <c r="A406">
        <v>154</v>
      </c>
      <c r="B406">
        <v>93.3360650836928</v>
      </c>
      <c r="C406">
        <v>87.89959</v>
      </c>
    </row>
    <row r="407" spans="1:3">
      <c r="A407">
        <v>155</v>
      </c>
      <c r="B407">
        <v>93.579778016462</v>
      </c>
      <c r="C407">
        <v>88.096405</v>
      </c>
    </row>
    <row r="408" spans="1:3">
      <c r="A408">
        <v>156</v>
      </c>
      <c r="B408">
        <v>93.8234909492313</v>
      </c>
      <c r="C408">
        <v>89.401787</v>
      </c>
    </row>
    <row r="409" spans="1:3">
      <c r="A409">
        <v>157</v>
      </c>
      <c r="B409">
        <v>94.0672038820005</v>
      </c>
      <c r="C409">
        <v>89.698242</v>
      </c>
    </row>
    <row r="410" spans="1:3">
      <c r="A410">
        <v>158</v>
      </c>
      <c r="B410">
        <v>94.3109168147697</v>
      </c>
      <c r="C410">
        <v>90.126732</v>
      </c>
    </row>
    <row r="411" spans="1:3">
      <c r="A411">
        <v>159</v>
      </c>
      <c r="B411">
        <v>94.5546297475389</v>
      </c>
      <c r="C411">
        <v>90.707176</v>
      </c>
    </row>
    <row r="412" spans="1:3">
      <c r="A412">
        <v>160</v>
      </c>
      <c r="B412">
        <v>94.7983426803081</v>
      </c>
      <c r="C412">
        <v>90.707176</v>
      </c>
    </row>
    <row r="413" spans="1:3">
      <c r="A413">
        <v>161</v>
      </c>
      <c r="B413">
        <v>95.0420556130773</v>
      </c>
      <c r="C413">
        <v>90.879066</v>
      </c>
    </row>
    <row r="414" spans="1:3">
      <c r="A414">
        <v>162</v>
      </c>
      <c r="B414">
        <v>95.2857685458465</v>
      </c>
      <c r="C414">
        <v>90.889038</v>
      </c>
    </row>
    <row r="415" spans="1:3">
      <c r="A415">
        <v>163</v>
      </c>
      <c r="B415">
        <v>95.5294814786157</v>
      </c>
      <c r="C415">
        <v>91.310051</v>
      </c>
    </row>
    <row r="416" spans="1:3">
      <c r="A416">
        <v>164</v>
      </c>
      <c r="B416">
        <v>95.7731944113849</v>
      </c>
      <c r="C416">
        <v>92.289093</v>
      </c>
    </row>
    <row r="417" spans="1:3">
      <c r="A417">
        <v>165</v>
      </c>
      <c r="B417">
        <v>96.0169073441541</v>
      </c>
      <c r="C417">
        <v>92.518288</v>
      </c>
    </row>
    <row r="418" spans="1:3">
      <c r="A418">
        <v>166</v>
      </c>
      <c r="B418">
        <v>96.2606202769233</v>
      </c>
      <c r="C418">
        <v>92.844635</v>
      </c>
    </row>
    <row r="419" spans="1:3">
      <c r="A419">
        <v>167</v>
      </c>
      <c r="B419">
        <v>96.5043332096925</v>
      </c>
      <c r="C419">
        <v>92.924355</v>
      </c>
    </row>
    <row r="420" spans="1:3">
      <c r="A420">
        <v>168</v>
      </c>
      <c r="B420">
        <v>96.7480461424617</v>
      </c>
      <c r="C420">
        <v>93.133614</v>
      </c>
    </row>
    <row r="421" spans="1:3">
      <c r="A421">
        <v>169</v>
      </c>
      <c r="B421">
        <v>96.991759075231</v>
      </c>
      <c r="C421">
        <v>94.476364</v>
      </c>
    </row>
    <row r="422" spans="1:3">
      <c r="A422">
        <v>170</v>
      </c>
      <c r="B422">
        <v>97.2354720080002</v>
      </c>
      <c r="C422">
        <v>94.705559</v>
      </c>
    </row>
    <row r="423" spans="1:3">
      <c r="A423">
        <v>171</v>
      </c>
      <c r="B423">
        <v>97.4791849407694</v>
      </c>
      <c r="C423">
        <v>95.006996</v>
      </c>
    </row>
    <row r="424" spans="1:3">
      <c r="A424">
        <v>172</v>
      </c>
      <c r="B424">
        <v>97.7228978735386</v>
      </c>
      <c r="C424">
        <v>95.141525</v>
      </c>
    </row>
    <row r="425" spans="1:3">
      <c r="A425">
        <v>173</v>
      </c>
      <c r="B425">
        <v>97.9666108063078</v>
      </c>
      <c r="C425">
        <v>95.415558</v>
      </c>
    </row>
    <row r="426" spans="1:3">
      <c r="A426">
        <v>174</v>
      </c>
      <c r="B426">
        <v>98.210323739077</v>
      </c>
      <c r="C426">
        <v>95.582466</v>
      </c>
    </row>
    <row r="427" spans="1:3">
      <c r="A427">
        <v>175</v>
      </c>
      <c r="B427">
        <v>98.4540366718462</v>
      </c>
      <c r="C427">
        <v>95.851517</v>
      </c>
    </row>
    <row r="428" spans="1:3">
      <c r="A428">
        <v>176</v>
      </c>
      <c r="B428">
        <v>98.6977496046154</v>
      </c>
      <c r="C428">
        <v>95.988533</v>
      </c>
    </row>
    <row r="429" spans="1:3">
      <c r="A429">
        <v>177</v>
      </c>
      <c r="B429">
        <v>98.9414625373846</v>
      </c>
      <c r="C429">
        <v>96.182846</v>
      </c>
    </row>
    <row r="430" spans="1:3">
      <c r="A430">
        <v>178</v>
      </c>
      <c r="B430">
        <v>99.1851754701538</v>
      </c>
      <c r="C430">
        <v>96.658661</v>
      </c>
    </row>
    <row r="431" spans="1:3">
      <c r="A431">
        <v>179</v>
      </c>
      <c r="B431">
        <v>99.428888402923</v>
      </c>
      <c r="C431">
        <v>96.715965</v>
      </c>
    </row>
    <row r="432" spans="1:3">
      <c r="A432">
        <v>180</v>
      </c>
      <c r="B432">
        <v>99.6726013356922</v>
      </c>
      <c r="C432">
        <v>96.930199</v>
      </c>
    </row>
    <row r="433" spans="1:3">
      <c r="A433">
        <v>181</v>
      </c>
      <c r="B433">
        <v>99.9163142684614</v>
      </c>
      <c r="C433">
        <v>97.381111</v>
      </c>
    </row>
    <row r="434" spans="1:3">
      <c r="A434">
        <v>182</v>
      </c>
      <c r="B434">
        <v>100.160027201231</v>
      </c>
      <c r="C434">
        <v>98.011391</v>
      </c>
    </row>
    <row r="435" spans="1:3">
      <c r="A435">
        <v>183</v>
      </c>
      <c r="B435">
        <v>100.403740134</v>
      </c>
      <c r="C435">
        <v>105.886086</v>
      </c>
    </row>
    <row r="436" spans="1:3">
      <c r="A436">
        <v>184</v>
      </c>
      <c r="B436">
        <v>100.647453066769</v>
      </c>
      <c r="C436">
        <v>106.655991</v>
      </c>
    </row>
    <row r="437" spans="1:3">
      <c r="A437">
        <v>185</v>
      </c>
      <c r="B437">
        <v>100.891165999538</v>
      </c>
      <c r="C437">
        <v>106.935509</v>
      </c>
    </row>
    <row r="438" spans="1:3">
      <c r="A438">
        <v>186</v>
      </c>
      <c r="B438">
        <v>101.134878932307</v>
      </c>
      <c r="C438">
        <v>108.033615</v>
      </c>
    </row>
    <row r="439" spans="1:3">
      <c r="A439">
        <v>187</v>
      </c>
      <c r="B439">
        <v>101.378591865077</v>
      </c>
      <c r="C439">
        <v>108.554153</v>
      </c>
    </row>
    <row r="440" spans="1:3">
      <c r="A440">
        <v>188</v>
      </c>
      <c r="B440">
        <v>101.622304797846</v>
      </c>
      <c r="C440">
        <v>108.582664</v>
      </c>
    </row>
    <row r="441" spans="1:3">
      <c r="A441">
        <v>189</v>
      </c>
      <c r="B441">
        <v>101.866017730615</v>
      </c>
      <c r="C441">
        <v>108.672516</v>
      </c>
    </row>
    <row r="442" spans="1:3">
      <c r="A442">
        <v>190</v>
      </c>
      <c r="B442">
        <v>102.109730663384</v>
      </c>
      <c r="C442">
        <v>109.186623</v>
      </c>
    </row>
    <row r="443" spans="1:3">
      <c r="A443">
        <v>191</v>
      </c>
      <c r="B443">
        <v>102.353443596154</v>
      </c>
      <c r="C443">
        <v>109.279099</v>
      </c>
    </row>
    <row r="444" spans="1:3">
      <c r="A444">
        <v>192</v>
      </c>
      <c r="B444">
        <v>102.597156528923</v>
      </c>
      <c r="C444">
        <v>109.675194</v>
      </c>
    </row>
    <row r="445" spans="1:3">
      <c r="A445">
        <v>193</v>
      </c>
      <c r="B445">
        <v>102.840869461692</v>
      </c>
      <c r="C445">
        <v>109.890411</v>
      </c>
    </row>
    <row r="446" spans="1:3">
      <c r="A446">
        <v>194</v>
      </c>
      <c r="B446">
        <v>103.084582394461</v>
      </c>
      <c r="C446">
        <v>110.149963</v>
      </c>
    </row>
    <row r="447" spans="1:3">
      <c r="A447">
        <v>195</v>
      </c>
      <c r="B447">
        <v>103.32829532723</v>
      </c>
      <c r="C447">
        <v>110.249794</v>
      </c>
    </row>
    <row r="448" spans="1:3">
      <c r="A448">
        <v>196</v>
      </c>
      <c r="B448">
        <v>103.57200826</v>
      </c>
      <c r="C448">
        <v>110.921135</v>
      </c>
    </row>
    <row r="449" spans="1:3">
      <c r="A449">
        <v>197</v>
      </c>
      <c r="B449">
        <v>103.815721192769</v>
      </c>
      <c r="C449">
        <v>111.008476</v>
      </c>
    </row>
    <row r="450" spans="1:3">
      <c r="A450">
        <v>198</v>
      </c>
      <c r="B450">
        <v>104.059434125538</v>
      </c>
      <c r="C450">
        <v>111.617432</v>
      </c>
    </row>
    <row r="451" spans="1:3">
      <c r="A451">
        <v>199</v>
      </c>
      <c r="B451">
        <v>104.303147058307</v>
      </c>
      <c r="C451">
        <v>111.807106</v>
      </c>
    </row>
    <row r="452" spans="1:3">
      <c r="A452">
        <v>200</v>
      </c>
      <c r="B452">
        <v>104.546859991076</v>
      </c>
      <c r="C452">
        <v>111.936882</v>
      </c>
    </row>
    <row r="453" spans="1:3">
      <c r="A453">
        <v>201</v>
      </c>
      <c r="B453">
        <v>104.790572923846</v>
      </c>
      <c r="C453">
        <v>112.086624</v>
      </c>
    </row>
    <row r="454" spans="1:3">
      <c r="A454">
        <v>202</v>
      </c>
      <c r="B454">
        <v>105.034285856615</v>
      </c>
      <c r="C454">
        <v>112.533356</v>
      </c>
    </row>
    <row r="455" spans="1:3">
      <c r="A455">
        <v>203</v>
      </c>
      <c r="B455">
        <v>105.277998789384</v>
      </c>
      <c r="C455">
        <v>112.625694</v>
      </c>
    </row>
    <row r="456" spans="1:3">
      <c r="A456">
        <v>204</v>
      </c>
      <c r="B456">
        <v>105.521711722153</v>
      </c>
      <c r="C456">
        <v>112.815369</v>
      </c>
    </row>
    <row r="457" spans="1:3">
      <c r="A457">
        <v>205</v>
      </c>
      <c r="B457">
        <v>105.765424654922</v>
      </c>
      <c r="C457">
        <v>112.825348</v>
      </c>
    </row>
    <row r="458" spans="1:3">
      <c r="A458">
        <v>206</v>
      </c>
      <c r="B458">
        <v>106.009137587692</v>
      </c>
      <c r="C458">
        <v>112.965111</v>
      </c>
    </row>
    <row r="459" spans="1:3">
      <c r="A459">
        <v>207</v>
      </c>
      <c r="B459">
        <v>106.252850520461</v>
      </c>
      <c r="C459">
        <v>113.29454</v>
      </c>
    </row>
    <row r="460" spans="1:3">
      <c r="A460">
        <v>208</v>
      </c>
      <c r="B460">
        <v>106.49656345323</v>
      </c>
      <c r="C460">
        <v>113.501678</v>
      </c>
    </row>
    <row r="461" spans="1:3">
      <c r="A461">
        <v>209</v>
      </c>
      <c r="B461">
        <v>106.740276385999</v>
      </c>
      <c r="C461">
        <v>113.893501</v>
      </c>
    </row>
    <row r="462" spans="1:3">
      <c r="A462">
        <v>210</v>
      </c>
      <c r="B462">
        <v>106.983989318768</v>
      </c>
      <c r="C462">
        <v>114.41011</v>
      </c>
    </row>
    <row r="463" spans="1:3">
      <c r="A463">
        <v>211</v>
      </c>
      <c r="B463">
        <v>107.227702251538</v>
      </c>
      <c r="C463">
        <v>114.709602</v>
      </c>
    </row>
    <row r="464" spans="1:3">
      <c r="A464">
        <v>212</v>
      </c>
      <c r="B464">
        <v>107.471415184307</v>
      </c>
      <c r="C464">
        <v>114.752022</v>
      </c>
    </row>
    <row r="465" spans="1:3">
      <c r="A465">
        <v>213</v>
      </c>
      <c r="B465">
        <v>107.715128117076</v>
      </c>
      <c r="C465">
        <v>114.762009</v>
      </c>
    </row>
    <row r="466" spans="1:3">
      <c r="A466">
        <v>214</v>
      </c>
      <c r="B466">
        <v>107.958841049845</v>
      </c>
      <c r="C466">
        <v>114.771988</v>
      </c>
    </row>
    <row r="467" spans="1:3">
      <c r="A467">
        <v>215</v>
      </c>
      <c r="B467">
        <v>108.202553982614</v>
      </c>
      <c r="C467">
        <v>114.81192</v>
      </c>
    </row>
    <row r="468" spans="1:3">
      <c r="A468">
        <v>216</v>
      </c>
      <c r="B468">
        <v>108.446266915384</v>
      </c>
      <c r="C468">
        <v>114.841873</v>
      </c>
    </row>
    <row r="469" spans="1:3">
      <c r="A469">
        <v>217</v>
      </c>
      <c r="B469">
        <v>108.689979848153</v>
      </c>
      <c r="C469">
        <v>114.851852</v>
      </c>
    </row>
    <row r="470" spans="1:3">
      <c r="A470">
        <v>218</v>
      </c>
      <c r="B470">
        <v>108.933692780922</v>
      </c>
      <c r="C470">
        <v>114.881805</v>
      </c>
    </row>
    <row r="471" spans="1:3">
      <c r="A471">
        <v>219</v>
      </c>
      <c r="B471">
        <v>109.177405713691</v>
      </c>
      <c r="C471">
        <v>115.121384</v>
      </c>
    </row>
    <row r="472" spans="1:3">
      <c r="A472">
        <v>220</v>
      </c>
      <c r="B472">
        <v>109.421118646461</v>
      </c>
      <c r="C472">
        <v>115.161316</v>
      </c>
    </row>
    <row r="473" spans="1:3">
      <c r="A473">
        <v>221</v>
      </c>
      <c r="B473">
        <v>109.66483157923</v>
      </c>
      <c r="C473">
        <v>115.341011</v>
      </c>
    </row>
    <row r="474" spans="1:3">
      <c r="A474">
        <v>222</v>
      </c>
      <c r="B474">
        <v>109.908544511999</v>
      </c>
      <c r="C474">
        <v>115.363472</v>
      </c>
    </row>
    <row r="475" spans="1:3">
      <c r="A475">
        <v>223</v>
      </c>
      <c r="B475">
        <v>110.152257444768</v>
      </c>
      <c r="C475">
        <v>115.508217</v>
      </c>
    </row>
    <row r="476" spans="1:3">
      <c r="A476">
        <v>224</v>
      </c>
      <c r="B476">
        <v>110.395970377537</v>
      </c>
      <c r="C476">
        <v>115.550644</v>
      </c>
    </row>
    <row r="477" spans="1:3">
      <c r="A477">
        <v>225</v>
      </c>
      <c r="B477">
        <v>110.639683310307</v>
      </c>
      <c r="C477">
        <v>115.610542</v>
      </c>
    </row>
    <row r="478" spans="1:3">
      <c r="A478">
        <v>226</v>
      </c>
      <c r="B478">
        <v>110.883396243076</v>
      </c>
      <c r="C478">
        <v>115.780251</v>
      </c>
    </row>
    <row r="479" spans="1:3">
      <c r="A479">
        <v>227</v>
      </c>
      <c r="B479">
        <v>111.127109175845</v>
      </c>
      <c r="C479">
        <v>116.299355</v>
      </c>
    </row>
    <row r="480" spans="1:3">
      <c r="A480">
        <v>228</v>
      </c>
      <c r="B480">
        <v>111.370822108614</v>
      </c>
      <c r="C480">
        <v>116.399178</v>
      </c>
    </row>
    <row r="481" spans="1:3">
      <c r="A481">
        <v>229</v>
      </c>
      <c r="B481">
        <v>111.614535041383</v>
      </c>
      <c r="C481">
        <v>116.58886</v>
      </c>
    </row>
    <row r="482" spans="1:3">
      <c r="A482">
        <v>230</v>
      </c>
      <c r="B482">
        <v>111.858247974153</v>
      </c>
      <c r="C482">
        <v>116.668724</v>
      </c>
    </row>
    <row r="483" spans="1:3">
      <c r="A483">
        <v>231</v>
      </c>
      <c r="B483">
        <v>112.101960906922</v>
      </c>
      <c r="C483">
        <v>116.768547</v>
      </c>
    </row>
    <row r="484" spans="1:3">
      <c r="A484">
        <v>232</v>
      </c>
      <c r="B484">
        <v>112.345673839691</v>
      </c>
      <c r="C484">
        <v>117.117943</v>
      </c>
    </row>
    <row r="485" spans="1:3">
      <c r="A485">
        <v>233</v>
      </c>
      <c r="B485">
        <v>112.58938677246</v>
      </c>
      <c r="C485">
        <v>117.307617</v>
      </c>
    </row>
    <row r="486" spans="1:3">
      <c r="A486">
        <v>234</v>
      </c>
      <c r="B486">
        <v>112.833099705229</v>
      </c>
      <c r="C486">
        <v>118.071297</v>
      </c>
    </row>
    <row r="487" spans="1:3">
      <c r="A487">
        <v>235</v>
      </c>
      <c r="B487">
        <v>113.076812637999</v>
      </c>
      <c r="C487">
        <v>118.690002</v>
      </c>
    </row>
    <row r="488" spans="1:3">
      <c r="A488">
        <v>236</v>
      </c>
      <c r="B488">
        <v>113.320525570768</v>
      </c>
      <c r="C488">
        <v>118.81501</v>
      </c>
    </row>
    <row r="489" spans="1:3">
      <c r="A489">
        <v>237</v>
      </c>
      <c r="B489">
        <v>113.564238503537</v>
      </c>
      <c r="C489">
        <v>118.824997</v>
      </c>
    </row>
    <row r="490" spans="1:3">
      <c r="A490">
        <v>238</v>
      </c>
      <c r="B490">
        <v>113.807951436306</v>
      </c>
      <c r="C490">
        <v>120.502106</v>
      </c>
    </row>
    <row r="491" spans="1:3">
      <c r="A491">
        <v>239</v>
      </c>
      <c r="B491">
        <v>114.051664369075</v>
      </c>
      <c r="C491">
        <v>120.671806</v>
      </c>
    </row>
    <row r="492" spans="1:3">
      <c r="A492">
        <v>240</v>
      </c>
      <c r="B492">
        <v>114.295377301845</v>
      </c>
      <c r="C492">
        <v>120.751671</v>
      </c>
    </row>
    <row r="493" spans="1:3">
      <c r="A493">
        <v>241</v>
      </c>
      <c r="B493">
        <v>114.539090234614</v>
      </c>
      <c r="C493">
        <v>120.891434</v>
      </c>
    </row>
    <row r="494" spans="1:3">
      <c r="A494">
        <v>242</v>
      </c>
      <c r="B494">
        <v>114.782803167383</v>
      </c>
      <c r="C494">
        <v>120.981277</v>
      </c>
    </row>
    <row r="495" spans="1:3">
      <c r="A495">
        <v>243</v>
      </c>
      <c r="B495">
        <v>115.026516100152</v>
      </c>
      <c r="C495">
        <v>124.1558</v>
      </c>
    </row>
    <row r="496" spans="1:3">
      <c r="A496">
        <v>244</v>
      </c>
      <c r="B496">
        <v>115.270229032921</v>
      </c>
      <c r="C496">
        <v>124.185753</v>
      </c>
    </row>
    <row r="497" spans="1:3">
      <c r="A497">
        <v>245</v>
      </c>
      <c r="B497">
        <v>115.513941965691</v>
      </c>
      <c r="C497">
        <v>124.592552</v>
      </c>
    </row>
    <row r="498" spans="1:3">
      <c r="A498">
        <v>246</v>
      </c>
      <c r="B498">
        <v>115.75765489846</v>
      </c>
      <c r="C498">
        <v>124.610016</v>
      </c>
    </row>
    <row r="499" spans="1:3">
      <c r="A499">
        <v>247</v>
      </c>
      <c r="B499">
        <v>116.001367831229</v>
      </c>
      <c r="C499">
        <v>124.794701</v>
      </c>
    </row>
    <row r="500" spans="1:3">
      <c r="A500">
        <v>248</v>
      </c>
      <c r="B500">
        <v>116.245080763998</v>
      </c>
      <c r="C500">
        <v>125.640739</v>
      </c>
    </row>
    <row r="501" spans="1:3">
      <c r="A501">
        <v>249</v>
      </c>
      <c r="B501">
        <v>116.488793696768</v>
      </c>
      <c r="C501">
        <v>126.304596</v>
      </c>
    </row>
    <row r="502" spans="1:3">
      <c r="A502">
        <v>250</v>
      </c>
      <c r="B502">
        <v>116.732506629537</v>
      </c>
      <c r="C502">
        <v>128.817749</v>
      </c>
    </row>
    <row r="503" spans="1:3">
      <c r="A503">
        <v>251</v>
      </c>
      <c r="B503">
        <v>116.976219562306</v>
      </c>
      <c r="C503">
        <v>131.173691</v>
      </c>
    </row>
    <row r="504" spans="1:3">
      <c r="A504">
        <v>252</v>
      </c>
      <c r="B504">
        <v>117.219932495075</v>
      </c>
      <c r="C504">
        <v>133.948898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4"/>
  <sheetViews>
    <sheetView workbookViewId="0">
      <selection activeCell="A1" sqref="A1"/>
    </sheetView>
  </sheetViews>
  <sheetFormatPr defaultColWidth="9" defaultRowHeight="15.6" outlineLevelCol="2"/>
  <sheetData>
    <row r="1" spans="1:3">
      <c r="A1">
        <v>1</v>
      </c>
      <c r="B1">
        <v>7.90655762999585</v>
      </c>
      <c r="C1">
        <v>0</v>
      </c>
    </row>
    <row r="2" spans="1:3">
      <c r="A2">
        <v>2</v>
      </c>
      <c r="B2">
        <v>8.16929169722665</v>
      </c>
      <c r="C2">
        <v>0</v>
      </c>
    </row>
    <row r="3" spans="1:3">
      <c r="A3">
        <v>3</v>
      </c>
      <c r="B3">
        <v>7.86656576445744</v>
      </c>
      <c r="C3">
        <v>0</v>
      </c>
    </row>
    <row r="4" spans="1:3">
      <c r="A4">
        <v>4</v>
      </c>
      <c r="B4">
        <v>8.23992583168824</v>
      </c>
      <c r="C4">
        <v>0</v>
      </c>
    </row>
    <row r="5" spans="1:3">
      <c r="A5">
        <v>5</v>
      </c>
      <c r="B5">
        <v>7.54632189891902</v>
      </c>
      <c r="C5">
        <v>0</v>
      </c>
    </row>
    <row r="6" spans="1:3">
      <c r="A6">
        <v>6</v>
      </c>
      <c r="B6">
        <v>8.06966096614982</v>
      </c>
      <c r="C6">
        <v>0</v>
      </c>
    </row>
    <row r="7" spans="1:3">
      <c r="A7">
        <v>7</v>
      </c>
      <c r="B7">
        <v>8.15537003338061</v>
      </c>
      <c r="C7">
        <v>0</v>
      </c>
    </row>
    <row r="8" spans="1:3">
      <c r="A8">
        <v>8</v>
      </c>
      <c r="B8">
        <v>7.7125301006114</v>
      </c>
      <c r="C8">
        <v>0</v>
      </c>
    </row>
    <row r="9" spans="1:3">
      <c r="A9">
        <v>9</v>
      </c>
      <c r="B9">
        <v>6.70668616784219</v>
      </c>
      <c r="C9">
        <v>0</v>
      </c>
    </row>
    <row r="10" spans="1:3">
      <c r="A10">
        <v>10</v>
      </c>
      <c r="B10">
        <v>6.172865235073</v>
      </c>
      <c r="C10">
        <v>0</v>
      </c>
    </row>
    <row r="11" spans="1:3">
      <c r="A11">
        <v>11</v>
      </c>
      <c r="B11">
        <v>5.87261130230378</v>
      </c>
      <c r="C11">
        <v>0</v>
      </c>
    </row>
    <row r="12" spans="1:3">
      <c r="A12">
        <v>12</v>
      </c>
      <c r="B12">
        <v>6.75733936953458</v>
      </c>
      <c r="C12">
        <v>0</v>
      </c>
    </row>
    <row r="13" spans="1:3">
      <c r="A13">
        <v>13</v>
      </c>
      <c r="B13">
        <v>6.00227343676537</v>
      </c>
      <c r="C13">
        <v>0</v>
      </c>
    </row>
    <row r="14" spans="1:3">
      <c r="A14">
        <v>14</v>
      </c>
      <c r="B14">
        <v>6.63131050399616</v>
      </c>
      <c r="C14">
        <v>0</v>
      </c>
    </row>
    <row r="15" spans="1:3">
      <c r="A15">
        <v>15</v>
      </c>
      <c r="B15">
        <v>6.24254757122696</v>
      </c>
      <c r="C15">
        <v>0</v>
      </c>
    </row>
    <row r="16" spans="1:3">
      <c r="A16">
        <v>16</v>
      </c>
      <c r="B16">
        <v>5.23916063845775</v>
      </c>
      <c r="C16">
        <v>0</v>
      </c>
    </row>
    <row r="17" spans="1:3">
      <c r="A17">
        <v>17</v>
      </c>
      <c r="B17">
        <v>3.83752270568854</v>
      </c>
      <c r="C17">
        <v>0</v>
      </c>
    </row>
    <row r="18" spans="1:3">
      <c r="A18">
        <v>18</v>
      </c>
      <c r="B18">
        <v>4.15678677291933</v>
      </c>
      <c r="C18">
        <v>0</v>
      </c>
    </row>
    <row r="19" spans="1:3">
      <c r="A19">
        <v>19</v>
      </c>
      <c r="B19">
        <v>4.85712684015012</v>
      </c>
      <c r="C19">
        <v>0</v>
      </c>
    </row>
    <row r="20" spans="1:3">
      <c r="A20">
        <v>20</v>
      </c>
      <c r="B20">
        <v>5.87459890738091</v>
      </c>
      <c r="C20">
        <v>0</v>
      </c>
    </row>
    <row r="21" spans="1:3">
      <c r="A21">
        <v>21</v>
      </c>
      <c r="B21">
        <v>4.69913897461171</v>
      </c>
      <c r="C21">
        <v>0</v>
      </c>
    </row>
    <row r="22" spans="1:3">
      <c r="A22">
        <v>22</v>
      </c>
      <c r="B22">
        <v>4.8389400418425</v>
      </c>
      <c r="C22">
        <v>0</v>
      </c>
    </row>
    <row r="23" spans="1:3">
      <c r="A23">
        <v>23</v>
      </c>
      <c r="B23">
        <v>5.1582151090733</v>
      </c>
      <c r="C23">
        <v>0</v>
      </c>
    </row>
    <row r="24" spans="1:3">
      <c r="A24">
        <v>24</v>
      </c>
      <c r="B24">
        <v>5.08413417630408</v>
      </c>
      <c r="C24">
        <v>0</v>
      </c>
    </row>
    <row r="25" spans="1:3">
      <c r="A25">
        <v>25</v>
      </c>
      <c r="B25">
        <v>5.74761024353488</v>
      </c>
      <c r="C25">
        <v>0</v>
      </c>
    </row>
    <row r="26" spans="1:3">
      <c r="A26">
        <v>26</v>
      </c>
      <c r="B26">
        <v>6.66182531076567</v>
      </c>
      <c r="C26">
        <v>0</v>
      </c>
    </row>
    <row r="27" spans="1:3">
      <c r="A27">
        <v>27</v>
      </c>
      <c r="B27">
        <v>6.55332837799646</v>
      </c>
      <c r="C27">
        <v>0</v>
      </c>
    </row>
    <row r="28" spans="1:3">
      <c r="A28">
        <v>28</v>
      </c>
      <c r="B28">
        <v>6.14489644522726</v>
      </c>
      <c r="C28">
        <v>0</v>
      </c>
    </row>
    <row r="29" spans="1:3">
      <c r="A29">
        <v>29</v>
      </c>
      <c r="B29">
        <v>5.97001651245805</v>
      </c>
      <c r="C29">
        <v>0</v>
      </c>
    </row>
    <row r="30" spans="1:3">
      <c r="A30">
        <v>30</v>
      </c>
      <c r="B30">
        <v>5.58372557968885</v>
      </c>
      <c r="C30">
        <v>0</v>
      </c>
    </row>
    <row r="31" spans="1:3">
      <c r="A31">
        <v>31</v>
      </c>
      <c r="B31">
        <v>6.46106764691964</v>
      </c>
      <c r="C31">
        <v>0</v>
      </c>
    </row>
    <row r="32" spans="1:3">
      <c r="A32">
        <v>32</v>
      </c>
      <c r="B32">
        <v>6.28373071415044</v>
      </c>
      <c r="C32">
        <v>0</v>
      </c>
    </row>
    <row r="33" spans="1:3">
      <c r="A33">
        <v>33</v>
      </c>
      <c r="B33">
        <v>7.42659178138123</v>
      </c>
      <c r="C33">
        <v>0</v>
      </c>
    </row>
    <row r="34" spans="1:3">
      <c r="A34">
        <v>34</v>
      </c>
      <c r="B34">
        <v>7.15583984861202</v>
      </c>
      <c r="C34">
        <v>0</v>
      </c>
    </row>
    <row r="35" spans="1:3">
      <c r="A35">
        <v>35</v>
      </c>
      <c r="B35">
        <v>7.33498591584281</v>
      </c>
      <c r="C35">
        <v>0</v>
      </c>
    </row>
    <row r="36" spans="1:3">
      <c r="A36">
        <v>36</v>
      </c>
      <c r="B36">
        <v>7.61492398307361</v>
      </c>
      <c r="C36">
        <v>0</v>
      </c>
    </row>
    <row r="37" spans="1:3">
      <c r="A37">
        <v>37</v>
      </c>
      <c r="B37">
        <v>9.01839005030439</v>
      </c>
      <c r="C37">
        <v>0</v>
      </c>
    </row>
    <row r="38" spans="1:3">
      <c r="A38">
        <v>38</v>
      </c>
      <c r="B38">
        <v>8.05678911753519</v>
      </c>
      <c r="C38">
        <v>0</v>
      </c>
    </row>
    <row r="39" spans="1:3">
      <c r="A39">
        <v>39</v>
      </c>
      <c r="B39">
        <v>8.39574118476598</v>
      </c>
      <c r="C39">
        <v>0</v>
      </c>
    </row>
    <row r="40" spans="1:3">
      <c r="A40">
        <v>40</v>
      </c>
      <c r="B40">
        <v>7.80539425199679</v>
      </c>
      <c r="C40">
        <v>0</v>
      </c>
    </row>
    <row r="41" spans="1:3">
      <c r="A41">
        <v>41</v>
      </c>
      <c r="B41">
        <v>8.74173531922757</v>
      </c>
      <c r="C41">
        <v>0</v>
      </c>
    </row>
    <row r="42" spans="1:3">
      <c r="A42">
        <v>42</v>
      </c>
      <c r="B42">
        <v>10.0812813864584</v>
      </c>
      <c r="C42">
        <v>0</v>
      </c>
    </row>
    <row r="43" spans="1:3">
      <c r="A43">
        <v>43</v>
      </c>
      <c r="B43">
        <v>10.0096494536891</v>
      </c>
      <c r="C43">
        <v>0</v>
      </c>
    </row>
    <row r="44" spans="1:3">
      <c r="A44">
        <v>44</v>
      </c>
      <c r="B44">
        <v>11.3958955209199</v>
      </c>
      <c r="C44">
        <v>0</v>
      </c>
    </row>
    <row r="45" spans="1:3">
      <c r="A45">
        <v>45</v>
      </c>
      <c r="B45">
        <v>10.0999675881507</v>
      </c>
      <c r="C45">
        <v>0</v>
      </c>
    </row>
    <row r="46" spans="1:3">
      <c r="A46">
        <v>46</v>
      </c>
      <c r="B46">
        <v>9.52681665538152</v>
      </c>
      <c r="C46">
        <v>0</v>
      </c>
    </row>
    <row r="47" spans="1:3">
      <c r="A47">
        <v>47</v>
      </c>
      <c r="B47">
        <v>10.2419127226123</v>
      </c>
      <c r="C47">
        <v>0</v>
      </c>
    </row>
    <row r="48" spans="1:3">
      <c r="A48">
        <v>48</v>
      </c>
      <c r="B48">
        <v>10.8562017898431</v>
      </c>
      <c r="C48">
        <v>0</v>
      </c>
    </row>
    <row r="49" spans="1:3">
      <c r="A49">
        <v>49</v>
      </c>
      <c r="B49">
        <v>10.0814598570739</v>
      </c>
      <c r="C49">
        <v>0</v>
      </c>
    </row>
    <row r="50" spans="1:3">
      <c r="A50">
        <v>50</v>
      </c>
      <c r="B50">
        <v>10.1155559243047</v>
      </c>
      <c r="C50">
        <v>0</v>
      </c>
    </row>
    <row r="51" spans="1:3">
      <c r="A51">
        <v>51</v>
      </c>
      <c r="B51">
        <v>10.2479879915355</v>
      </c>
      <c r="C51">
        <v>0</v>
      </c>
    </row>
    <row r="52" spans="1:3">
      <c r="A52">
        <v>52</v>
      </c>
      <c r="B52">
        <v>9.77809405876628</v>
      </c>
      <c r="C52">
        <v>0</v>
      </c>
    </row>
    <row r="53" spans="1:3">
      <c r="A53">
        <v>53</v>
      </c>
      <c r="B53">
        <v>7.23325612599707</v>
      </c>
      <c r="C53">
        <v>0</v>
      </c>
    </row>
    <row r="54" spans="1:3">
      <c r="A54">
        <v>54</v>
      </c>
      <c r="B54">
        <v>9.13824019322789</v>
      </c>
      <c r="C54">
        <v>0</v>
      </c>
    </row>
    <row r="55" spans="1:3">
      <c r="A55">
        <v>55</v>
      </c>
      <c r="B55">
        <v>10.5294152604587</v>
      </c>
      <c r="C55">
        <v>0</v>
      </c>
    </row>
    <row r="56" spans="1:3">
      <c r="A56">
        <v>56</v>
      </c>
      <c r="B56">
        <v>10.1701393276895</v>
      </c>
      <c r="C56">
        <v>0</v>
      </c>
    </row>
    <row r="57" spans="1:3">
      <c r="A57">
        <v>57</v>
      </c>
      <c r="B57">
        <v>6.39608439492025</v>
      </c>
      <c r="C57">
        <v>0</v>
      </c>
    </row>
    <row r="58" spans="1:3">
      <c r="A58">
        <v>58</v>
      </c>
      <c r="B58">
        <v>5.94339446215105</v>
      </c>
      <c r="C58">
        <v>0</v>
      </c>
    </row>
    <row r="59" spans="1:3">
      <c r="A59">
        <v>59</v>
      </c>
      <c r="B59">
        <v>8.20486252938184</v>
      </c>
      <c r="C59">
        <v>0</v>
      </c>
    </row>
    <row r="60" spans="1:3">
      <c r="A60">
        <v>60</v>
      </c>
      <c r="B60">
        <v>8.60035559661263</v>
      </c>
      <c r="C60">
        <v>0</v>
      </c>
    </row>
    <row r="61" spans="1:3">
      <c r="A61">
        <v>61</v>
      </c>
      <c r="B61">
        <v>9.28101266384343</v>
      </c>
      <c r="C61">
        <v>0</v>
      </c>
    </row>
    <row r="62" spans="1:3">
      <c r="A62">
        <v>62</v>
      </c>
      <c r="B62">
        <v>7.95054573107421</v>
      </c>
      <c r="C62">
        <v>0</v>
      </c>
    </row>
    <row r="63" spans="1:3">
      <c r="A63">
        <v>63</v>
      </c>
      <c r="B63">
        <v>8.081405798305</v>
      </c>
      <c r="C63">
        <v>0</v>
      </c>
    </row>
    <row r="64" spans="1:3">
      <c r="A64">
        <v>64</v>
      </c>
      <c r="B64">
        <v>7.35961886553581</v>
      </c>
      <c r="C64">
        <v>0</v>
      </c>
    </row>
    <row r="65" spans="1:3">
      <c r="A65">
        <v>65</v>
      </c>
      <c r="B65">
        <v>8.98631293276661</v>
      </c>
      <c r="C65">
        <v>0</v>
      </c>
    </row>
    <row r="66" spans="1:3">
      <c r="A66">
        <v>66</v>
      </c>
      <c r="B66">
        <v>8.16841199999739</v>
      </c>
      <c r="C66">
        <v>0</v>
      </c>
    </row>
    <row r="67" spans="1:3">
      <c r="A67">
        <v>67</v>
      </c>
      <c r="B67">
        <v>7.94442106722818</v>
      </c>
      <c r="C67">
        <v>0</v>
      </c>
    </row>
    <row r="68" spans="1:3">
      <c r="A68">
        <v>68</v>
      </c>
      <c r="B68">
        <v>6.23444513445898</v>
      </c>
      <c r="C68">
        <v>0</v>
      </c>
    </row>
    <row r="69" spans="1:3">
      <c r="A69">
        <v>69</v>
      </c>
      <c r="B69">
        <v>7.12923620168976</v>
      </c>
      <c r="C69">
        <v>0</v>
      </c>
    </row>
    <row r="70" spans="1:3">
      <c r="A70">
        <v>70</v>
      </c>
      <c r="B70">
        <v>6.06738526892055</v>
      </c>
      <c r="C70">
        <v>0</v>
      </c>
    </row>
    <row r="71" spans="1:3">
      <c r="A71">
        <v>71</v>
      </c>
      <c r="B71">
        <v>4.03705133615135</v>
      </c>
      <c r="C71">
        <v>0</v>
      </c>
    </row>
    <row r="72" spans="1:3">
      <c r="A72">
        <v>72</v>
      </c>
      <c r="B72">
        <v>0.128917403382147</v>
      </c>
      <c r="C72">
        <v>0</v>
      </c>
    </row>
    <row r="73" spans="1:3">
      <c r="A73">
        <v>73</v>
      </c>
      <c r="B73">
        <v>-2.60374052938705</v>
      </c>
      <c r="C73">
        <v>0</v>
      </c>
    </row>
    <row r="74" spans="1:3">
      <c r="A74">
        <v>74</v>
      </c>
      <c r="B74">
        <v>-1.72126346215627</v>
      </c>
      <c r="C74">
        <v>0</v>
      </c>
    </row>
    <row r="75" spans="1:3">
      <c r="A75">
        <v>75</v>
      </c>
      <c r="B75">
        <v>-6.67918639492547</v>
      </c>
      <c r="C75">
        <v>0</v>
      </c>
    </row>
    <row r="76" spans="1:3">
      <c r="A76">
        <v>76</v>
      </c>
      <c r="B76">
        <v>-6.96232832769469</v>
      </c>
      <c r="C76">
        <v>0</v>
      </c>
    </row>
    <row r="77" spans="1:3">
      <c r="A77">
        <v>77</v>
      </c>
      <c r="B77">
        <v>-0.934396260463885</v>
      </c>
      <c r="C77">
        <v>0</v>
      </c>
    </row>
    <row r="78" spans="1:3">
      <c r="A78">
        <v>78</v>
      </c>
      <c r="B78">
        <v>-3.5167251932331</v>
      </c>
      <c r="C78">
        <v>0</v>
      </c>
    </row>
    <row r="79" spans="1:3">
      <c r="A79">
        <v>79</v>
      </c>
      <c r="B79">
        <v>-0.453355126002293</v>
      </c>
      <c r="C79">
        <v>0</v>
      </c>
    </row>
    <row r="80" spans="1:3">
      <c r="A80">
        <v>80</v>
      </c>
      <c r="B80">
        <v>-3.11700505877151</v>
      </c>
      <c r="C80">
        <v>0</v>
      </c>
    </row>
    <row r="81" spans="1:3">
      <c r="A81">
        <v>81</v>
      </c>
      <c r="B81">
        <v>-4.31933599154073</v>
      </c>
      <c r="C81">
        <v>0</v>
      </c>
    </row>
    <row r="82" spans="1:3">
      <c r="A82">
        <v>82</v>
      </c>
      <c r="B82">
        <v>-10.1964259243099</v>
      </c>
      <c r="C82">
        <v>0</v>
      </c>
    </row>
    <row r="83" spans="1:3">
      <c r="A83">
        <v>83</v>
      </c>
      <c r="B83">
        <v>-5.71607885707914</v>
      </c>
      <c r="C83">
        <v>0</v>
      </c>
    </row>
    <row r="84" spans="1:3">
      <c r="A84">
        <v>84</v>
      </c>
      <c r="B84">
        <v>-8.40191478984833</v>
      </c>
      <c r="C84">
        <v>0</v>
      </c>
    </row>
    <row r="85" spans="1:3">
      <c r="A85">
        <v>85</v>
      </c>
      <c r="B85">
        <v>-15.3485317226176</v>
      </c>
      <c r="C85">
        <v>0</v>
      </c>
    </row>
    <row r="86" spans="1:3">
      <c r="A86">
        <v>86</v>
      </c>
      <c r="B86">
        <v>-8.26341065538675</v>
      </c>
      <c r="C86">
        <v>0</v>
      </c>
    </row>
    <row r="87" spans="1:3">
      <c r="A87">
        <v>87</v>
      </c>
      <c r="B87">
        <v>-17.319466588156</v>
      </c>
      <c r="C87">
        <v>0</v>
      </c>
    </row>
    <row r="88" spans="1:3">
      <c r="A88">
        <v>88</v>
      </c>
      <c r="B88">
        <v>-14.9387025209252</v>
      </c>
      <c r="C88">
        <v>0</v>
      </c>
    </row>
    <row r="89" spans="1:3">
      <c r="A89">
        <v>89</v>
      </c>
      <c r="B89">
        <v>-16.7078134536944</v>
      </c>
      <c r="C89">
        <v>0</v>
      </c>
    </row>
    <row r="90" spans="1:3">
      <c r="A90">
        <v>90</v>
      </c>
      <c r="B90">
        <v>-17.4172813864636</v>
      </c>
      <c r="C90">
        <v>0</v>
      </c>
    </row>
    <row r="91" spans="1:3">
      <c r="A91">
        <v>91</v>
      </c>
      <c r="B91">
        <v>-21.4905163192328</v>
      </c>
      <c r="C91">
        <v>0</v>
      </c>
    </row>
    <row r="92" spans="1:3">
      <c r="A92">
        <v>92</v>
      </c>
      <c r="B92">
        <v>-22.934344252002</v>
      </c>
      <c r="C92">
        <v>0</v>
      </c>
    </row>
    <row r="93" spans="1:3">
      <c r="A93">
        <v>93</v>
      </c>
      <c r="B93">
        <v>-17.6309151847712</v>
      </c>
      <c r="C93">
        <v>0</v>
      </c>
    </row>
    <row r="94" spans="1:3">
      <c r="A94">
        <v>94</v>
      </c>
      <c r="B94">
        <v>-18.2097721175404</v>
      </c>
      <c r="C94">
        <v>0</v>
      </c>
    </row>
    <row r="95" spans="1:3">
      <c r="A95">
        <v>95</v>
      </c>
      <c r="B95">
        <v>-15.2696090503096</v>
      </c>
      <c r="C95">
        <v>0</v>
      </c>
    </row>
    <row r="96" spans="1:3">
      <c r="A96">
        <v>96</v>
      </c>
      <c r="B96">
        <v>-18.1501209830788</v>
      </c>
      <c r="C96">
        <v>0</v>
      </c>
    </row>
    <row r="97" spans="1:3">
      <c r="A97">
        <v>97</v>
      </c>
      <c r="B97">
        <v>-16.651577915848</v>
      </c>
      <c r="C97">
        <v>0</v>
      </c>
    </row>
    <row r="98" spans="1:3">
      <c r="A98">
        <v>98</v>
      </c>
      <c r="B98">
        <v>-17.0234338486172</v>
      </c>
      <c r="C98">
        <v>0</v>
      </c>
    </row>
    <row r="99" spans="1:3">
      <c r="A99">
        <v>99</v>
      </c>
      <c r="B99">
        <v>-20.5643797813864</v>
      </c>
      <c r="C99">
        <v>0</v>
      </c>
    </row>
    <row r="100" spans="1:3">
      <c r="A100">
        <v>100</v>
      </c>
      <c r="B100">
        <v>-19.8174467141557</v>
      </c>
      <c r="C100">
        <v>0</v>
      </c>
    </row>
    <row r="101" spans="1:3">
      <c r="A101">
        <v>101</v>
      </c>
      <c r="B101">
        <v>-20.9285876469249</v>
      </c>
      <c r="C101">
        <v>0</v>
      </c>
    </row>
    <row r="102" spans="1:3">
      <c r="A102">
        <v>102</v>
      </c>
      <c r="B102">
        <v>-15.9824885796941</v>
      </c>
      <c r="C102">
        <v>0</v>
      </c>
    </row>
    <row r="103" spans="1:3">
      <c r="A103">
        <v>103</v>
      </c>
      <c r="B103">
        <v>-16.9753505124633</v>
      </c>
      <c r="C103">
        <v>0</v>
      </c>
    </row>
    <row r="104" spans="1:3">
      <c r="A104">
        <v>104</v>
      </c>
      <c r="B104">
        <v>-15.5827614452325</v>
      </c>
      <c r="C104">
        <v>0</v>
      </c>
    </row>
    <row r="105" spans="1:3">
      <c r="A105">
        <v>105</v>
      </c>
      <c r="B105">
        <v>-15.3533293780017</v>
      </c>
      <c r="C105">
        <v>0</v>
      </c>
    </row>
    <row r="106" spans="1:3">
      <c r="A106">
        <v>106</v>
      </c>
      <c r="B106">
        <v>-14.3008153107709</v>
      </c>
      <c r="C106">
        <v>0</v>
      </c>
    </row>
    <row r="107" spans="1:3">
      <c r="A107">
        <v>107</v>
      </c>
      <c r="B107">
        <v>-11.1438022435401</v>
      </c>
      <c r="C107">
        <v>0</v>
      </c>
    </row>
    <row r="108" spans="1:3">
      <c r="A108">
        <v>108</v>
      </c>
      <c r="B108">
        <v>-12.0331601763093</v>
      </c>
      <c r="C108">
        <v>0</v>
      </c>
    </row>
    <row r="109" spans="1:3">
      <c r="A109">
        <v>109</v>
      </c>
      <c r="B109">
        <v>-11.7199431090785</v>
      </c>
      <c r="C109">
        <v>0</v>
      </c>
    </row>
    <row r="110" spans="1:3">
      <c r="A110">
        <v>110</v>
      </c>
      <c r="B110">
        <v>-12.9222740418477</v>
      </c>
      <c r="C110">
        <v>0</v>
      </c>
    </row>
    <row r="111" spans="1:3">
      <c r="A111">
        <v>111</v>
      </c>
      <c r="B111">
        <v>-14.6125279746169</v>
      </c>
      <c r="C111">
        <v>0</v>
      </c>
    </row>
    <row r="112" spans="1:3">
      <c r="A112">
        <v>112</v>
      </c>
      <c r="B112">
        <v>-16.9656839073861</v>
      </c>
      <c r="C112">
        <v>0</v>
      </c>
    </row>
    <row r="113" spans="1:3">
      <c r="A113">
        <v>113</v>
      </c>
      <c r="B113">
        <v>-15.3044828401554</v>
      </c>
      <c r="C113">
        <v>0</v>
      </c>
    </row>
    <row r="114" spans="1:3">
      <c r="A114">
        <v>114</v>
      </c>
      <c r="B114">
        <v>-15.8118747729246</v>
      </c>
      <c r="C114">
        <v>0</v>
      </c>
    </row>
    <row r="115" spans="1:3">
      <c r="A115">
        <v>115</v>
      </c>
      <c r="B115">
        <v>-14.0989377056938</v>
      </c>
      <c r="C115">
        <v>0</v>
      </c>
    </row>
    <row r="116" spans="1:3">
      <c r="A116">
        <v>116</v>
      </c>
      <c r="B116">
        <v>-14.293364638463</v>
      </c>
      <c r="C116">
        <v>0</v>
      </c>
    </row>
    <row r="117" spans="1:3">
      <c r="A117">
        <v>117</v>
      </c>
      <c r="B117">
        <v>-15.6681965712322</v>
      </c>
      <c r="C117">
        <v>0</v>
      </c>
    </row>
    <row r="118" spans="1:3">
      <c r="A118">
        <v>118</v>
      </c>
      <c r="B118">
        <v>-13.6570655040014</v>
      </c>
      <c r="C118">
        <v>0</v>
      </c>
    </row>
    <row r="119" spans="1:3">
      <c r="A119">
        <v>119</v>
      </c>
      <c r="B119">
        <v>-12.4049584367706</v>
      </c>
      <c r="C119">
        <v>0</v>
      </c>
    </row>
    <row r="120" spans="1:3">
      <c r="A120">
        <v>120</v>
      </c>
      <c r="B120">
        <v>-13.8142833695398</v>
      </c>
      <c r="C120">
        <v>0</v>
      </c>
    </row>
    <row r="121" spans="1:3">
      <c r="A121">
        <v>121</v>
      </c>
      <c r="B121">
        <v>-13.050092302309</v>
      </c>
      <c r="C121">
        <v>0</v>
      </c>
    </row>
    <row r="122" spans="1:3">
      <c r="A122">
        <v>122</v>
      </c>
      <c r="B122">
        <v>-12.2095152350782</v>
      </c>
      <c r="C122">
        <v>0</v>
      </c>
    </row>
    <row r="123" spans="1:3">
      <c r="A123">
        <v>123</v>
      </c>
      <c r="B123">
        <v>-11.6966821678474</v>
      </c>
      <c r="C123">
        <v>0</v>
      </c>
    </row>
    <row r="124" spans="1:3">
      <c r="A124">
        <v>124</v>
      </c>
      <c r="B124">
        <v>-11.1740071006166</v>
      </c>
      <c r="C124">
        <v>0</v>
      </c>
    </row>
    <row r="125" spans="1:3">
      <c r="A125">
        <v>125</v>
      </c>
      <c r="B125">
        <v>-9.00871603338582</v>
      </c>
      <c r="C125">
        <v>0</v>
      </c>
    </row>
    <row r="126" spans="1:3">
      <c r="A126">
        <v>126</v>
      </c>
      <c r="B126">
        <v>-8.03673096615505</v>
      </c>
      <c r="C126">
        <v>0</v>
      </c>
    </row>
    <row r="127" spans="1:3">
      <c r="A127">
        <v>127</v>
      </c>
      <c r="B127">
        <v>-9.17727889892426</v>
      </c>
      <c r="C127">
        <v>0</v>
      </c>
    </row>
    <row r="128" spans="1:3">
      <c r="A128">
        <v>128</v>
      </c>
      <c r="B128">
        <v>-10.3576758316935</v>
      </c>
      <c r="C128">
        <v>0</v>
      </c>
    </row>
    <row r="129" spans="1:3">
      <c r="A129">
        <v>129</v>
      </c>
      <c r="B129">
        <v>-10.1305557644627</v>
      </c>
      <c r="C129">
        <v>0</v>
      </c>
    </row>
    <row r="130" spans="1:3">
      <c r="A130">
        <v>130</v>
      </c>
      <c r="B130">
        <v>-10.8301626972319</v>
      </c>
      <c r="C130">
        <v>0</v>
      </c>
    </row>
    <row r="131" spans="1:3">
      <c r="A131">
        <v>131</v>
      </c>
      <c r="B131">
        <v>-9.26775363000108</v>
      </c>
      <c r="C131">
        <v>0</v>
      </c>
    </row>
    <row r="132" spans="1:3">
      <c r="A132">
        <v>132</v>
      </c>
      <c r="B132">
        <v>-9.96485956277027</v>
      </c>
      <c r="C132">
        <v>0</v>
      </c>
    </row>
    <row r="133" spans="1:3">
      <c r="A133">
        <v>133</v>
      </c>
      <c r="B133">
        <v>-8.6914284955395</v>
      </c>
      <c r="C133">
        <v>0</v>
      </c>
    </row>
    <row r="134" spans="1:3">
      <c r="A134">
        <v>134</v>
      </c>
      <c r="B134">
        <v>-9.52805242830871</v>
      </c>
      <c r="C134">
        <v>0</v>
      </c>
    </row>
    <row r="135" spans="1:3">
      <c r="A135">
        <v>135</v>
      </c>
      <c r="B135">
        <v>-9.2635563610779</v>
      </c>
      <c r="C135">
        <v>0</v>
      </c>
    </row>
    <row r="136" spans="1:3">
      <c r="A136">
        <v>136</v>
      </c>
      <c r="B136">
        <v>-10.0453702938471</v>
      </c>
      <c r="C136">
        <v>0</v>
      </c>
    </row>
    <row r="137" spans="1:3">
      <c r="A137">
        <v>137</v>
      </c>
      <c r="B137">
        <v>-9.94530222661632</v>
      </c>
      <c r="C137">
        <v>0</v>
      </c>
    </row>
    <row r="138" spans="1:3">
      <c r="A138">
        <v>138</v>
      </c>
      <c r="B138">
        <v>-10.1541341593855</v>
      </c>
      <c r="C138">
        <v>0</v>
      </c>
    </row>
    <row r="139" spans="1:3">
      <c r="A139">
        <v>139</v>
      </c>
      <c r="B139">
        <v>-10.4750720921547</v>
      </c>
      <c r="C139">
        <v>0</v>
      </c>
    </row>
    <row r="140" spans="1:3">
      <c r="A140">
        <v>140</v>
      </c>
      <c r="B140">
        <v>-9.74472502492394</v>
      </c>
      <c r="C140">
        <v>0</v>
      </c>
    </row>
    <row r="141" spans="1:3">
      <c r="A141">
        <v>141</v>
      </c>
      <c r="B141">
        <v>-9.61725195769316</v>
      </c>
      <c r="C141">
        <v>0</v>
      </c>
    </row>
    <row r="142" spans="1:3">
      <c r="A142">
        <v>142</v>
      </c>
      <c r="B142">
        <v>-9.41752989046236</v>
      </c>
      <c r="C142">
        <v>0</v>
      </c>
    </row>
    <row r="143" spans="1:3">
      <c r="A143">
        <v>143</v>
      </c>
      <c r="B143">
        <v>-10.3587748232316</v>
      </c>
      <c r="C143">
        <v>0</v>
      </c>
    </row>
    <row r="144" spans="1:3">
      <c r="A144">
        <v>144</v>
      </c>
      <c r="B144">
        <v>-8.31556175600076</v>
      </c>
      <c r="C144">
        <v>0</v>
      </c>
    </row>
    <row r="145" spans="1:3">
      <c r="A145">
        <v>145</v>
      </c>
      <c r="B145">
        <v>-8.07100868876998</v>
      </c>
      <c r="C145">
        <v>0</v>
      </c>
    </row>
    <row r="146" spans="1:3">
      <c r="A146">
        <v>146</v>
      </c>
      <c r="B146">
        <v>-5.69148362153918</v>
      </c>
      <c r="C146">
        <v>0</v>
      </c>
    </row>
    <row r="147" spans="1:3">
      <c r="A147">
        <v>147</v>
      </c>
      <c r="B147">
        <v>-3.73048455430838</v>
      </c>
      <c r="C147">
        <v>0</v>
      </c>
    </row>
    <row r="148" spans="1:3">
      <c r="A148">
        <v>148</v>
      </c>
      <c r="B148">
        <v>-8.19429048707759</v>
      </c>
      <c r="C148">
        <v>0</v>
      </c>
    </row>
    <row r="149" spans="1:3">
      <c r="A149">
        <v>149</v>
      </c>
      <c r="B149">
        <v>-7.7155534198468</v>
      </c>
      <c r="C149">
        <v>0</v>
      </c>
    </row>
    <row r="150" spans="1:3">
      <c r="A150">
        <v>150</v>
      </c>
      <c r="B150">
        <v>-6.915458352616</v>
      </c>
      <c r="C150">
        <v>0</v>
      </c>
    </row>
    <row r="151" spans="1:3">
      <c r="A151">
        <v>151</v>
      </c>
      <c r="B151">
        <v>-4.89466828538522</v>
      </c>
      <c r="C151">
        <v>0</v>
      </c>
    </row>
    <row r="152" spans="1:3">
      <c r="A152">
        <v>152</v>
      </c>
      <c r="B152">
        <v>-5.26044321815444</v>
      </c>
      <c r="C152">
        <v>0</v>
      </c>
    </row>
    <row r="153" spans="1:3">
      <c r="A153">
        <v>153</v>
      </c>
      <c r="B153">
        <v>-5.46927515092364</v>
      </c>
      <c r="C153">
        <v>0</v>
      </c>
    </row>
    <row r="154" spans="1:3">
      <c r="A154">
        <v>154</v>
      </c>
      <c r="B154">
        <v>-6.21372808369283</v>
      </c>
      <c r="C154">
        <v>0</v>
      </c>
    </row>
    <row r="155" spans="1:3">
      <c r="A155">
        <v>155</v>
      </c>
      <c r="B155">
        <v>-4.17799101646204</v>
      </c>
      <c r="C155">
        <v>0</v>
      </c>
    </row>
    <row r="156" spans="1:3">
      <c r="A156">
        <v>156</v>
      </c>
      <c r="B156">
        <v>-2.51343994923126</v>
      </c>
      <c r="C156">
        <v>0</v>
      </c>
    </row>
    <row r="157" spans="1:3">
      <c r="A157">
        <v>157</v>
      </c>
      <c r="B157">
        <v>-4.36896188200046</v>
      </c>
      <c r="C157">
        <v>0</v>
      </c>
    </row>
    <row r="158" spans="1:3">
      <c r="A158">
        <v>158</v>
      </c>
      <c r="B158">
        <v>-3.42187881476967</v>
      </c>
      <c r="C158">
        <v>0</v>
      </c>
    </row>
    <row r="159" spans="1:3">
      <c r="A159">
        <v>159</v>
      </c>
      <c r="B159">
        <v>-6.45822474753888</v>
      </c>
      <c r="C159">
        <v>0</v>
      </c>
    </row>
    <row r="160" spans="1:3">
      <c r="A160">
        <v>160</v>
      </c>
      <c r="B160">
        <v>-4.67161068030808</v>
      </c>
      <c r="C160">
        <v>0</v>
      </c>
    </row>
    <row r="161" spans="1:3">
      <c r="A161">
        <v>161</v>
      </c>
      <c r="B161">
        <v>-4.16298961307729</v>
      </c>
      <c r="C161">
        <v>0</v>
      </c>
    </row>
    <row r="162" spans="1:3">
      <c r="A162">
        <v>162</v>
      </c>
      <c r="B162">
        <v>-4.57859254584649</v>
      </c>
      <c r="C162">
        <v>0</v>
      </c>
    </row>
    <row r="163" spans="1:3">
      <c r="A163">
        <v>163</v>
      </c>
      <c r="B163">
        <v>-4.8223054786157</v>
      </c>
      <c r="C163">
        <v>0</v>
      </c>
    </row>
    <row r="164" spans="1:3">
      <c r="A164">
        <v>164</v>
      </c>
      <c r="B164">
        <v>-2.63958041138491</v>
      </c>
      <c r="C164">
        <v>0</v>
      </c>
    </row>
    <row r="165" spans="1:3">
      <c r="A165">
        <v>165</v>
      </c>
      <c r="B165">
        <v>-3.17227234415412</v>
      </c>
      <c r="C165">
        <v>0</v>
      </c>
    </row>
    <row r="166" spans="1:3">
      <c r="A166">
        <v>166</v>
      </c>
      <c r="B166">
        <v>-1.25362427692333</v>
      </c>
      <c r="C166">
        <v>0</v>
      </c>
    </row>
    <row r="167" spans="1:3">
      <c r="A167">
        <v>167</v>
      </c>
      <c r="B167">
        <v>-1.08877520969253</v>
      </c>
      <c r="C167">
        <v>0</v>
      </c>
    </row>
    <row r="168" spans="1:3">
      <c r="A168">
        <v>168</v>
      </c>
      <c r="B168">
        <v>-1.16558014246174</v>
      </c>
      <c r="C168">
        <v>0</v>
      </c>
    </row>
    <row r="169" spans="1:3">
      <c r="A169">
        <v>169</v>
      </c>
      <c r="B169">
        <v>-1.85023407523094</v>
      </c>
      <c r="C169">
        <v>0</v>
      </c>
    </row>
    <row r="170" spans="1:3">
      <c r="A170">
        <v>170</v>
      </c>
      <c r="B170">
        <v>-0.519507008000161</v>
      </c>
      <c r="C170">
        <v>0</v>
      </c>
    </row>
    <row r="171" spans="1:3">
      <c r="A171">
        <v>171</v>
      </c>
      <c r="B171">
        <v>-0.0980739407693534</v>
      </c>
      <c r="C171">
        <v>0</v>
      </c>
    </row>
    <row r="172" spans="1:3">
      <c r="A172">
        <v>172</v>
      </c>
      <c r="B172">
        <v>-1.54005187353857</v>
      </c>
      <c r="C172">
        <v>0</v>
      </c>
    </row>
    <row r="173" spans="1:3">
      <c r="A173">
        <v>173</v>
      </c>
      <c r="B173">
        <v>-1.97807780630778</v>
      </c>
      <c r="C173">
        <v>0</v>
      </c>
    </row>
    <row r="174" spans="1:3">
      <c r="A174">
        <v>174</v>
      </c>
      <c r="B174">
        <v>-0.19893273907698</v>
      </c>
      <c r="C174">
        <v>0</v>
      </c>
    </row>
    <row r="175" spans="1:3">
      <c r="A175">
        <v>175</v>
      </c>
      <c r="B175">
        <v>-1.79537567184619</v>
      </c>
      <c r="C175">
        <v>0</v>
      </c>
    </row>
    <row r="176" spans="1:3">
      <c r="A176">
        <v>176</v>
      </c>
      <c r="B176">
        <v>-1.76755060461539</v>
      </c>
      <c r="C176">
        <v>0</v>
      </c>
    </row>
    <row r="177" spans="1:3">
      <c r="A177">
        <v>177</v>
      </c>
      <c r="B177">
        <v>-6.42317453738461</v>
      </c>
      <c r="C177">
        <v>0</v>
      </c>
    </row>
    <row r="178" spans="1:3">
      <c r="A178">
        <v>178</v>
      </c>
      <c r="B178">
        <v>-6.89608247015381</v>
      </c>
      <c r="C178">
        <v>0</v>
      </c>
    </row>
    <row r="179" spans="1:3">
      <c r="A179">
        <v>179</v>
      </c>
      <c r="B179">
        <v>-4.952524402923</v>
      </c>
      <c r="C179">
        <v>0</v>
      </c>
    </row>
    <row r="180" spans="1:3">
      <c r="A180">
        <v>180</v>
      </c>
      <c r="B180">
        <v>-6.74824633569222</v>
      </c>
      <c r="C180">
        <v>0</v>
      </c>
    </row>
    <row r="181" spans="1:3">
      <c r="A181">
        <v>181</v>
      </c>
      <c r="B181">
        <v>-5.21075526846144</v>
      </c>
      <c r="C181">
        <v>0</v>
      </c>
    </row>
    <row r="182" spans="1:3">
      <c r="A182">
        <v>182</v>
      </c>
      <c r="B182">
        <v>-4.30851020123063</v>
      </c>
      <c r="C182">
        <v>0</v>
      </c>
    </row>
    <row r="183" spans="1:3">
      <c r="A183">
        <v>183</v>
      </c>
      <c r="B183">
        <v>5.48234586600016</v>
      </c>
      <c r="C183">
        <v>0</v>
      </c>
    </row>
    <row r="184" spans="1:3">
      <c r="A184">
        <v>184</v>
      </c>
      <c r="B184">
        <v>7.90669993323094</v>
      </c>
      <c r="C184">
        <v>0</v>
      </c>
    </row>
    <row r="185" spans="1:3">
      <c r="A185">
        <v>185</v>
      </c>
      <c r="B185">
        <v>8.38793300046174</v>
      </c>
      <c r="C185">
        <v>0</v>
      </c>
    </row>
    <row r="186" spans="1:3">
      <c r="A186">
        <v>186</v>
      </c>
      <c r="B186">
        <v>8.54031506769255</v>
      </c>
      <c r="C186">
        <v>0</v>
      </c>
    </row>
    <row r="187" spans="1:3">
      <c r="A187">
        <v>187</v>
      </c>
      <c r="B187">
        <v>12.1230861349233</v>
      </c>
      <c r="C187">
        <v>0</v>
      </c>
    </row>
    <row r="188" spans="1:3">
      <c r="A188">
        <v>188</v>
      </c>
      <c r="B188">
        <v>9.29883020215412</v>
      </c>
      <c r="C188">
        <v>0</v>
      </c>
    </row>
    <row r="189" spans="1:3">
      <c r="A189">
        <v>189</v>
      </c>
      <c r="B189">
        <v>10.6673382693849</v>
      </c>
      <c r="C189">
        <v>0</v>
      </c>
    </row>
    <row r="190" spans="1:3">
      <c r="A190">
        <v>190</v>
      </c>
      <c r="B190">
        <v>7.0768923366157</v>
      </c>
      <c r="C190">
        <v>0</v>
      </c>
    </row>
    <row r="191" spans="1:3">
      <c r="A191">
        <v>191</v>
      </c>
      <c r="B191">
        <v>10.4619254038465</v>
      </c>
      <c r="C191">
        <v>0</v>
      </c>
    </row>
    <row r="192" spans="1:3">
      <c r="A192">
        <v>192</v>
      </c>
      <c r="B192">
        <v>12.2147634710773</v>
      </c>
      <c r="C192">
        <v>0</v>
      </c>
    </row>
    <row r="193" spans="1:3">
      <c r="A193">
        <v>193</v>
      </c>
      <c r="B193">
        <v>11.8687325383081</v>
      </c>
      <c r="C193">
        <v>0</v>
      </c>
    </row>
    <row r="194" spans="1:3">
      <c r="A194">
        <v>194</v>
      </c>
      <c r="B194">
        <v>11.3255276055389</v>
      </c>
      <c r="C194">
        <v>0</v>
      </c>
    </row>
    <row r="195" spans="1:3">
      <c r="A195">
        <v>195</v>
      </c>
      <c r="B195">
        <v>12.0351766727697</v>
      </c>
      <c r="C195">
        <v>0</v>
      </c>
    </row>
    <row r="196" spans="1:3">
      <c r="A196">
        <v>196</v>
      </c>
      <c r="B196">
        <v>11.9362087400005</v>
      </c>
      <c r="C196">
        <v>0</v>
      </c>
    </row>
    <row r="197" spans="1:3">
      <c r="A197">
        <v>197</v>
      </c>
      <c r="B197">
        <v>14.2555758072313</v>
      </c>
      <c r="C197">
        <v>0</v>
      </c>
    </row>
    <row r="198" spans="1:3">
      <c r="A198">
        <v>198</v>
      </c>
      <c r="B198">
        <v>20.096365874462</v>
      </c>
      <c r="C198">
        <v>0</v>
      </c>
    </row>
    <row r="199" spans="1:3">
      <c r="A199">
        <v>199</v>
      </c>
      <c r="B199">
        <v>21.3375919416928</v>
      </c>
      <c r="C199">
        <v>0</v>
      </c>
    </row>
    <row r="200" spans="1:3">
      <c r="A200">
        <v>200</v>
      </c>
      <c r="B200">
        <v>20.0631560089236</v>
      </c>
      <c r="C200">
        <v>0</v>
      </c>
    </row>
    <row r="201" spans="1:3">
      <c r="A201">
        <v>201</v>
      </c>
      <c r="B201">
        <v>21.5140230761544</v>
      </c>
      <c r="C201">
        <v>0</v>
      </c>
    </row>
    <row r="202" spans="1:3">
      <c r="A202">
        <v>202</v>
      </c>
      <c r="B202">
        <v>19.7604151433852</v>
      </c>
      <c r="C202">
        <v>0</v>
      </c>
    </row>
    <row r="203" spans="1:3">
      <c r="A203">
        <v>203</v>
      </c>
      <c r="B203">
        <v>19.314553210616</v>
      </c>
      <c r="C203">
        <v>0</v>
      </c>
    </row>
    <row r="204" spans="1:3">
      <c r="A204">
        <v>204</v>
      </c>
      <c r="B204">
        <v>23.2960372778468</v>
      </c>
      <c r="C204">
        <v>0</v>
      </c>
    </row>
    <row r="205" spans="1:3">
      <c r="A205">
        <v>205</v>
      </c>
      <c r="B205">
        <v>28.1834733450776</v>
      </c>
      <c r="C205">
        <v>0</v>
      </c>
    </row>
    <row r="206" spans="1:3">
      <c r="A206">
        <v>206</v>
      </c>
      <c r="B206">
        <v>25.1645534123084</v>
      </c>
      <c r="C206">
        <v>0</v>
      </c>
    </row>
    <row r="207" spans="1:3">
      <c r="A207">
        <v>207</v>
      </c>
      <c r="B207">
        <v>14.4189554795392</v>
      </c>
      <c r="C207">
        <v>0</v>
      </c>
    </row>
    <row r="208" spans="1:3">
      <c r="A208">
        <v>208</v>
      </c>
      <c r="B208">
        <v>14.25510754677</v>
      </c>
      <c r="C208">
        <v>0</v>
      </c>
    </row>
    <row r="209" spans="1:3">
      <c r="A209">
        <v>209</v>
      </c>
      <c r="B209">
        <v>5.88541761400076</v>
      </c>
      <c r="C209">
        <v>0</v>
      </c>
    </row>
    <row r="210" spans="1:3">
      <c r="A210">
        <v>210</v>
      </c>
      <c r="B210">
        <v>10.1339536812316</v>
      </c>
      <c r="C210">
        <v>0</v>
      </c>
    </row>
    <row r="211" spans="1:3">
      <c r="A211">
        <v>211</v>
      </c>
      <c r="B211">
        <v>6.06683774846236</v>
      </c>
      <c r="C211">
        <v>0</v>
      </c>
    </row>
    <row r="212" spans="1:3">
      <c r="A212">
        <v>212</v>
      </c>
      <c r="B212">
        <v>4.33569081569316</v>
      </c>
      <c r="C212">
        <v>0</v>
      </c>
    </row>
    <row r="213" spans="1:3">
      <c r="A213">
        <v>213</v>
      </c>
      <c r="B213">
        <v>7.44618788292394</v>
      </c>
      <c r="C213">
        <v>0</v>
      </c>
    </row>
    <row r="214" spans="1:3">
      <c r="A214">
        <v>214</v>
      </c>
      <c r="B214">
        <v>7.38216995015473</v>
      </c>
      <c r="C214">
        <v>0</v>
      </c>
    </row>
    <row r="215" spans="1:3">
      <c r="A215">
        <v>215</v>
      </c>
      <c r="B215">
        <v>3.73432801738552</v>
      </c>
      <c r="C215">
        <v>0</v>
      </c>
    </row>
    <row r="216" spans="1:3">
      <c r="A216">
        <v>216</v>
      </c>
      <c r="B216">
        <v>1.70369608461631</v>
      </c>
      <c r="C216">
        <v>0</v>
      </c>
    </row>
    <row r="217" spans="1:3">
      <c r="A217">
        <v>217</v>
      </c>
      <c r="B217">
        <v>-2.03398884815289</v>
      </c>
      <c r="C217">
        <v>0</v>
      </c>
    </row>
    <row r="218" spans="1:3">
      <c r="A218">
        <v>218</v>
      </c>
      <c r="B218">
        <v>0.956718219077914</v>
      </c>
      <c r="C218">
        <v>0</v>
      </c>
    </row>
    <row r="219" spans="1:3">
      <c r="A219">
        <v>219</v>
      </c>
      <c r="B219">
        <v>2.44002628630869</v>
      </c>
      <c r="C219">
        <v>0</v>
      </c>
    </row>
    <row r="220" spans="1:3">
      <c r="A220">
        <v>220</v>
      </c>
      <c r="B220">
        <v>-2.48560964646052</v>
      </c>
      <c r="C220">
        <v>0</v>
      </c>
    </row>
    <row r="221" spans="1:3">
      <c r="A221">
        <v>221</v>
      </c>
      <c r="B221">
        <v>-1.63121657922972</v>
      </c>
      <c r="C221">
        <v>0</v>
      </c>
    </row>
    <row r="222" spans="1:3">
      <c r="A222">
        <v>222</v>
      </c>
      <c r="B222">
        <v>2.17807948800107</v>
      </c>
      <c r="C222">
        <v>0</v>
      </c>
    </row>
    <row r="223" spans="1:3">
      <c r="A223">
        <v>223</v>
      </c>
      <c r="B223">
        <v>4.60975155523187</v>
      </c>
      <c r="C223">
        <v>0</v>
      </c>
    </row>
    <row r="224" spans="1:3">
      <c r="A224">
        <v>224</v>
      </c>
      <c r="B224">
        <v>3.49753062246266</v>
      </c>
      <c r="C224">
        <v>0</v>
      </c>
    </row>
    <row r="225" spans="1:3">
      <c r="A225">
        <v>225</v>
      </c>
      <c r="B225">
        <v>4.97085868969346</v>
      </c>
      <c r="C225">
        <v>0</v>
      </c>
    </row>
    <row r="226" spans="1:3">
      <c r="A226">
        <v>226</v>
      </c>
      <c r="B226">
        <v>5.70546375692425</v>
      </c>
      <c r="C226">
        <v>0</v>
      </c>
    </row>
    <row r="227" spans="1:3">
      <c r="A227">
        <v>227</v>
      </c>
      <c r="B227">
        <v>1.69823882415504</v>
      </c>
      <c r="C227">
        <v>0</v>
      </c>
    </row>
    <row r="228" spans="1:3">
      <c r="A228">
        <v>228</v>
      </c>
      <c r="B228">
        <v>4.92853289138584</v>
      </c>
      <c r="C228">
        <v>0</v>
      </c>
    </row>
    <row r="229" spans="1:3">
      <c r="A229">
        <v>229</v>
      </c>
      <c r="B229">
        <v>1.35057595861662</v>
      </c>
      <c r="C229">
        <v>0</v>
      </c>
    </row>
    <row r="230" spans="1:3">
      <c r="A230">
        <v>230</v>
      </c>
      <c r="B230">
        <v>3.02355702584741</v>
      </c>
      <c r="C230">
        <v>0</v>
      </c>
    </row>
    <row r="231" spans="1:3">
      <c r="A231">
        <v>231</v>
      </c>
      <c r="B231">
        <v>2.6700270930782</v>
      </c>
      <c r="C231">
        <v>0</v>
      </c>
    </row>
    <row r="232" spans="1:3">
      <c r="A232">
        <v>232</v>
      </c>
      <c r="B232">
        <v>4.42287316030901</v>
      </c>
      <c r="C232">
        <v>0</v>
      </c>
    </row>
    <row r="233" spans="1:3">
      <c r="A233">
        <v>233</v>
      </c>
      <c r="B233">
        <v>11.5963662275398</v>
      </c>
      <c r="C233">
        <v>0</v>
      </c>
    </row>
    <row r="234" spans="1:3">
      <c r="A234">
        <v>234</v>
      </c>
      <c r="B234">
        <v>8.05833429477059</v>
      </c>
      <c r="C234">
        <v>0</v>
      </c>
    </row>
    <row r="235" spans="1:3">
      <c r="A235">
        <v>235</v>
      </c>
      <c r="B235">
        <v>7.90446436200139</v>
      </c>
      <c r="C235">
        <v>0</v>
      </c>
    </row>
    <row r="236" spans="1:3">
      <c r="A236">
        <v>236</v>
      </c>
      <c r="B236">
        <v>7.18158042923217</v>
      </c>
      <c r="C236">
        <v>0</v>
      </c>
    </row>
    <row r="237" spans="1:3">
      <c r="A237">
        <v>237</v>
      </c>
      <c r="B237">
        <v>5.25077149646296</v>
      </c>
      <c r="C237">
        <v>0</v>
      </c>
    </row>
    <row r="238" spans="1:3">
      <c r="A238">
        <v>238</v>
      </c>
      <c r="B238">
        <v>1.97229956369377</v>
      </c>
      <c r="C238">
        <v>0</v>
      </c>
    </row>
    <row r="239" spans="1:3">
      <c r="A239">
        <v>239</v>
      </c>
      <c r="B239">
        <v>3.25595263092455</v>
      </c>
      <c r="C239">
        <v>0</v>
      </c>
    </row>
    <row r="240" spans="1:3">
      <c r="A240">
        <v>240</v>
      </c>
      <c r="B240">
        <v>2.37334669815534</v>
      </c>
      <c r="C240">
        <v>0</v>
      </c>
    </row>
    <row r="241" spans="1:3">
      <c r="A241">
        <v>241</v>
      </c>
      <c r="B241">
        <v>1.01155376538614</v>
      </c>
      <c r="C241">
        <v>0</v>
      </c>
    </row>
    <row r="242" spans="1:3">
      <c r="A242">
        <v>242</v>
      </c>
      <c r="B242">
        <v>0.0590698326169417</v>
      </c>
      <c r="C242">
        <v>0</v>
      </c>
    </row>
    <row r="243" spans="1:3">
      <c r="A243">
        <v>243</v>
      </c>
      <c r="B243">
        <v>-0.17466410015227</v>
      </c>
      <c r="C243">
        <v>0</v>
      </c>
    </row>
    <row r="244" spans="1:3">
      <c r="A244">
        <v>244</v>
      </c>
      <c r="B244">
        <v>1.12894896707853</v>
      </c>
      <c r="C244">
        <v>0</v>
      </c>
    </row>
    <row r="245" spans="1:3">
      <c r="A245">
        <v>245</v>
      </c>
      <c r="B245">
        <v>-4.50546596569069</v>
      </c>
      <c r="C245">
        <v>0</v>
      </c>
    </row>
    <row r="246" spans="1:3">
      <c r="A246">
        <v>246</v>
      </c>
      <c r="B246">
        <v>-0.636270898459884</v>
      </c>
      <c r="C246">
        <v>0</v>
      </c>
    </row>
    <row r="247" spans="1:3">
      <c r="A247">
        <v>247</v>
      </c>
      <c r="B247">
        <v>-7.3288518312291</v>
      </c>
      <c r="C247">
        <v>0</v>
      </c>
    </row>
    <row r="248" spans="1:3">
      <c r="A248">
        <v>248</v>
      </c>
      <c r="B248">
        <v>-7.66241676399832</v>
      </c>
      <c r="C248">
        <v>0</v>
      </c>
    </row>
    <row r="249" spans="1:3">
      <c r="A249">
        <v>249</v>
      </c>
      <c r="B249">
        <v>-6.23899969676752</v>
      </c>
      <c r="C249">
        <v>0</v>
      </c>
    </row>
    <row r="250" spans="1:3">
      <c r="A250">
        <v>250</v>
      </c>
      <c r="B250">
        <v>-1.98048462953672</v>
      </c>
      <c r="C250">
        <v>0</v>
      </c>
    </row>
    <row r="251" spans="1:3">
      <c r="A251">
        <v>251</v>
      </c>
      <c r="B251">
        <v>1.84877743769407</v>
      </c>
      <c r="C251">
        <v>0</v>
      </c>
    </row>
    <row r="252" spans="1:3">
      <c r="A252">
        <v>252</v>
      </c>
      <c r="B252">
        <v>1.47006950492487</v>
      </c>
      <c r="C252">
        <v>0</v>
      </c>
    </row>
    <row r="253" spans="1:3">
      <c r="A253">
        <v>1</v>
      </c>
      <c r="B253">
        <v>56.0479863700041</v>
      </c>
      <c r="C253">
        <v>55.291519</v>
      </c>
    </row>
    <row r="254" spans="1:3">
      <c r="A254">
        <v>2</v>
      </c>
      <c r="B254">
        <v>56.2916993027734</v>
      </c>
      <c r="C254">
        <v>56.491634</v>
      </c>
    </row>
    <row r="255" spans="1:3">
      <c r="A255">
        <v>3</v>
      </c>
      <c r="B255">
        <v>56.5354122355426</v>
      </c>
      <c r="C255">
        <v>59.367474</v>
      </c>
    </row>
    <row r="256" spans="1:3">
      <c r="A256">
        <v>4</v>
      </c>
      <c r="B256">
        <v>56.7791251683118</v>
      </c>
      <c r="C256">
        <v>59.490692</v>
      </c>
    </row>
    <row r="257" spans="1:3">
      <c r="A257">
        <v>5</v>
      </c>
      <c r="B257">
        <v>57.022838101081</v>
      </c>
      <c r="C257">
        <v>59.687832</v>
      </c>
    </row>
    <row r="258" spans="1:3">
      <c r="A258">
        <v>6</v>
      </c>
      <c r="B258">
        <v>57.2665510338502</v>
      </c>
      <c r="C258">
        <v>60.321156</v>
      </c>
    </row>
    <row r="259" spans="1:3">
      <c r="A259">
        <v>7</v>
      </c>
      <c r="B259">
        <v>57.5102639666194</v>
      </c>
      <c r="C259">
        <v>60.35812</v>
      </c>
    </row>
    <row r="260" spans="1:3">
      <c r="A260">
        <v>8</v>
      </c>
      <c r="B260">
        <v>57.7539768993886</v>
      </c>
      <c r="C260">
        <v>60.503517</v>
      </c>
    </row>
    <row r="261" spans="1:3">
      <c r="A261">
        <v>9</v>
      </c>
      <c r="B261">
        <v>57.9976898321578</v>
      </c>
      <c r="C261">
        <v>60.786911</v>
      </c>
    </row>
    <row r="262" spans="1:3">
      <c r="A262">
        <v>10</v>
      </c>
      <c r="B262">
        <v>58.241402764927</v>
      </c>
      <c r="C262">
        <v>60.838661</v>
      </c>
    </row>
    <row r="263" spans="1:3">
      <c r="A263">
        <v>11</v>
      </c>
      <c r="B263">
        <v>58.4851156976962</v>
      </c>
      <c r="C263">
        <v>61.050594</v>
      </c>
    </row>
    <row r="264" spans="1:3">
      <c r="A264">
        <v>12</v>
      </c>
      <c r="B264">
        <v>58.7288286304654</v>
      </c>
      <c r="C264">
        <v>61.171341</v>
      </c>
    </row>
    <row r="265" spans="1:3">
      <c r="A265">
        <v>13</v>
      </c>
      <c r="B265">
        <v>58.9725415632346</v>
      </c>
      <c r="C265">
        <v>62.312309</v>
      </c>
    </row>
    <row r="266" spans="1:3">
      <c r="A266">
        <v>14</v>
      </c>
      <c r="B266">
        <v>59.2162544960038</v>
      </c>
      <c r="C266">
        <v>62.664707</v>
      </c>
    </row>
    <row r="267" spans="1:3">
      <c r="A267">
        <v>15</v>
      </c>
      <c r="B267">
        <v>59.459967428773</v>
      </c>
      <c r="C267">
        <v>62.79285</v>
      </c>
    </row>
    <row r="268" spans="1:3">
      <c r="A268">
        <v>16</v>
      </c>
      <c r="B268">
        <v>59.7036803615423</v>
      </c>
      <c r="C268">
        <v>63.687393</v>
      </c>
    </row>
    <row r="269" spans="1:3">
      <c r="A269">
        <v>17</v>
      </c>
      <c r="B269">
        <v>59.9473932943115</v>
      </c>
      <c r="C269">
        <v>63.784916</v>
      </c>
    </row>
    <row r="270" spans="1:3">
      <c r="A270">
        <v>18</v>
      </c>
      <c r="B270">
        <v>60.1911062270807</v>
      </c>
      <c r="C270">
        <v>63.931355</v>
      </c>
    </row>
    <row r="271" spans="1:3">
      <c r="A271">
        <v>19</v>
      </c>
      <c r="B271">
        <v>60.4348191598499</v>
      </c>
      <c r="C271">
        <v>63.954544</v>
      </c>
    </row>
    <row r="272" spans="1:3">
      <c r="A272">
        <v>20</v>
      </c>
      <c r="B272">
        <v>60.6785320926191</v>
      </c>
      <c r="C272">
        <v>64.347893</v>
      </c>
    </row>
    <row r="273" spans="1:3">
      <c r="A273">
        <v>21</v>
      </c>
      <c r="B273">
        <v>60.9222450253883</v>
      </c>
      <c r="C273">
        <v>64.357727</v>
      </c>
    </row>
    <row r="274" spans="1:3">
      <c r="A274">
        <v>22</v>
      </c>
      <c r="B274">
        <v>61.1659579581575</v>
      </c>
      <c r="C274">
        <v>64.401978</v>
      </c>
    </row>
    <row r="275" spans="1:3">
      <c r="A275">
        <v>23</v>
      </c>
      <c r="B275">
        <v>61.4096708909267</v>
      </c>
      <c r="C275">
        <v>64.414268</v>
      </c>
    </row>
    <row r="276" spans="1:3">
      <c r="A276">
        <v>24</v>
      </c>
      <c r="B276">
        <v>61.6533838236959</v>
      </c>
      <c r="C276">
        <v>64.460991</v>
      </c>
    </row>
    <row r="277" spans="1:3">
      <c r="A277">
        <v>25</v>
      </c>
      <c r="B277">
        <v>61.8970967564651</v>
      </c>
      <c r="C277">
        <v>64.56916</v>
      </c>
    </row>
    <row r="278" spans="1:3">
      <c r="A278">
        <v>26</v>
      </c>
      <c r="B278">
        <v>62.1408096892343</v>
      </c>
      <c r="C278">
        <v>64.680504</v>
      </c>
    </row>
    <row r="279" spans="1:3">
      <c r="A279">
        <v>27</v>
      </c>
      <c r="B279">
        <v>62.3845226220035</v>
      </c>
      <c r="C279">
        <v>64.704376</v>
      </c>
    </row>
    <row r="280" spans="1:3">
      <c r="A280">
        <v>28</v>
      </c>
      <c r="B280">
        <v>62.6282355547727</v>
      </c>
      <c r="C280">
        <v>64.942841</v>
      </c>
    </row>
    <row r="281" spans="1:3">
      <c r="A281">
        <v>29</v>
      </c>
      <c r="B281">
        <v>62.8719484875419</v>
      </c>
      <c r="C281">
        <v>64.974815</v>
      </c>
    </row>
    <row r="282" spans="1:3">
      <c r="A282">
        <v>30</v>
      </c>
      <c r="B282">
        <v>63.1156614203111</v>
      </c>
      <c r="C282">
        <v>65.019051</v>
      </c>
    </row>
    <row r="283" spans="1:3">
      <c r="A283">
        <v>31</v>
      </c>
      <c r="B283">
        <v>63.3593743530804</v>
      </c>
      <c r="C283">
        <v>65.291946</v>
      </c>
    </row>
    <row r="284" spans="1:3">
      <c r="A284">
        <v>32</v>
      </c>
      <c r="B284">
        <v>63.6030872858496</v>
      </c>
      <c r="C284">
        <v>65.336212</v>
      </c>
    </row>
    <row r="285" spans="1:3">
      <c r="A285">
        <v>33</v>
      </c>
      <c r="B285">
        <v>63.8468002186188</v>
      </c>
      <c r="C285">
        <v>65.466507</v>
      </c>
    </row>
    <row r="286" spans="1:3">
      <c r="A286">
        <v>34</v>
      </c>
      <c r="B286">
        <v>64.090513151388</v>
      </c>
      <c r="C286">
        <v>65.486168</v>
      </c>
    </row>
    <row r="287" spans="1:3">
      <c r="A287">
        <v>35</v>
      </c>
      <c r="B287">
        <v>64.3342260841572</v>
      </c>
      <c r="C287">
        <v>65.567657</v>
      </c>
    </row>
    <row r="288" spans="1:3">
      <c r="A288">
        <v>36</v>
      </c>
      <c r="B288">
        <v>64.5779390169264</v>
      </c>
      <c r="C288">
        <v>65.592308</v>
      </c>
    </row>
    <row r="289" spans="1:3">
      <c r="A289">
        <v>37</v>
      </c>
      <c r="B289">
        <v>64.8216519496956</v>
      </c>
      <c r="C289">
        <v>65.621384</v>
      </c>
    </row>
    <row r="290" spans="1:3">
      <c r="A290">
        <v>38</v>
      </c>
      <c r="B290">
        <v>65.0653648824648</v>
      </c>
      <c r="C290">
        <v>65.665634</v>
      </c>
    </row>
    <row r="291" spans="1:3">
      <c r="A291">
        <v>39</v>
      </c>
      <c r="B291">
        <v>65.309077815234</v>
      </c>
      <c r="C291">
        <v>65.702515</v>
      </c>
    </row>
    <row r="292" spans="1:3">
      <c r="A292">
        <v>40</v>
      </c>
      <c r="B292">
        <v>65.5527907480032</v>
      </c>
      <c r="C292">
        <v>65.847565</v>
      </c>
    </row>
    <row r="293" spans="1:3">
      <c r="A293">
        <v>41</v>
      </c>
      <c r="B293">
        <v>65.7965036807724</v>
      </c>
      <c r="C293">
        <v>66.004898</v>
      </c>
    </row>
    <row r="294" spans="1:3">
      <c r="A294">
        <v>42</v>
      </c>
      <c r="B294">
        <v>66.0402166135416</v>
      </c>
      <c r="C294">
        <v>66.040802</v>
      </c>
    </row>
    <row r="295" spans="1:3">
      <c r="A295">
        <v>43</v>
      </c>
      <c r="B295">
        <v>66.2839295463108</v>
      </c>
      <c r="C295">
        <v>66.134438</v>
      </c>
    </row>
    <row r="296" spans="1:3">
      <c r="A296">
        <v>44</v>
      </c>
      <c r="B296">
        <v>66.5276424790801</v>
      </c>
      <c r="C296">
        <v>66.553131</v>
      </c>
    </row>
    <row r="297" spans="1:3">
      <c r="A297">
        <v>45</v>
      </c>
      <c r="B297">
        <v>66.7713554118493</v>
      </c>
      <c r="C297">
        <v>66.567886</v>
      </c>
    </row>
    <row r="298" spans="1:3">
      <c r="A298">
        <v>46</v>
      </c>
      <c r="B298">
        <v>67.0150683446185</v>
      </c>
      <c r="C298">
        <v>66.737518</v>
      </c>
    </row>
    <row r="299" spans="1:3">
      <c r="A299">
        <v>47</v>
      </c>
      <c r="B299">
        <v>67.2587812773877</v>
      </c>
      <c r="C299">
        <v>67.337029</v>
      </c>
    </row>
    <row r="300" spans="1:3">
      <c r="A300">
        <v>48</v>
      </c>
      <c r="B300">
        <v>67.5024942101569</v>
      </c>
      <c r="C300">
        <v>67.364128</v>
      </c>
    </row>
    <row r="301" spans="1:3">
      <c r="A301">
        <v>49</v>
      </c>
      <c r="B301">
        <v>67.7462071429261</v>
      </c>
      <c r="C301">
        <v>67.403557</v>
      </c>
    </row>
    <row r="302" spans="1:3">
      <c r="A302">
        <v>50</v>
      </c>
      <c r="B302">
        <v>67.9899200756953</v>
      </c>
      <c r="C302">
        <v>67.644707</v>
      </c>
    </row>
    <row r="303" spans="1:3">
      <c r="A303">
        <v>51</v>
      </c>
      <c r="B303">
        <v>68.2336330084645</v>
      </c>
      <c r="C303">
        <v>67.775673</v>
      </c>
    </row>
    <row r="304" spans="1:3">
      <c r="A304">
        <v>52</v>
      </c>
      <c r="B304">
        <v>68.4773459412337</v>
      </c>
      <c r="C304">
        <v>67.874245</v>
      </c>
    </row>
    <row r="305" spans="1:3">
      <c r="A305">
        <v>53</v>
      </c>
      <c r="B305">
        <v>68.7210588740029</v>
      </c>
      <c r="C305">
        <v>68.039352</v>
      </c>
    </row>
    <row r="306" spans="1:3">
      <c r="A306">
        <v>54</v>
      </c>
      <c r="B306">
        <v>68.9647718067721</v>
      </c>
      <c r="C306">
        <v>68.243881</v>
      </c>
    </row>
    <row r="307" spans="1:3">
      <c r="A307">
        <v>55</v>
      </c>
      <c r="B307">
        <v>69.2084847395413</v>
      </c>
      <c r="C307">
        <v>68.500175</v>
      </c>
    </row>
    <row r="308" spans="1:3">
      <c r="A308">
        <v>56</v>
      </c>
      <c r="B308">
        <v>69.4521976723105</v>
      </c>
      <c r="C308">
        <v>68.65049</v>
      </c>
    </row>
    <row r="309" spans="1:3">
      <c r="A309">
        <v>57</v>
      </c>
      <c r="B309">
        <v>69.6959106050797</v>
      </c>
      <c r="C309">
        <v>68.699387</v>
      </c>
    </row>
    <row r="310" spans="1:3">
      <c r="A310">
        <v>58</v>
      </c>
      <c r="B310">
        <v>69.939623537849</v>
      </c>
      <c r="C310">
        <v>68.773132</v>
      </c>
    </row>
    <row r="311" spans="1:3">
      <c r="A311">
        <v>59</v>
      </c>
      <c r="B311">
        <v>70.1833364706182</v>
      </c>
      <c r="C311">
        <v>68.802635</v>
      </c>
    </row>
    <row r="312" spans="1:3">
      <c r="A312">
        <v>60</v>
      </c>
      <c r="B312">
        <v>70.4270494033874</v>
      </c>
      <c r="C312">
        <v>68.841965</v>
      </c>
    </row>
    <row r="313" spans="1:3">
      <c r="A313">
        <v>61</v>
      </c>
      <c r="B313">
        <v>70.6707623361566</v>
      </c>
      <c r="C313">
        <v>68.937851</v>
      </c>
    </row>
    <row r="314" spans="1:3">
      <c r="A314">
        <v>62</v>
      </c>
      <c r="B314">
        <v>70.9144752689258</v>
      </c>
      <c r="C314">
        <v>69.690422</v>
      </c>
    </row>
    <row r="315" spans="1:3">
      <c r="A315">
        <v>63</v>
      </c>
      <c r="B315">
        <v>71.158188201695</v>
      </c>
      <c r="C315">
        <v>69.732323</v>
      </c>
    </row>
    <row r="316" spans="1:3">
      <c r="A316">
        <v>64</v>
      </c>
      <c r="B316">
        <v>71.4019011344642</v>
      </c>
      <c r="C316">
        <v>69.781609</v>
      </c>
    </row>
    <row r="317" spans="1:3">
      <c r="A317">
        <v>65</v>
      </c>
      <c r="B317">
        <v>71.6456140672334</v>
      </c>
      <c r="C317">
        <v>69.820442</v>
      </c>
    </row>
    <row r="318" spans="1:3">
      <c r="A318">
        <v>66</v>
      </c>
      <c r="B318">
        <v>71.8893270000026</v>
      </c>
      <c r="C318">
        <v>69.886818</v>
      </c>
    </row>
    <row r="319" spans="1:3">
      <c r="A319">
        <v>67</v>
      </c>
      <c r="B319">
        <v>72.1330399327718</v>
      </c>
      <c r="C319">
        <v>70.09211</v>
      </c>
    </row>
    <row r="320" spans="1:3">
      <c r="A320">
        <v>68</v>
      </c>
      <c r="B320">
        <v>72.376752865541</v>
      </c>
      <c r="C320">
        <v>70.316368</v>
      </c>
    </row>
    <row r="321" spans="1:3">
      <c r="A321">
        <v>69</v>
      </c>
      <c r="B321">
        <v>72.6204657983102</v>
      </c>
      <c r="C321">
        <v>70.64904</v>
      </c>
    </row>
    <row r="322" spans="1:3">
      <c r="A322">
        <v>70</v>
      </c>
      <c r="B322">
        <v>72.8641787310794</v>
      </c>
      <c r="C322">
        <v>70.737755</v>
      </c>
    </row>
    <row r="323" spans="1:3">
      <c r="A323">
        <v>71</v>
      </c>
      <c r="B323">
        <v>73.1078916638486</v>
      </c>
      <c r="C323">
        <v>70.905334</v>
      </c>
    </row>
    <row r="324" spans="1:3">
      <c r="A324">
        <v>72</v>
      </c>
      <c r="B324">
        <v>73.3516045966178</v>
      </c>
      <c r="C324">
        <v>70.991577</v>
      </c>
    </row>
    <row r="325" spans="1:3">
      <c r="A325">
        <v>73</v>
      </c>
      <c r="B325">
        <v>73.5953175293871</v>
      </c>
      <c r="C325">
        <v>71.225685</v>
      </c>
    </row>
    <row r="326" spans="1:3">
      <c r="A326">
        <v>74</v>
      </c>
      <c r="B326">
        <v>73.8390304621563</v>
      </c>
      <c r="C326">
        <v>71.235542</v>
      </c>
    </row>
    <row r="327" spans="1:3">
      <c r="A327">
        <v>75</v>
      </c>
      <c r="B327">
        <v>74.0827433949255</v>
      </c>
      <c r="C327">
        <v>71.246353</v>
      </c>
    </row>
    <row r="328" spans="1:3">
      <c r="A328">
        <v>76</v>
      </c>
      <c r="B328">
        <v>74.3264563276947</v>
      </c>
      <c r="C328">
        <v>71.273392</v>
      </c>
    </row>
    <row r="329" spans="1:3">
      <c r="A329">
        <v>77</v>
      </c>
      <c r="B329">
        <v>74.5701692604639</v>
      </c>
      <c r="C329">
        <v>71.297157</v>
      </c>
    </row>
    <row r="330" spans="1:3">
      <c r="A330">
        <v>78</v>
      </c>
      <c r="B330">
        <v>74.8138821932331</v>
      </c>
      <c r="C330">
        <v>71.669212</v>
      </c>
    </row>
    <row r="331" spans="1:3">
      <c r="A331">
        <v>79</v>
      </c>
      <c r="B331">
        <v>75.0575951260023</v>
      </c>
      <c r="C331">
        <v>72.117767</v>
      </c>
    </row>
    <row r="332" spans="1:3">
      <c r="A332">
        <v>80</v>
      </c>
      <c r="B332">
        <v>75.3013080587715</v>
      </c>
      <c r="C332">
        <v>72.184303</v>
      </c>
    </row>
    <row r="333" spans="1:3">
      <c r="A333">
        <v>81</v>
      </c>
      <c r="B333">
        <v>75.5450209915407</v>
      </c>
      <c r="C333">
        <v>72.192863</v>
      </c>
    </row>
    <row r="334" spans="1:3">
      <c r="A334">
        <v>82</v>
      </c>
      <c r="B334">
        <v>75.7887339243099</v>
      </c>
      <c r="C334">
        <v>72.243446</v>
      </c>
    </row>
    <row r="335" spans="1:3">
      <c r="A335">
        <v>83</v>
      </c>
      <c r="B335">
        <v>76.0324468570791</v>
      </c>
      <c r="C335">
        <v>72.401154</v>
      </c>
    </row>
    <row r="336" spans="1:3">
      <c r="A336">
        <v>84</v>
      </c>
      <c r="B336">
        <v>76.2761597898483</v>
      </c>
      <c r="C336">
        <v>73.122154</v>
      </c>
    </row>
    <row r="337" spans="1:3">
      <c r="A337">
        <v>85</v>
      </c>
      <c r="B337">
        <v>76.5198727226175</v>
      </c>
      <c r="C337">
        <v>73.327736</v>
      </c>
    </row>
    <row r="338" spans="1:3">
      <c r="A338">
        <v>86</v>
      </c>
      <c r="B338">
        <v>76.7635856553867</v>
      </c>
      <c r="C338">
        <v>73.358185</v>
      </c>
    </row>
    <row r="339" spans="1:3">
      <c r="A339">
        <v>87</v>
      </c>
      <c r="B339">
        <v>77.007298588156</v>
      </c>
      <c r="C339">
        <v>73.480522</v>
      </c>
    </row>
    <row r="340" spans="1:3">
      <c r="A340">
        <v>88</v>
      </c>
      <c r="B340">
        <v>77.2510115209252</v>
      </c>
      <c r="C340">
        <v>73.635773</v>
      </c>
    </row>
    <row r="341" spans="1:3">
      <c r="A341">
        <v>89</v>
      </c>
      <c r="B341">
        <v>77.4947244536944</v>
      </c>
      <c r="C341">
        <v>73.704819</v>
      </c>
    </row>
    <row r="342" spans="1:3">
      <c r="A342">
        <v>90</v>
      </c>
      <c r="B342">
        <v>77.7384373864636</v>
      </c>
      <c r="C342">
        <v>73.840042</v>
      </c>
    </row>
    <row r="343" spans="1:3">
      <c r="A343">
        <v>91</v>
      </c>
      <c r="B343">
        <v>77.9821503192328</v>
      </c>
      <c r="C343">
        <v>74.084282</v>
      </c>
    </row>
    <row r="344" spans="1:3">
      <c r="A344">
        <v>92</v>
      </c>
      <c r="B344">
        <v>78.225863252002</v>
      </c>
      <c r="C344">
        <v>74.538239</v>
      </c>
    </row>
    <row r="345" spans="1:3">
      <c r="A345">
        <v>93</v>
      </c>
      <c r="B345">
        <v>78.4695761847712</v>
      </c>
      <c r="C345">
        <v>74.60424</v>
      </c>
    </row>
    <row r="346" spans="1:3">
      <c r="A346">
        <v>94</v>
      </c>
      <c r="B346">
        <v>78.7132891175404</v>
      </c>
      <c r="C346">
        <v>74.85067</v>
      </c>
    </row>
    <row r="347" spans="1:3">
      <c r="A347">
        <v>95</v>
      </c>
      <c r="B347">
        <v>78.9570020503096</v>
      </c>
      <c r="C347">
        <v>75.883018</v>
      </c>
    </row>
    <row r="348" spans="1:3">
      <c r="A348">
        <v>96</v>
      </c>
      <c r="B348">
        <v>79.2007149830788</v>
      </c>
      <c r="C348">
        <v>75.954315</v>
      </c>
    </row>
    <row r="349" spans="1:3">
      <c r="A349">
        <v>97</v>
      </c>
      <c r="B349">
        <v>79.444427915848</v>
      </c>
      <c r="C349">
        <v>76.091995</v>
      </c>
    </row>
    <row r="350" spans="1:3">
      <c r="A350">
        <v>98</v>
      </c>
      <c r="B350">
        <v>79.6881408486172</v>
      </c>
      <c r="C350">
        <v>76.121498</v>
      </c>
    </row>
    <row r="351" spans="1:3">
      <c r="A351">
        <v>99</v>
      </c>
      <c r="B351">
        <v>79.9318537813865</v>
      </c>
      <c r="C351">
        <v>76.293579</v>
      </c>
    </row>
    <row r="352" spans="1:3">
      <c r="A352">
        <v>100</v>
      </c>
      <c r="B352">
        <v>80.1755667141556</v>
      </c>
      <c r="C352">
        <v>76.541885</v>
      </c>
    </row>
    <row r="353" spans="1:3">
      <c r="A353">
        <v>101</v>
      </c>
      <c r="B353">
        <v>80.4192796469249</v>
      </c>
      <c r="C353">
        <v>76.641853</v>
      </c>
    </row>
    <row r="354" spans="1:3">
      <c r="A354">
        <v>102</v>
      </c>
      <c r="B354">
        <v>80.6629925796941</v>
      </c>
      <c r="C354">
        <v>76.656792</v>
      </c>
    </row>
    <row r="355" spans="1:3">
      <c r="A355">
        <v>103</v>
      </c>
      <c r="B355">
        <v>80.9067055124633</v>
      </c>
      <c r="C355">
        <v>76.871323</v>
      </c>
    </row>
    <row r="356" spans="1:3">
      <c r="A356">
        <v>104</v>
      </c>
      <c r="B356">
        <v>81.1504184452325</v>
      </c>
      <c r="C356">
        <v>77.112686</v>
      </c>
    </row>
    <row r="357" spans="1:3">
      <c r="A357">
        <v>105</v>
      </c>
      <c r="B357">
        <v>81.3941313780017</v>
      </c>
      <c r="C357">
        <v>77.144943</v>
      </c>
    </row>
    <row r="358" spans="1:3">
      <c r="A358">
        <v>106</v>
      </c>
      <c r="B358">
        <v>81.6378443107709</v>
      </c>
      <c r="C358">
        <v>77.259674</v>
      </c>
    </row>
    <row r="359" spans="1:3">
      <c r="A359">
        <v>107</v>
      </c>
      <c r="B359">
        <v>81.8815572435401</v>
      </c>
      <c r="C359">
        <v>77.500694</v>
      </c>
    </row>
    <row r="360" spans="1:3">
      <c r="A360">
        <v>108</v>
      </c>
      <c r="B360">
        <v>82.1252701763093</v>
      </c>
      <c r="C360">
        <v>77.578537</v>
      </c>
    </row>
    <row r="361" spans="1:3">
      <c r="A361">
        <v>109</v>
      </c>
      <c r="B361">
        <v>82.3689831090785</v>
      </c>
      <c r="C361">
        <v>77.827667</v>
      </c>
    </row>
    <row r="362" spans="1:3">
      <c r="A362">
        <v>110</v>
      </c>
      <c r="B362">
        <v>82.6126960418477</v>
      </c>
      <c r="C362">
        <v>77.923538</v>
      </c>
    </row>
    <row r="363" spans="1:3">
      <c r="A363">
        <v>111</v>
      </c>
      <c r="B363">
        <v>82.8564089746169</v>
      </c>
      <c r="C363">
        <v>78.009521</v>
      </c>
    </row>
    <row r="364" spans="1:3">
      <c r="A364">
        <v>112</v>
      </c>
      <c r="B364">
        <v>83.1001219073861</v>
      </c>
      <c r="C364">
        <v>78.103012</v>
      </c>
    </row>
    <row r="365" spans="1:3">
      <c r="A365">
        <v>113</v>
      </c>
      <c r="B365">
        <v>83.3438348401554</v>
      </c>
      <c r="C365">
        <v>78.105476</v>
      </c>
    </row>
    <row r="366" spans="1:3">
      <c r="A366">
        <v>114</v>
      </c>
      <c r="B366">
        <v>83.5875477729246</v>
      </c>
      <c r="C366">
        <v>78.25544</v>
      </c>
    </row>
    <row r="367" spans="1:3">
      <c r="A367">
        <v>115</v>
      </c>
      <c r="B367">
        <v>83.8312607056938</v>
      </c>
      <c r="C367">
        <v>78.358696</v>
      </c>
    </row>
    <row r="368" spans="1:3">
      <c r="A368">
        <v>116</v>
      </c>
      <c r="B368">
        <v>84.074973638463</v>
      </c>
      <c r="C368">
        <v>78.388199</v>
      </c>
    </row>
    <row r="369" spans="1:3">
      <c r="A369">
        <v>117</v>
      </c>
      <c r="B369">
        <v>84.3186865712322</v>
      </c>
      <c r="C369">
        <v>78.462914</v>
      </c>
    </row>
    <row r="370" spans="1:3">
      <c r="A370">
        <v>118</v>
      </c>
      <c r="B370">
        <v>84.5623995040014</v>
      </c>
      <c r="C370">
        <v>78.475372</v>
      </c>
    </row>
    <row r="371" spans="1:3">
      <c r="A371">
        <v>119</v>
      </c>
      <c r="B371">
        <v>84.8061124367706</v>
      </c>
      <c r="C371">
        <v>78.481621</v>
      </c>
    </row>
    <row r="372" spans="1:3">
      <c r="A372">
        <v>120</v>
      </c>
      <c r="B372">
        <v>85.0498253695398</v>
      </c>
      <c r="C372">
        <v>78.611198</v>
      </c>
    </row>
    <row r="373" spans="1:3">
      <c r="A373">
        <v>121</v>
      </c>
      <c r="B373">
        <v>85.293538302309</v>
      </c>
      <c r="C373">
        <v>78.76152</v>
      </c>
    </row>
    <row r="374" spans="1:3">
      <c r="A374">
        <v>122</v>
      </c>
      <c r="B374">
        <v>85.5372512350782</v>
      </c>
      <c r="C374">
        <v>78.865021</v>
      </c>
    </row>
    <row r="375" spans="1:3">
      <c r="A375">
        <v>123</v>
      </c>
      <c r="B375">
        <v>85.7809641678474</v>
      </c>
      <c r="C375">
        <v>78.903862</v>
      </c>
    </row>
    <row r="376" spans="1:3">
      <c r="A376">
        <v>124</v>
      </c>
      <c r="B376">
        <v>86.0246771006166</v>
      </c>
      <c r="C376">
        <v>78.931564</v>
      </c>
    </row>
    <row r="377" spans="1:3">
      <c r="A377">
        <v>125</v>
      </c>
      <c r="B377">
        <v>86.2683900333858</v>
      </c>
      <c r="C377">
        <v>78.933754</v>
      </c>
    </row>
    <row r="378" spans="1:3">
      <c r="A378">
        <v>126</v>
      </c>
      <c r="B378">
        <v>86.512102966155</v>
      </c>
      <c r="C378">
        <v>79.027405</v>
      </c>
    </row>
    <row r="379" spans="1:3">
      <c r="A379">
        <v>127</v>
      </c>
      <c r="B379">
        <v>86.7558158989243</v>
      </c>
      <c r="C379">
        <v>79.205299</v>
      </c>
    </row>
    <row r="380" spans="1:3">
      <c r="A380">
        <v>128</v>
      </c>
      <c r="B380">
        <v>86.9995288316935</v>
      </c>
      <c r="C380">
        <v>79.239594</v>
      </c>
    </row>
    <row r="381" spans="1:3">
      <c r="A381">
        <v>129</v>
      </c>
      <c r="B381">
        <v>87.2432417644627</v>
      </c>
      <c r="C381">
        <v>79.247643</v>
      </c>
    </row>
    <row r="382" spans="1:3">
      <c r="A382">
        <v>130</v>
      </c>
      <c r="B382">
        <v>87.4869546972319</v>
      </c>
      <c r="C382">
        <v>79.282524</v>
      </c>
    </row>
    <row r="383" spans="1:3">
      <c r="A383">
        <v>131</v>
      </c>
      <c r="B383">
        <v>87.7306676300011</v>
      </c>
      <c r="C383">
        <v>79.441963</v>
      </c>
    </row>
    <row r="384" spans="1:3">
      <c r="A384">
        <v>132</v>
      </c>
      <c r="B384">
        <v>87.9743805627703</v>
      </c>
      <c r="C384">
        <v>79.526665</v>
      </c>
    </row>
    <row r="385" spans="1:3">
      <c r="A385">
        <v>133</v>
      </c>
      <c r="B385">
        <v>88.2180934955395</v>
      </c>
      <c r="C385">
        <v>79.622337</v>
      </c>
    </row>
    <row r="386" spans="1:3">
      <c r="A386">
        <v>134</v>
      </c>
      <c r="B386">
        <v>88.4618064283087</v>
      </c>
      <c r="C386">
        <v>79.7379</v>
      </c>
    </row>
    <row r="387" spans="1:3">
      <c r="A387">
        <v>135</v>
      </c>
      <c r="B387">
        <v>88.7055193610779</v>
      </c>
      <c r="C387">
        <v>79.749702</v>
      </c>
    </row>
    <row r="388" spans="1:3">
      <c r="A388">
        <v>136</v>
      </c>
      <c r="B388">
        <v>88.9492322938471</v>
      </c>
      <c r="C388">
        <v>79.951775</v>
      </c>
    </row>
    <row r="389" spans="1:3">
      <c r="A389">
        <v>137</v>
      </c>
      <c r="B389">
        <v>89.1929452266163</v>
      </c>
      <c r="C389">
        <v>80.057739</v>
      </c>
    </row>
    <row r="390" spans="1:3">
      <c r="A390">
        <v>138</v>
      </c>
      <c r="B390">
        <v>89.4366581593855</v>
      </c>
      <c r="C390">
        <v>80.077461</v>
      </c>
    </row>
    <row r="391" spans="1:3">
      <c r="A391">
        <v>139</v>
      </c>
      <c r="B391">
        <v>89.6803710921547</v>
      </c>
      <c r="C391">
        <v>80.179359</v>
      </c>
    </row>
    <row r="392" spans="1:3">
      <c r="A392">
        <v>140</v>
      </c>
      <c r="B392">
        <v>89.9240840249239</v>
      </c>
      <c r="C392">
        <v>80.296448</v>
      </c>
    </row>
    <row r="393" spans="1:3">
      <c r="A393">
        <v>141</v>
      </c>
      <c r="B393">
        <v>90.1677969576932</v>
      </c>
      <c r="C393">
        <v>80.550545</v>
      </c>
    </row>
    <row r="394" spans="1:3">
      <c r="A394">
        <v>142</v>
      </c>
      <c r="B394">
        <v>90.4115098904624</v>
      </c>
      <c r="C394">
        <v>80.631927</v>
      </c>
    </row>
    <row r="395" spans="1:3">
      <c r="A395">
        <v>143</v>
      </c>
      <c r="B395">
        <v>90.6552228232316</v>
      </c>
      <c r="C395">
        <v>80.99398</v>
      </c>
    </row>
    <row r="396" spans="1:3">
      <c r="A396">
        <v>144</v>
      </c>
      <c r="B396">
        <v>90.8989357560008</v>
      </c>
      <c r="C396">
        <v>82.583374</v>
      </c>
    </row>
    <row r="397" spans="1:3">
      <c r="A397">
        <v>145</v>
      </c>
      <c r="B397">
        <v>91.14264868877</v>
      </c>
      <c r="C397">
        <v>83.07164</v>
      </c>
    </row>
    <row r="398" spans="1:3">
      <c r="A398">
        <v>146</v>
      </c>
      <c r="B398">
        <v>91.3863616215392</v>
      </c>
      <c r="C398">
        <v>83.679497</v>
      </c>
    </row>
    <row r="399" spans="1:3">
      <c r="A399">
        <v>147</v>
      </c>
      <c r="B399">
        <v>91.6300745543084</v>
      </c>
      <c r="C399">
        <v>84.401947</v>
      </c>
    </row>
    <row r="400" spans="1:3">
      <c r="A400">
        <v>148</v>
      </c>
      <c r="B400">
        <v>91.8737874870776</v>
      </c>
      <c r="C400">
        <v>85.445755</v>
      </c>
    </row>
    <row r="401" spans="1:3">
      <c r="A401">
        <v>149</v>
      </c>
      <c r="B401">
        <v>92.1175004198468</v>
      </c>
      <c r="C401">
        <v>85.694878</v>
      </c>
    </row>
    <row r="402" spans="1:3">
      <c r="A402">
        <v>150</v>
      </c>
      <c r="B402">
        <v>92.361213352616</v>
      </c>
      <c r="C402">
        <v>87.122337</v>
      </c>
    </row>
    <row r="403" spans="1:3">
      <c r="A403">
        <v>151</v>
      </c>
      <c r="B403">
        <v>92.6049262853852</v>
      </c>
      <c r="C403">
        <v>87.588196</v>
      </c>
    </row>
    <row r="404" spans="1:3">
      <c r="A404">
        <v>152</v>
      </c>
      <c r="B404">
        <v>92.8486392181544</v>
      </c>
      <c r="C404">
        <v>87.623077</v>
      </c>
    </row>
    <row r="405" spans="1:3">
      <c r="A405">
        <v>153</v>
      </c>
      <c r="B405">
        <v>93.0923521509236</v>
      </c>
      <c r="C405">
        <v>87.710258</v>
      </c>
    </row>
    <row r="406" spans="1:3">
      <c r="A406">
        <v>154</v>
      </c>
      <c r="B406">
        <v>93.3360650836928</v>
      </c>
      <c r="C406">
        <v>87.89959</v>
      </c>
    </row>
    <row r="407" spans="1:3">
      <c r="A407">
        <v>155</v>
      </c>
      <c r="B407">
        <v>93.579778016462</v>
      </c>
      <c r="C407">
        <v>88.096405</v>
      </c>
    </row>
    <row r="408" spans="1:3">
      <c r="A408">
        <v>156</v>
      </c>
      <c r="B408">
        <v>93.8234909492313</v>
      </c>
      <c r="C408">
        <v>89.401787</v>
      </c>
    </row>
    <row r="409" spans="1:3">
      <c r="A409">
        <v>157</v>
      </c>
      <c r="B409">
        <v>94.0672038820005</v>
      </c>
      <c r="C409">
        <v>89.698242</v>
      </c>
    </row>
    <row r="410" spans="1:3">
      <c r="A410">
        <v>158</v>
      </c>
      <c r="B410">
        <v>94.3109168147697</v>
      </c>
      <c r="C410">
        <v>90.126732</v>
      </c>
    </row>
    <row r="411" spans="1:3">
      <c r="A411">
        <v>159</v>
      </c>
      <c r="B411">
        <v>94.5546297475389</v>
      </c>
      <c r="C411">
        <v>90.707176</v>
      </c>
    </row>
    <row r="412" spans="1:3">
      <c r="A412">
        <v>160</v>
      </c>
      <c r="B412">
        <v>94.7983426803081</v>
      </c>
      <c r="C412">
        <v>90.707176</v>
      </c>
    </row>
    <row r="413" spans="1:3">
      <c r="A413">
        <v>161</v>
      </c>
      <c r="B413">
        <v>95.0420556130773</v>
      </c>
      <c r="C413">
        <v>90.879066</v>
      </c>
    </row>
    <row r="414" spans="1:3">
      <c r="A414">
        <v>162</v>
      </c>
      <c r="B414">
        <v>95.2857685458465</v>
      </c>
      <c r="C414">
        <v>90.889038</v>
      </c>
    </row>
    <row r="415" spans="1:3">
      <c r="A415">
        <v>163</v>
      </c>
      <c r="B415">
        <v>95.5294814786157</v>
      </c>
      <c r="C415">
        <v>91.310051</v>
      </c>
    </row>
    <row r="416" spans="1:3">
      <c r="A416">
        <v>164</v>
      </c>
      <c r="B416">
        <v>95.7731944113849</v>
      </c>
      <c r="C416">
        <v>92.289093</v>
      </c>
    </row>
    <row r="417" spans="1:3">
      <c r="A417">
        <v>165</v>
      </c>
      <c r="B417">
        <v>96.0169073441541</v>
      </c>
      <c r="C417">
        <v>92.518288</v>
      </c>
    </row>
    <row r="418" spans="1:3">
      <c r="A418">
        <v>166</v>
      </c>
      <c r="B418">
        <v>96.2606202769233</v>
      </c>
      <c r="C418">
        <v>92.844635</v>
      </c>
    </row>
    <row r="419" spans="1:3">
      <c r="A419">
        <v>167</v>
      </c>
      <c r="B419">
        <v>96.5043332096925</v>
      </c>
      <c r="C419">
        <v>92.924355</v>
      </c>
    </row>
    <row r="420" spans="1:3">
      <c r="A420">
        <v>168</v>
      </c>
      <c r="B420">
        <v>96.7480461424617</v>
      </c>
      <c r="C420">
        <v>93.133614</v>
      </c>
    </row>
    <row r="421" spans="1:3">
      <c r="A421">
        <v>169</v>
      </c>
      <c r="B421">
        <v>96.991759075231</v>
      </c>
      <c r="C421">
        <v>94.476364</v>
      </c>
    </row>
    <row r="422" spans="1:3">
      <c r="A422">
        <v>170</v>
      </c>
      <c r="B422">
        <v>97.2354720080002</v>
      </c>
      <c r="C422">
        <v>94.705559</v>
      </c>
    </row>
    <row r="423" spans="1:3">
      <c r="A423">
        <v>171</v>
      </c>
      <c r="B423">
        <v>97.4791849407694</v>
      </c>
      <c r="C423">
        <v>95.006996</v>
      </c>
    </row>
    <row r="424" spans="1:3">
      <c r="A424">
        <v>172</v>
      </c>
      <c r="B424">
        <v>97.7228978735386</v>
      </c>
      <c r="C424">
        <v>95.141525</v>
      </c>
    </row>
    <row r="425" spans="1:3">
      <c r="A425">
        <v>173</v>
      </c>
      <c r="B425">
        <v>97.9666108063078</v>
      </c>
      <c r="C425">
        <v>95.415558</v>
      </c>
    </row>
    <row r="426" spans="1:3">
      <c r="A426">
        <v>174</v>
      </c>
      <c r="B426">
        <v>98.210323739077</v>
      </c>
      <c r="C426">
        <v>95.582466</v>
      </c>
    </row>
    <row r="427" spans="1:3">
      <c r="A427">
        <v>175</v>
      </c>
      <c r="B427">
        <v>98.4540366718462</v>
      </c>
      <c r="C427">
        <v>95.851517</v>
      </c>
    </row>
    <row r="428" spans="1:3">
      <c r="A428">
        <v>176</v>
      </c>
      <c r="B428">
        <v>98.6977496046154</v>
      </c>
      <c r="C428">
        <v>95.988533</v>
      </c>
    </row>
    <row r="429" spans="1:3">
      <c r="A429">
        <v>177</v>
      </c>
      <c r="B429">
        <v>98.9414625373846</v>
      </c>
      <c r="C429">
        <v>96.182846</v>
      </c>
    </row>
    <row r="430" spans="1:3">
      <c r="A430">
        <v>178</v>
      </c>
      <c r="B430">
        <v>99.1851754701538</v>
      </c>
      <c r="C430">
        <v>96.658661</v>
      </c>
    </row>
    <row r="431" spans="1:3">
      <c r="A431">
        <v>179</v>
      </c>
      <c r="B431">
        <v>99.428888402923</v>
      </c>
      <c r="C431">
        <v>96.715965</v>
      </c>
    </row>
    <row r="432" spans="1:3">
      <c r="A432">
        <v>180</v>
      </c>
      <c r="B432">
        <v>99.6726013356922</v>
      </c>
      <c r="C432">
        <v>96.930199</v>
      </c>
    </row>
    <row r="433" spans="1:3">
      <c r="A433">
        <v>181</v>
      </c>
      <c r="B433">
        <v>99.9163142684614</v>
      </c>
      <c r="C433">
        <v>97.381111</v>
      </c>
    </row>
    <row r="434" spans="1:3">
      <c r="A434">
        <v>182</v>
      </c>
      <c r="B434">
        <v>100.160027201231</v>
      </c>
      <c r="C434">
        <v>98.011391</v>
      </c>
    </row>
    <row r="435" spans="1:3">
      <c r="A435">
        <v>183</v>
      </c>
      <c r="B435">
        <v>100.403740134</v>
      </c>
      <c r="C435">
        <v>105.886086</v>
      </c>
    </row>
    <row r="436" spans="1:3">
      <c r="A436">
        <v>184</v>
      </c>
      <c r="B436">
        <v>100.647453066769</v>
      </c>
      <c r="C436">
        <v>106.655991</v>
      </c>
    </row>
    <row r="437" spans="1:3">
      <c r="A437">
        <v>185</v>
      </c>
      <c r="B437">
        <v>100.891165999538</v>
      </c>
      <c r="C437">
        <v>106.935509</v>
      </c>
    </row>
    <row r="438" spans="1:3">
      <c r="A438">
        <v>186</v>
      </c>
      <c r="B438">
        <v>101.134878932307</v>
      </c>
      <c r="C438">
        <v>108.033615</v>
      </c>
    </row>
    <row r="439" spans="1:3">
      <c r="A439">
        <v>187</v>
      </c>
      <c r="B439">
        <v>101.378591865077</v>
      </c>
      <c r="C439">
        <v>108.554153</v>
      </c>
    </row>
    <row r="440" spans="1:3">
      <c r="A440">
        <v>188</v>
      </c>
      <c r="B440">
        <v>101.622304797846</v>
      </c>
      <c r="C440">
        <v>108.582664</v>
      </c>
    </row>
    <row r="441" spans="1:3">
      <c r="A441">
        <v>189</v>
      </c>
      <c r="B441">
        <v>101.866017730615</v>
      </c>
      <c r="C441">
        <v>108.672516</v>
      </c>
    </row>
    <row r="442" spans="1:3">
      <c r="A442">
        <v>190</v>
      </c>
      <c r="B442">
        <v>102.109730663384</v>
      </c>
      <c r="C442">
        <v>109.186623</v>
      </c>
    </row>
    <row r="443" spans="1:3">
      <c r="A443">
        <v>191</v>
      </c>
      <c r="B443">
        <v>102.353443596154</v>
      </c>
      <c r="C443">
        <v>109.279099</v>
      </c>
    </row>
    <row r="444" spans="1:3">
      <c r="A444">
        <v>192</v>
      </c>
      <c r="B444">
        <v>102.597156528923</v>
      </c>
      <c r="C444">
        <v>109.675194</v>
      </c>
    </row>
    <row r="445" spans="1:3">
      <c r="A445">
        <v>193</v>
      </c>
      <c r="B445">
        <v>102.840869461692</v>
      </c>
      <c r="C445">
        <v>109.890411</v>
      </c>
    </row>
    <row r="446" spans="1:3">
      <c r="A446">
        <v>194</v>
      </c>
      <c r="B446">
        <v>103.084582394461</v>
      </c>
      <c r="C446">
        <v>110.149963</v>
      </c>
    </row>
    <row r="447" spans="1:3">
      <c r="A447">
        <v>195</v>
      </c>
      <c r="B447">
        <v>103.32829532723</v>
      </c>
      <c r="C447">
        <v>110.249794</v>
      </c>
    </row>
    <row r="448" spans="1:3">
      <c r="A448">
        <v>196</v>
      </c>
      <c r="B448">
        <v>103.57200826</v>
      </c>
      <c r="C448">
        <v>110.921135</v>
      </c>
    </row>
    <row r="449" spans="1:3">
      <c r="A449">
        <v>197</v>
      </c>
      <c r="B449">
        <v>103.815721192769</v>
      </c>
      <c r="C449">
        <v>111.008476</v>
      </c>
    </row>
    <row r="450" spans="1:3">
      <c r="A450">
        <v>198</v>
      </c>
      <c r="B450">
        <v>104.059434125538</v>
      </c>
      <c r="C450">
        <v>111.617432</v>
      </c>
    </row>
    <row r="451" spans="1:3">
      <c r="A451">
        <v>199</v>
      </c>
      <c r="B451">
        <v>104.303147058307</v>
      </c>
      <c r="C451">
        <v>111.807106</v>
      </c>
    </row>
    <row r="452" spans="1:3">
      <c r="A452">
        <v>200</v>
      </c>
      <c r="B452">
        <v>104.546859991076</v>
      </c>
      <c r="C452">
        <v>111.936882</v>
      </c>
    </row>
    <row r="453" spans="1:3">
      <c r="A453">
        <v>201</v>
      </c>
      <c r="B453">
        <v>104.790572923846</v>
      </c>
      <c r="C453">
        <v>112.086624</v>
      </c>
    </row>
    <row r="454" spans="1:3">
      <c r="A454">
        <v>202</v>
      </c>
      <c r="B454">
        <v>105.034285856615</v>
      </c>
      <c r="C454">
        <v>112.533356</v>
      </c>
    </row>
    <row r="455" spans="1:3">
      <c r="A455">
        <v>203</v>
      </c>
      <c r="B455">
        <v>105.277998789384</v>
      </c>
      <c r="C455">
        <v>112.625694</v>
      </c>
    </row>
    <row r="456" spans="1:3">
      <c r="A456">
        <v>204</v>
      </c>
      <c r="B456">
        <v>105.521711722153</v>
      </c>
      <c r="C456">
        <v>112.815369</v>
      </c>
    </row>
    <row r="457" spans="1:3">
      <c r="A457">
        <v>205</v>
      </c>
      <c r="B457">
        <v>105.765424654922</v>
      </c>
      <c r="C457">
        <v>112.825348</v>
      </c>
    </row>
    <row r="458" spans="1:3">
      <c r="A458">
        <v>206</v>
      </c>
      <c r="B458">
        <v>106.009137587692</v>
      </c>
      <c r="C458">
        <v>112.965111</v>
      </c>
    </row>
    <row r="459" spans="1:3">
      <c r="A459">
        <v>207</v>
      </c>
      <c r="B459">
        <v>106.252850520461</v>
      </c>
      <c r="C459">
        <v>113.29454</v>
      </c>
    </row>
    <row r="460" spans="1:3">
      <c r="A460">
        <v>208</v>
      </c>
      <c r="B460">
        <v>106.49656345323</v>
      </c>
      <c r="C460">
        <v>113.501678</v>
      </c>
    </row>
    <row r="461" spans="1:3">
      <c r="A461">
        <v>209</v>
      </c>
      <c r="B461">
        <v>106.740276385999</v>
      </c>
      <c r="C461">
        <v>113.893501</v>
      </c>
    </row>
    <row r="462" spans="1:3">
      <c r="A462">
        <v>210</v>
      </c>
      <c r="B462">
        <v>106.983989318768</v>
      </c>
      <c r="C462">
        <v>114.41011</v>
      </c>
    </row>
    <row r="463" spans="1:3">
      <c r="A463">
        <v>211</v>
      </c>
      <c r="B463">
        <v>107.227702251538</v>
      </c>
      <c r="C463">
        <v>114.709602</v>
      </c>
    </row>
    <row r="464" spans="1:3">
      <c r="A464">
        <v>212</v>
      </c>
      <c r="B464">
        <v>107.471415184307</v>
      </c>
      <c r="C464">
        <v>114.752022</v>
      </c>
    </row>
    <row r="465" spans="1:3">
      <c r="A465">
        <v>213</v>
      </c>
      <c r="B465">
        <v>107.715128117076</v>
      </c>
      <c r="C465">
        <v>114.762009</v>
      </c>
    </row>
    <row r="466" spans="1:3">
      <c r="A466">
        <v>214</v>
      </c>
      <c r="B466">
        <v>107.958841049845</v>
      </c>
      <c r="C466">
        <v>114.771988</v>
      </c>
    </row>
    <row r="467" spans="1:3">
      <c r="A467">
        <v>215</v>
      </c>
      <c r="B467">
        <v>108.202553982614</v>
      </c>
      <c r="C467">
        <v>114.81192</v>
      </c>
    </row>
    <row r="468" spans="1:3">
      <c r="A468">
        <v>216</v>
      </c>
      <c r="B468">
        <v>108.446266915384</v>
      </c>
      <c r="C468">
        <v>114.841873</v>
      </c>
    </row>
    <row r="469" spans="1:3">
      <c r="A469">
        <v>217</v>
      </c>
      <c r="B469">
        <v>108.689979848153</v>
      </c>
      <c r="C469">
        <v>114.851852</v>
      </c>
    </row>
    <row r="470" spans="1:3">
      <c r="A470">
        <v>218</v>
      </c>
      <c r="B470">
        <v>108.933692780922</v>
      </c>
      <c r="C470">
        <v>114.881805</v>
      </c>
    </row>
    <row r="471" spans="1:3">
      <c r="A471">
        <v>219</v>
      </c>
      <c r="B471">
        <v>109.177405713691</v>
      </c>
      <c r="C471">
        <v>115.121384</v>
      </c>
    </row>
    <row r="472" spans="1:3">
      <c r="A472">
        <v>220</v>
      </c>
      <c r="B472">
        <v>109.421118646461</v>
      </c>
      <c r="C472">
        <v>115.161316</v>
      </c>
    </row>
    <row r="473" spans="1:3">
      <c r="A473">
        <v>221</v>
      </c>
      <c r="B473">
        <v>109.66483157923</v>
      </c>
      <c r="C473">
        <v>115.341011</v>
      </c>
    </row>
    <row r="474" spans="1:3">
      <c r="A474">
        <v>222</v>
      </c>
      <c r="B474">
        <v>109.908544511999</v>
      </c>
      <c r="C474">
        <v>115.363472</v>
      </c>
    </row>
    <row r="475" spans="1:3">
      <c r="A475">
        <v>223</v>
      </c>
      <c r="B475">
        <v>110.152257444768</v>
      </c>
      <c r="C475">
        <v>115.508217</v>
      </c>
    </row>
    <row r="476" spans="1:3">
      <c r="A476">
        <v>224</v>
      </c>
      <c r="B476">
        <v>110.395970377537</v>
      </c>
      <c r="C476">
        <v>115.550644</v>
      </c>
    </row>
    <row r="477" spans="1:3">
      <c r="A477">
        <v>225</v>
      </c>
      <c r="B477">
        <v>110.639683310307</v>
      </c>
      <c r="C477">
        <v>115.610542</v>
      </c>
    </row>
    <row r="478" spans="1:3">
      <c r="A478">
        <v>226</v>
      </c>
      <c r="B478">
        <v>110.883396243076</v>
      </c>
      <c r="C478">
        <v>115.780251</v>
      </c>
    </row>
    <row r="479" spans="1:3">
      <c r="A479">
        <v>227</v>
      </c>
      <c r="B479">
        <v>111.127109175845</v>
      </c>
      <c r="C479">
        <v>116.299355</v>
      </c>
    </row>
    <row r="480" spans="1:3">
      <c r="A480">
        <v>228</v>
      </c>
      <c r="B480">
        <v>111.370822108614</v>
      </c>
      <c r="C480">
        <v>116.399178</v>
      </c>
    </row>
    <row r="481" spans="1:3">
      <c r="A481">
        <v>229</v>
      </c>
      <c r="B481">
        <v>111.614535041383</v>
      </c>
      <c r="C481">
        <v>116.58886</v>
      </c>
    </row>
    <row r="482" spans="1:3">
      <c r="A482">
        <v>230</v>
      </c>
      <c r="B482">
        <v>111.858247974153</v>
      </c>
      <c r="C482">
        <v>116.668724</v>
      </c>
    </row>
    <row r="483" spans="1:3">
      <c r="A483">
        <v>231</v>
      </c>
      <c r="B483">
        <v>112.101960906922</v>
      </c>
      <c r="C483">
        <v>116.768547</v>
      </c>
    </row>
    <row r="484" spans="1:3">
      <c r="A484">
        <v>232</v>
      </c>
      <c r="B484">
        <v>112.345673839691</v>
      </c>
      <c r="C484">
        <v>117.117943</v>
      </c>
    </row>
    <row r="485" spans="1:3">
      <c r="A485">
        <v>233</v>
      </c>
      <c r="B485">
        <v>112.58938677246</v>
      </c>
      <c r="C485">
        <v>117.307617</v>
      </c>
    </row>
    <row r="486" spans="1:3">
      <c r="A486">
        <v>234</v>
      </c>
      <c r="B486">
        <v>112.833099705229</v>
      </c>
      <c r="C486">
        <v>118.071297</v>
      </c>
    </row>
    <row r="487" spans="1:3">
      <c r="A487">
        <v>235</v>
      </c>
      <c r="B487">
        <v>113.076812637999</v>
      </c>
      <c r="C487">
        <v>118.690002</v>
      </c>
    </row>
    <row r="488" spans="1:3">
      <c r="A488">
        <v>236</v>
      </c>
      <c r="B488">
        <v>113.320525570768</v>
      </c>
      <c r="C488">
        <v>118.81501</v>
      </c>
    </row>
    <row r="489" spans="1:3">
      <c r="A489">
        <v>237</v>
      </c>
      <c r="B489">
        <v>113.564238503537</v>
      </c>
      <c r="C489">
        <v>118.824997</v>
      </c>
    </row>
    <row r="490" spans="1:3">
      <c r="A490">
        <v>238</v>
      </c>
      <c r="B490">
        <v>113.807951436306</v>
      </c>
      <c r="C490">
        <v>120.502106</v>
      </c>
    </row>
    <row r="491" spans="1:3">
      <c r="A491">
        <v>239</v>
      </c>
      <c r="B491">
        <v>114.051664369075</v>
      </c>
      <c r="C491">
        <v>120.671806</v>
      </c>
    </row>
    <row r="492" spans="1:3">
      <c r="A492">
        <v>240</v>
      </c>
      <c r="B492">
        <v>114.295377301845</v>
      </c>
      <c r="C492">
        <v>120.751671</v>
      </c>
    </row>
    <row r="493" spans="1:3">
      <c r="A493">
        <v>241</v>
      </c>
      <c r="B493">
        <v>114.539090234614</v>
      </c>
      <c r="C493">
        <v>120.891434</v>
      </c>
    </row>
    <row r="494" spans="1:3">
      <c r="A494">
        <v>242</v>
      </c>
      <c r="B494">
        <v>114.782803167383</v>
      </c>
      <c r="C494">
        <v>120.981277</v>
      </c>
    </row>
    <row r="495" spans="1:3">
      <c r="A495">
        <v>243</v>
      </c>
      <c r="B495">
        <v>115.026516100152</v>
      </c>
      <c r="C495">
        <v>124.1558</v>
      </c>
    </row>
    <row r="496" spans="1:3">
      <c r="A496">
        <v>244</v>
      </c>
      <c r="B496">
        <v>115.270229032921</v>
      </c>
      <c r="C496">
        <v>124.185753</v>
      </c>
    </row>
    <row r="497" spans="1:3">
      <c r="A497">
        <v>245</v>
      </c>
      <c r="B497">
        <v>115.513941965691</v>
      </c>
      <c r="C497">
        <v>124.592552</v>
      </c>
    </row>
    <row r="498" spans="1:3">
      <c r="A498">
        <v>246</v>
      </c>
      <c r="B498">
        <v>115.75765489846</v>
      </c>
      <c r="C498">
        <v>124.610016</v>
      </c>
    </row>
    <row r="499" spans="1:3">
      <c r="A499">
        <v>247</v>
      </c>
      <c r="B499">
        <v>116.001367831229</v>
      </c>
      <c r="C499">
        <v>124.794701</v>
      </c>
    </row>
    <row r="500" spans="1:3">
      <c r="A500">
        <v>248</v>
      </c>
      <c r="B500">
        <v>116.245080763998</v>
      </c>
      <c r="C500">
        <v>125.640739</v>
      </c>
    </row>
    <row r="501" spans="1:3">
      <c r="A501">
        <v>249</v>
      </c>
      <c r="B501">
        <v>116.488793696768</v>
      </c>
      <c r="C501">
        <v>126.304596</v>
      </c>
    </row>
    <row r="502" spans="1:3">
      <c r="A502">
        <v>250</v>
      </c>
      <c r="B502">
        <v>116.732506629537</v>
      </c>
      <c r="C502">
        <v>128.817749</v>
      </c>
    </row>
    <row r="503" spans="1:3">
      <c r="A503">
        <v>251</v>
      </c>
      <c r="B503">
        <v>116.976219562306</v>
      </c>
      <c r="C503">
        <v>131.173691</v>
      </c>
    </row>
    <row r="504" spans="1:3">
      <c r="A504">
        <v>252</v>
      </c>
      <c r="B504">
        <v>117.219932495075</v>
      </c>
      <c r="C504">
        <v>133.948898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4"/>
  <sheetViews>
    <sheetView workbookViewId="0">
      <selection activeCell="A1" sqref="A1"/>
    </sheetView>
  </sheetViews>
  <sheetFormatPr defaultColWidth="9" defaultRowHeight="15.6" outlineLevelCol="2"/>
  <sheetData>
    <row r="1" spans="1:3">
      <c r="A1">
        <v>1</v>
      </c>
      <c r="B1">
        <v>15.4110687531843</v>
      </c>
      <c r="C1">
        <v>0</v>
      </c>
    </row>
    <row r="2" spans="1:3">
      <c r="A2">
        <v>2</v>
      </c>
      <c r="B2">
        <v>15.0712270104788</v>
      </c>
      <c r="C2">
        <v>0</v>
      </c>
    </row>
    <row r="3" spans="1:3">
      <c r="A3">
        <v>3</v>
      </c>
      <c r="B3">
        <v>16.2553872677734</v>
      </c>
      <c r="C3">
        <v>0</v>
      </c>
    </row>
    <row r="4" spans="1:3">
      <c r="A4">
        <v>4</v>
      </c>
      <c r="B4">
        <v>16.2281825250679</v>
      </c>
      <c r="C4">
        <v>0</v>
      </c>
    </row>
    <row r="5" spans="1:3">
      <c r="A5">
        <v>5</v>
      </c>
      <c r="B5">
        <v>14.8850607823625</v>
      </c>
      <c r="C5">
        <v>0</v>
      </c>
    </row>
    <row r="6" spans="1:3">
      <c r="A6">
        <v>6</v>
      </c>
      <c r="B6">
        <v>16.978202039657</v>
      </c>
      <c r="C6">
        <v>0</v>
      </c>
    </row>
    <row r="7" spans="1:3">
      <c r="A7">
        <v>7</v>
      </c>
      <c r="B7">
        <v>15.0951012969516</v>
      </c>
      <c r="C7">
        <v>0</v>
      </c>
    </row>
    <row r="8" spans="1:3">
      <c r="A8">
        <v>8</v>
      </c>
      <c r="B8">
        <v>15.4406695542461</v>
      </c>
      <c r="C8">
        <v>0</v>
      </c>
    </row>
    <row r="9" spans="1:3">
      <c r="A9">
        <v>9</v>
      </c>
      <c r="B9">
        <v>12.6248908115407</v>
      </c>
      <c r="C9">
        <v>0</v>
      </c>
    </row>
    <row r="10" spans="1:3">
      <c r="A10">
        <v>10</v>
      </c>
      <c r="B10">
        <v>11.9788350688353</v>
      </c>
      <c r="C10">
        <v>0</v>
      </c>
    </row>
    <row r="11" spans="1:3">
      <c r="A11">
        <v>11</v>
      </c>
      <c r="B11">
        <v>12.2654893261298</v>
      </c>
      <c r="C11">
        <v>0</v>
      </c>
    </row>
    <row r="12" spans="1:3">
      <c r="A12">
        <v>12</v>
      </c>
      <c r="B12">
        <v>12.0219755834243</v>
      </c>
      <c r="C12">
        <v>0</v>
      </c>
    </row>
    <row r="13" spans="1:3">
      <c r="A13">
        <v>13</v>
      </c>
      <c r="B13">
        <v>14.0267538407189</v>
      </c>
      <c r="C13">
        <v>0</v>
      </c>
    </row>
    <row r="14" spans="1:3">
      <c r="A14">
        <v>14</v>
      </c>
      <c r="B14">
        <v>14.9417490980135</v>
      </c>
      <c r="C14">
        <v>0</v>
      </c>
    </row>
    <row r="15" spans="1:3">
      <c r="A15">
        <v>15</v>
      </c>
      <c r="B15">
        <v>14.118997355308</v>
      </c>
      <c r="C15">
        <v>0</v>
      </c>
    </row>
    <row r="16" spans="1:3">
      <c r="A16">
        <v>16</v>
      </c>
      <c r="B16">
        <v>9.99744761260257</v>
      </c>
      <c r="C16">
        <v>0</v>
      </c>
    </row>
    <row r="17" spans="1:3">
      <c r="A17">
        <v>17</v>
      </c>
      <c r="B17">
        <v>8.29105886989714</v>
      </c>
      <c r="C17">
        <v>0</v>
      </c>
    </row>
    <row r="18" spans="1:3">
      <c r="A18">
        <v>18</v>
      </c>
      <c r="B18">
        <v>8.9704281271917</v>
      </c>
      <c r="C18">
        <v>0</v>
      </c>
    </row>
    <row r="19" spans="1:3">
      <c r="A19">
        <v>19</v>
      </c>
      <c r="B19">
        <v>9.78723238448623</v>
      </c>
      <c r="C19">
        <v>0</v>
      </c>
    </row>
    <row r="20" spans="1:3">
      <c r="A20">
        <v>20</v>
      </c>
      <c r="B20">
        <v>11.2422366417808</v>
      </c>
      <c r="C20">
        <v>0</v>
      </c>
    </row>
    <row r="21" spans="1:3">
      <c r="A21">
        <v>21</v>
      </c>
      <c r="B21">
        <v>10.3212788990754</v>
      </c>
      <c r="C21">
        <v>0</v>
      </c>
    </row>
    <row r="22" spans="1:3">
      <c r="A22">
        <v>22</v>
      </c>
      <c r="B22">
        <v>9.91085015636989</v>
      </c>
      <c r="C22">
        <v>0</v>
      </c>
    </row>
    <row r="23" spans="1:3">
      <c r="A23">
        <v>23</v>
      </c>
      <c r="B23">
        <v>11.8763514136645</v>
      </c>
      <c r="C23">
        <v>0</v>
      </c>
    </row>
    <row r="24" spans="1:3">
      <c r="A24">
        <v>24</v>
      </c>
      <c r="B24">
        <v>13.262629670959</v>
      </c>
      <c r="C24">
        <v>0</v>
      </c>
    </row>
    <row r="25" spans="1:3">
      <c r="A25">
        <v>25</v>
      </c>
      <c r="B25">
        <v>12.8914769282536</v>
      </c>
      <c r="C25">
        <v>0</v>
      </c>
    </row>
    <row r="26" spans="1:3">
      <c r="A26">
        <v>26</v>
      </c>
      <c r="B26">
        <v>12.3534231855481</v>
      </c>
      <c r="C26">
        <v>0</v>
      </c>
    </row>
    <row r="27" spans="1:3">
      <c r="A27">
        <v>27</v>
      </c>
      <c r="B27">
        <v>12.6793534428427</v>
      </c>
      <c r="C27">
        <v>0</v>
      </c>
    </row>
    <row r="28" spans="1:3">
      <c r="A28">
        <v>28</v>
      </c>
      <c r="B28">
        <v>10.6882667001372</v>
      </c>
      <c r="C28">
        <v>0</v>
      </c>
    </row>
    <row r="29" spans="1:3">
      <c r="A29">
        <v>29</v>
      </c>
      <c r="B29">
        <v>12.5457819574318</v>
      </c>
      <c r="C29">
        <v>0</v>
      </c>
    </row>
    <row r="30" spans="1:3">
      <c r="A30">
        <v>30</v>
      </c>
      <c r="B30">
        <v>12.4888072147263</v>
      </c>
      <c r="C30">
        <v>0</v>
      </c>
    </row>
    <row r="31" spans="1:3">
      <c r="A31">
        <v>31</v>
      </c>
      <c r="B31">
        <v>12.5398344720209</v>
      </c>
      <c r="C31">
        <v>0</v>
      </c>
    </row>
    <row r="32" spans="1:3">
      <c r="A32">
        <v>32</v>
      </c>
      <c r="B32">
        <v>12.4534107293154</v>
      </c>
      <c r="C32">
        <v>0</v>
      </c>
    </row>
    <row r="33" spans="1:3">
      <c r="A33">
        <v>33</v>
      </c>
      <c r="B33">
        <v>13.04441598661</v>
      </c>
      <c r="C33">
        <v>0</v>
      </c>
    </row>
    <row r="34" spans="1:3">
      <c r="A34">
        <v>34</v>
      </c>
      <c r="B34">
        <v>12.6831052439046</v>
      </c>
      <c r="C34">
        <v>0</v>
      </c>
    </row>
    <row r="35" spans="1:3">
      <c r="A35">
        <v>35</v>
      </c>
      <c r="B35">
        <v>12.6555495011991</v>
      </c>
      <c r="C35">
        <v>0</v>
      </c>
    </row>
    <row r="36" spans="1:3">
      <c r="A36">
        <v>36</v>
      </c>
      <c r="B36">
        <v>13.2563817584937</v>
      </c>
      <c r="C36">
        <v>0</v>
      </c>
    </row>
    <row r="37" spans="1:3">
      <c r="A37">
        <v>37</v>
      </c>
      <c r="B37">
        <v>17.0087490157882</v>
      </c>
      <c r="C37">
        <v>0</v>
      </c>
    </row>
    <row r="38" spans="1:3">
      <c r="A38">
        <v>38</v>
      </c>
      <c r="B38">
        <v>15.1453012730828</v>
      </c>
      <c r="C38">
        <v>0</v>
      </c>
    </row>
    <row r="39" spans="1:3">
      <c r="A39">
        <v>39</v>
      </c>
      <c r="B39">
        <v>13.8512815303773</v>
      </c>
      <c r="C39">
        <v>0</v>
      </c>
    </row>
    <row r="40" spans="1:3">
      <c r="A40">
        <v>40</v>
      </c>
      <c r="B40">
        <v>13.9808457876719</v>
      </c>
      <c r="C40">
        <v>0</v>
      </c>
    </row>
    <row r="41" spans="1:3">
      <c r="A41">
        <v>41</v>
      </c>
      <c r="B41">
        <v>14.1594980449665</v>
      </c>
      <c r="C41">
        <v>0</v>
      </c>
    </row>
    <row r="42" spans="1:3">
      <c r="A42">
        <v>42</v>
      </c>
      <c r="B42">
        <v>15.477035302261</v>
      </c>
      <c r="C42">
        <v>0</v>
      </c>
    </row>
    <row r="43" spans="1:3">
      <c r="A43">
        <v>43</v>
      </c>
      <c r="B43">
        <v>15.1255055595556</v>
      </c>
      <c r="C43">
        <v>0</v>
      </c>
    </row>
    <row r="44" spans="1:3">
      <c r="A44">
        <v>44</v>
      </c>
      <c r="B44">
        <v>17.6997258168501</v>
      </c>
      <c r="C44">
        <v>0</v>
      </c>
    </row>
    <row r="45" spans="1:3">
      <c r="A45">
        <v>45</v>
      </c>
      <c r="B45">
        <v>16.9260460741447</v>
      </c>
      <c r="C45">
        <v>0</v>
      </c>
    </row>
    <row r="46" spans="1:3">
      <c r="A46">
        <v>46</v>
      </c>
      <c r="B46">
        <v>17.2323383314392</v>
      </c>
      <c r="C46">
        <v>0</v>
      </c>
    </row>
    <row r="47" spans="1:3">
      <c r="A47">
        <v>47</v>
      </c>
      <c r="B47">
        <v>18.7658635887338</v>
      </c>
      <c r="C47">
        <v>0</v>
      </c>
    </row>
    <row r="48" spans="1:3">
      <c r="A48">
        <v>48</v>
      </c>
      <c r="B48">
        <v>19.7495838460283</v>
      </c>
      <c r="C48">
        <v>0</v>
      </c>
    </row>
    <row r="49" spans="1:3">
      <c r="A49">
        <v>49</v>
      </c>
      <c r="B49">
        <v>17.5228711033229</v>
      </c>
      <c r="C49">
        <v>0</v>
      </c>
    </row>
    <row r="50" spans="1:3">
      <c r="A50">
        <v>50</v>
      </c>
      <c r="B50">
        <v>16.6902923606174</v>
      </c>
      <c r="C50">
        <v>0</v>
      </c>
    </row>
    <row r="51" spans="1:3">
      <c r="A51">
        <v>51</v>
      </c>
      <c r="B51">
        <v>16.260255617912</v>
      </c>
      <c r="C51">
        <v>0</v>
      </c>
    </row>
    <row r="52" spans="1:3">
      <c r="A52">
        <v>52</v>
      </c>
      <c r="B52">
        <v>13.8862648752066</v>
      </c>
      <c r="C52">
        <v>0</v>
      </c>
    </row>
    <row r="53" spans="1:3">
      <c r="A53">
        <v>53</v>
      </c>
      <c r="B53">
        <v>10.3930261325011</v>
      </c>
      <c r="C53">
        <v>0</v>
      </c>
    </row>
    <row r="54" spans="1:3">
      <c r="A54">
        <v>54</v>
      </c>
      <c r="B54">
        <v>12.3094713897957</v>
      </c>
      <c r="C54">
        <v>0</v>
      </c>
    </row>
    <row r="55" spans="1:3">
      <c r="A55">
        <v>55</v>
      </c>
      <c r="B55">
        <v>12.5470216470902</v>
      </c>
      <c r="C55">
        <v>0</v>
      </c>
    </row>
    <row r="56" spans="1:3">
      <c r="A56">
        <v>56</v>
      </c>
      <c r="B56">
        <v>15.1997649043848</v>
      </c>
      <c r="C56">
        <v>0</v>
      </c>
    </row>
    <row r="57" spans="1:3">
      <c r="A57">
        <v>57</v>
      </c>
      <c r="B57">
        <v>10.2044201616793</v>
      </c>
      <c r="C57">
        <v>0</v>
      </c>
    </row>
    <row r="58" spans="1:3">
      <c r="A58">
        <v>58</v>
      </c>
      <c r="B58">
        <v>8.37043741897389</v>
      </c>
      <c r="C58">
        <v>0</v>
      </c>
    </row>
    <row r="59" spans="1:3">
      <c r="A59">
        <v>59</v>
      </c>
      <c r="B59">
        <v>12.2209646762684</v>
      </c>
      <c r="C59">
        <v>0</v>
      </c>
    </row>
    <row r="60" spans="1:3">
      <c r="A60">
        <v>60</v>
      </c>
      <c r="B60">
        <v>13.911548933563</v>
      </c>
      <c r="C60">
        <v>0</v>
      </c>
    </row>
    <row r="61" spans="1:3">
      <c r="A61">
        <v>61</v>
      </c>
      <c r="B61">
        <v>13.4029751908575</v>
      </c>
      <c r="C61">
        <v>0</v>
      </c>
    </row>
    <row r="62" spans="1:3">
      <c r="A62">
        <v>62</v>
      </c>
      <c r="B62">
        <v>12.3838274481521</v>
      </c>
      <c r="C62">
        <v>0</v>
      </c>
    </row>
    <row r="63" spans="1:3">
      <c r="A63">
        <v>63</v>
      </c>
      <c r="B63">
        <v>14.0548197054466</v>
      </c>
      <c r="C63">
        <v>0</v>
      </c>
    </row>
    <row r="64" spans="1:3">
      <c r="A64">
        <v>64</v>
      </c>
      <c r="B64">
        <v>16.2461359627412</v>
      </c>
      <c r="C64">
        <v>0</v>
      </c>
    </row>
    <row r="65" spans="1:3">
      <c r="A65">
        <v>65</v>
      </c>
      <c r="B65">
        <v>18.2705372200358</v>
      </c>
      <c r="C65">
        <v>0</v>
      </c>
    </row>
    <row r="66" spans="1:3">
      <c r="A66">
        <v>66</v>
      </c>
      <c r="B66">
        <v>17.2612464773303</v>
      </c>
      <c r="C66">
        <v>0</v>
      </c>
    </row>
    <row r="67" spans="1:3">
      <c r="A67">
        <v>67</v>
      </c>
      <c r="B67">
        <v>17.9700797346249</v>
      </c>
      <c r="C67">
        <v>0</v>
      </c>
    </row>
    <row r="68" spans="1:3">
      <c r="A68">
        <v>68</v>
      </c>
      <c r="B68">
        <v>16.6367689919194</v>
      </c>
      <c r="C68">
        <v>0</v>
      </c>
    </row>
    <row r="69" spans="1:3">
      <c r="A69">
        <v>69</v>
      </c>
      <c r="B69">
        <v>18.081930249214</v>
      </c>
      <c r="C69">
        <v>0</v>
      </c>
    </row>
    <row r="70" spans="1:3">
      <c r="A70">
        <v>70</v>
      </c>
      <c r="B70">
        <v>17.9562455065085</v>
      </c>
      <c r="C70">
        <v>0</v>
      </c>
    </row>
    <row r="71" spans="1:3">
      <c r="A71">
        <v>71</v>
      </c>
      <c r="B71">
        <v>17.1825657638031</v>
      </c>
      <c r="C71">
        <v>0</v>
      </c>
    </row>
    <row r="72" spans="1:3">
      <c r="A72">
        <v>72</v>
      </c>
      <c r="B72">
        <v>12.6879240210977</v>
      </c>
      <c r="C72">
        <v>0</v>
      </c>
    </row>
    <row r="73" spans="1:3">
      <c r="A73">
        <v>73</v>
      </c>
      <c r="B73">
        <v>5.38537427839219</v>
      </c>
      <c r="C73">
        <v>0</v>
      </c>
    </row>
    <row r="74" spans="1:3">
      <c r="A74">
        <v>74</v>
      </c>
      <c r="B74">
        <v>4.80802953568676</v>
      </c>
      <c r="C74">
        <v>0</v>
      </c>
    </row>
    <row r="75" spans="1:3">
      <c r="A75">
        <v>75</v>
      </c>
      <c r="B75">
        <v>-1.80373920701868</v>
      </c>
      <c r="C75">
        <v>0</v>
      </c>
    </row>
    <row r="76" spans="1:3">
      <c r="A76">
        <v>76</v>
      </c>
      <c r="B76">
        <v>0.813847050275854</v>
      </c>
      <c r="C76">
        <v>0</v>
      </c>
    </row>
    <row r="77" spans="1:3">
      <c r="A77">
        <v>77</v>
      </c>
      <c r="B77">
        <v>2.88855630757041</v>
      </c>
      <c r="C77">
        <v>0</v>
      </c>
    </row>
    <row r="78" spans="1:3">
      <c r="A78">
        <v>78</v>
      </c>
      <c r="B78">
        <v>0.600243564864996</v>
      </c>
      <c r="C78">
        <v>0</v>
      </c>
    </row>
    <row r="79" spans="1:3">
      <c r="A79">
        <v>79</v>
      </c>
      <c r="B79">
        <v>9.81167082215956</v>
      </c>
      <c r="C79">
        <v>0</v>
      </c>
    </row>
    <row r="80" spans="1:3">
      <c r="A80">
        <v>80</v>
      </c>
      <c r="B80">
        <v>3.65392707945409</v>
      </c>
      <c r="C80">
        <v>0</v>
      </c>
    </row>
    <row r="81" spans="1:3">
      <c r="A81">
        <v>81</v>
      </c>
      <c r="B81">
        <v>2.80680733674865</v>
      </c>
      <c r="C81">
        <v>0</v>
      </c>
    </row>
    <row r="82" spans="1:3">
      <c r="A82">
        <v>82</v>
      </c>
      <c r="B82">
        <v>-8.1877124059568</v>
      </c>
      <c r="C82">
        <v>0</v>
      </c>
    </row>
    <row r="83" spans="1:3">
      <c r="A83">
        <v>83</v>
      </c>
      <c r="B83">
        <v>0.559770851337731</v>
      </c>
      <c r="C83">
        <v>0</v>
      </c>
    </row>
    <row r="84" spans="1:3">
      <c r="A84">
        <v>84</v>
      </c>
      <c r="B84">
        <v>-7.60177189136769</v>
      </c>
      <c r="C84">
        <v>0</v>
      </c>
    </row>
    <row r="85" spans="1:3">
      <c r="A85">
        <v>85</v>
      </c>
      <c r="B85">
        <v>-25.8712096340731</v>
      </c>
      <c r="C85">
        <v>0</v>
      </c>
    </row>
    <row r="86" spans="1:3">
      <c r="A86">
        <v>86</v>
      </c>
      <c r="B86">
        <v>-11.4676433767786</v>
      </c>
      <c r="C86">
        <v>0</v>
      </c>
    </row>
    <row r="87" spans="1:3">
      <c r="A87">
        <v>87</v>
      </c>
      <c r="B87">
        <v>-25.393849119484</v>
      </c>
      <c r="C87">
        <v>0</v>
      </c>
    </row>
    <row r="88" spans="1:3">
      <c r="A88">
        <v>88</v>
      </c>
      <c r="B88">
        <v>-28.7876918621895</v>
      </c>
      <c r="C88">
        <v>0</v>
      </c>
    </row>
    <row r="89" spans="1:3">
      <c r="A89">
        <v>89</v>
      </c>
      <c r="B89">
        <v>-40.7890486048949</v>
      </c>
      <c r="C89">
        <v>0</v>
      </c>
    </row>
    <row r="90" spans="1:3">
      <c r="A90">
        <v>90</v>
      </c>
      <c r="B90">
        <v>-41.3992753476004</v>
      </c>
      <c r="C90">
        <v>0</v>
      </c>
    </row>
    <row r="91" spans="1:3">
      <c r="A91">
        <v>91</v>
      </c>
      <c r="B91">
        <v>-47.7445500903058</v>
      </c>
      <c r="C91">
        <v>0</v>
      </c>
    </row>
    <row r="92" spans="1:3">
      <c r="A92">
        <v>92</v>
      </c>
      <c r="B92">
        <v>-56.2417098330112</v>
      </c>
      <c r="C92">
        <v>0</v>
      </c>
    </row>
    <row r="93" spans="1:3">
      <c r="A93">
        <v>93</v>
      </c>
      <c r="B93">
        <v>-40.7622075757167</v>
      </c>
      <c r="C93">
        <v>0</v>
      </c>
    </row>
    <row r="94" spans="1:3">
      <c r="A94">
        <v>94</v>
      </c>
      <c r="B94">
        <v>-30.7216253184221</v>
      </c>
      <c r="C94">
        <v>0</v>
      </c>
    </row>
    <row r="95" spans="1:3">
      <c r="A95">
        <v>95</v>
      </c>
      <c r="B95">
        <v>-23.0402270611276</v>
      </c>
      <c r="C95">
        <v>0</v>
      </c>
    </row>
    <row r="96" spans="1:3">
      <c r="A96">
        <v>96</v>
      </c>
      <c r="B96">
        <v>-29.059725803833</v>
      </c>
      <c r="C96">
        <v>0</v>
      </c>
    </row>
    <row r="97" spans="1:3">
      <c r="A97">
        <v>97</v>
      </c>
      <c r="B97">
        <v>-28.5545505465385</v>
      </c>
      <c r="C97">
        <v>0</v>
      </c>
    </row>
    <row r="98" spans="1:3">
      <c r="A98">
        <v>98</v>
      </c>
      <c r="B98">
        <v>-26.5094742892439</v>
      </c>
      <c r="C98">
        <v>0</v>
      </c>
    </row>
    <row r="99" spans="1:3">
      <c r="A99">
        <v>99</v>
      </c>
      <c r="B99">
        <v>-30.5054440319494</v>
      </c>
      <c r="C99">
        <v>0</v>
      </c>
    </row>
    <row r="100" spans="1:3">
      <c r="A100">
        <v>100</v>
      </c>
      <c r="B100">
        <v>-27.4140577746548</v>
      </c>
      <c r="C100">
        <v>0</v>
      </c>
    </row>
    <row r="101" spans="1:3">
      <c r="A101">
        <v>101</v>
      </c>
      <c r="B101">
        <v>-32.6735165173603</v>
      </c>
      <c r="C101">
        <v>0</v>
      </c>
    </row>
    <row r="102" spans="1:3">
      <c r="A102">
        <v>102</v>
      </c>
      <c r="B102">
        <v>-26.1766272600657</v>
      </c>
      <c r="C102">
        <v>0</v>
      </c>
    </row>
    <row r="103" spans="1:3">
      <c r="A103">
        <v>103</v>
      </c>
      <c r="B103">
        <v>-24.9212390027712</v>
      </c>
      <c r="C103">
        <v>0</v>
      </c>
    </row>
    <row r="104" spans="1:3">
      <c r="A104">
        <v>104</v>
      </c>
      <c r="B104">
        <v>-20.9315667454766</v>
      </c>
      <c r="C104">
        <v>0</v>
      </c>
    </row>
    <row r="105" spans="1:3">
      <c r="A105">
        <v>105</v>
      </c>
      <c r="B105">
        <v>-16.774109488182</v>
      </c>
      <c r="C105">
        <v>0</v>
      </c>
    </row>
    <row r="106" spans="1:3">
      <c r="A106">
        <v>106</v>
      </c>
      <c r="B106">
        <v>-22.1618942308875</v>
      </c>
      <c r="C106">
        <v>0</v>
      </c>
    </row>
    <row r="107" spans="1:3">
      <c r="A107">
        <v>107</v>
      </c>
      <c r="B107">
        <v>-19.5147059735929</v>
      </c>
      <c r="C107">
        <v>0</v>
      </c>
    </row>
    <row r="108" spans="1:3">
      <c r="A108">
        <v>108</v>
      </c>
      <c r="B108">
        <v>-25.1591287162984</v>
      </c>
      <c r="C108">
        <v>0</v>
      </c>
    </row>
    <row r="109" spans="1:3">
      <c r="A109">
        <v>109</v>
      </c>
      <c r="B109">
        <v>-27.6053544590038</v>
      </c>
      <c r="C109">
        <v>0</v>
      </c>
    </row>
    <row r="110" spans="1:3">
      <c r="A110">
        <v>110</v>
      </c>
      <c r="B110">
        <v>-21.6612302017093</v>
      </c>
      <c r="C110">
        <v>0</v>
      </c>
    </row>
    <row r="111" spans="1:3">
      <c r="A111">
        <v>111</v>
      </c>
      <c r="B111">
        <v>-24.2160539444147</v>
      </c>
      <c r="C111">
        <v>0</v>
      </c>
    </row>
    <row r="112" spans="1:3">
      <c r="A112">
        <v>112</v>
      </c>
      <c r="B112">
        <v>-27.8369316871201</v>
      </c>
      <c r="C112">
        <v>0</v>
      </c>
    </row>
    <row r="113" spans="1:3">
      <c r="A113">
        <v>113</v>
      </c>
      <c r="B113">
        <v>-26.7888344298256</v>
      </c>
      <c r="C113">
        <v>0</v>
      </c>
    </row>
    <row r="114" spans="1:3">
      <c r="A114">
        <v>114</v>
      </c>
      <c r="B114">
        <v>-25.1287371725311</v>
      </c>
      <c r="C114">
        <v>0</v>
      </c>
    </row>
    <row r="115" spans="1:3">
      <c r="A115">
        <v>115</v>
      </c>
      <c r="B115">
        <v>-24.2681699152365</v>
      </c>
      <c r="C115">
        <v>0</v>
      </c>
    </row>
    <row r="116" spans="1:3">
      <c r="A116">
        <v>116</v>
      </c>
      <c r="B116">
        <v>-19.9330236579419</v>
      </c>
      <c r="C116">
        <v>0</v>
      </c>
    </row>
    <row r="117" spans="1:3">
      <c r="A117">
        <v>117</v>
      </c>
      <c r="B117">
        <v>-17.0588004006474</v>
      </c>
      <c r="C117">
        <v>0</v>
      </c>
    </row>
    <row r="118" spans="1:3">
      <c r="A118">
        <v>118</v>
      </c>
      <c r="B118">
        <v>-13.6712551433528</v>
      </c>
      <c r="C118">
        <v>0</v>
      </c>
    </row>
    <row r="119" spans="1:3">
      <c r="A119">
        <v>119</v>
      </c>
      <c r="B119">
        <v>-17.8449288860583</v>
      </c>
      <c r="C119">
        <v>0</v>
      </c>
    </row>
    <row r="120" spans="1:3">
      <c r="A120">
        <v>120</v>
      </c>
      <c r="B120">
        <v>-22.4035516287637</v>
      </c>
      <c r="C120">
        <v>0</v>
      </c>
    </row>
    <row r="121" spans="1:3">
      <c r="A121">
        <v>121</v>
      </c>
      <c r="B121">
        <v>-24.3957063714692</v>
      </c>
      <c r="C121">
        <v>0</v>
      </c>
    </row>
    <row r="122" spans="1:3">
      <c r="A122">
        <v>122</v>
      </c>
      <c r="B122">
        <v>-24.6900621141746</v>
      </c>
      <c r="C122">
        <v>0</v>
      </c>
    </row>
    <row r="123" spans="1:3">
      <c r="A123">
        <v>123</v>
      </c>
      <c r="B123">
        <v>-26.4650688568801</v>
      </c>
      <c r="C123">
        <v>0</v>
      </c>
    </row>
    <row r="124" spans="1:3">
      <c r="A124">
        <v>124</v>
      </c>
      <c r="B124">
        <v>-26.6804605995855</v>
      </c>
      <c r="C124">
        <v>0</v>
      </c>
    </row>
    <row r="125" spans="1:3">
      <c r="A125">
        <v>125</v>
      </c>
      <c r="B125">
        <v>-22.5822073422909</v>
      </c>
      <c r="C125">
        <v>0</v>
      </c>
    </row>
    <row r="126" spans="1:3">
      <c r="A126">
        <v>126</v>
      </c>
      <c r="B126">
        <v>-25.1468870849964</v>
      </c>
      <c r="C126">
        <v>0</v>
      </c>
    </row>
    <row r="127" spans="1:3">
      <c r="A127">
        <v>127</v>
      </c>
      <c r="B127">
        <v>-31.7192118277018</v>
      </c>
      <c r="C127">
        <v>0</v>
      </c>
    </row>
    <row r="128" spans="1:3">
      <c r="A128">
        <v>128</v>
      </c>
      <c r="B128">
        <v>-36.2482165704073</v>
      </c>
      <c r="C128">
        <v>0</v>
      </c>
    </row>
    <row r="129" spans="1:3">
      <c r="A129">
        <v>129</v>
      </c>
      <c r="B129">
        <v>-31.2648243131127</v>
      </c>
      <c r="C129">
        <v>0</v>
      </c>
    </row>
    <row r="130" spans="1:3">
      <c r="A130">
        <v>130</v>
      </c>
      <c r="B130">
        <v>-32.8642100558182</v>
      </c>
      <c r="C130">
        <v>0</v>
      </c>
    </row>
    <row r="131" spans="1:3">
      <c r="A131">
        <v>131</v>
      </c>
      <c r="B131">
        <v>-22.2625997985236</v>
      </c>
      <c r="C131">
        <v>0</v>
      </c>
    </row>
    <row r="132" spans="1:3">
      <c r="A132">
        <v>132</v>
      </c>
      <c r="B132">
        <v>-26.298212541229</v>
      </c>
      <c r="C132">
        <v>0</v>
      </c>
    </row>
    <row r="133" spans="1:3">
      <c r="A133">
        <v>133</v>
      </c>
      <c r="B133">
        <v>-22.2097552839345</v>
      </c>
      <c r="C133">
        <v>0</v>
      </c>
    </row>
    <row r="134" spans="1:3">
      <c r="A134">
        <v>134</v>
      </c>
      <c r="B134">
        <v>-20.52770002664</v>
      </c>
      <c r="C134">
        <v>0</v>
      </c>
    </row>
    <row r="135" spans="1:3">
      <c r="A135">
        <v>135</v>
      </c>
      <c r="B135">
        <v>-19.0146977693454</v>
      </c>
      <c r="C135">
        <v>0</v>
      </c>
    </row>
    <row r="136" spans="1:3">
      <c r="A136">
        <v>136</v>
      </c>
      <c r="B136">
        <v>-13.2556935120508</v>
      </c>
      <c r="C136">
        <v>0</v>
      </c>
    </row>
    <row r="137" spans="1:3">
      <c r="A137">
        <v>137</v>
      </c>
      <c r="B137">
        <v>-9.59483325475628</v>
      </c>
      <c r="C137">
        <v>0</v>
      </c>
    </row>
    <row r="138" spans="1:3">
      <c r="A138">
        <v>138</v>
      </c>
      <c r="B138">
        <v>-10.5876449974617</v>
      </c>
      <c r="C138">
        <v>0</v>
      </c>
    </row>
    <row r="139" spans="1:3">
      <c r="A139">
        <v>139</v>
      </c>
      <c r="B139">
        <v>-12.2566337401672</v>
      </c>
      <c r="C139">
        <v>0</v>
      </c>
    </row>
    <row r="140" spans="1:3">
      <c r="A140">
        <v>140</v>
      </c>
      <c r="B140">
        <v>-11.8971044828726</v>
      </c>
      <c r="C140">
        <v>0</v>
      </c>
    </row>
    <row r="141" spans="1:3">
      <c r="A141">
        <v>141</v>
      </c>
      <c r="B141">
        <v>-9.70790822557808</v>
      </c>
      <c r="C141">
        <v>0</v>
      </c>
    </row>
    <row r="142" spans="1:3">
      <c r="A142">
        <v>142</v>
      </c>
      <c r="B142">
        <v>-4.70462596828349</v>
      </c>
      <c r="C142">
        <v>0</v>
      </c>
    </row>
    <row r="143" spans="1:3">
      <c r="A143">
        <v>143</v>
      </c>
      <c r="B143">
        <v>-2.12764371098893</v>
      </c>
      <c r="C143">
        <v>0</v>
      </c>
    </row>
    <row r="144" spans="1:3">
      <c r="A144">
        <v>144</v>
      </c>
      <c r="B144">
        <v>3.33303654630561</v>
      </c>
      <c r="C144">
        <v>0</v>
      </c>
    </row>
    <row r="145" spans="1:3">
      <c r="A145">
        <v>145</v>
      </c>
      <c r="B145">
        <v>4.90571580360015</v>
      </c>
      <c r="C145">
        <v>0</v>
      </c>
    </row>
    <row r="146" spans="1:3">
      <c r="A146">
        <v>146</v>
      </c>
      <c r="B146">
        <v>0.144213060894714</v>
      </c>
      <c r="C146">
        <v>0</v>
      </c>
    </row>
    <row r="147" spans="1:3">
      <c r="A147">
        <v>147</v>
      </c>
      <c r="B147">
        <v>-3.78202468181075</v>
      </c>
      <c r="C147">
        <v>0</v>
      </c>
    </row>
    <row r="148" spans="1:3">
      <c r="A148">
        <v>148</v>
      </c>
      <c r="B148">
        <v>-14.3705844245162</v>
      </c>
      <c r="C148">
        <v>0</v>
      </c>
    </row>
    <row r="149" spans="1:3">
      <c r="A149">
        <v>149</v>
      </c>
      <c r="B149">
        <v>-13.2752151672216</v>
      </c>
      <c r="C149">
        <v>0</v>
      </c>
    </row>
    <row r="150" spans="1:3">
      <c r="A150">
        <v>150</v>
      </c>
      <c r="B150">
        <v>-11.1357319099271</v>
      </c>
      <c r="C150">
        <v>0</v>
      </c>
    </row>
    <row r="151" spans="1:3">
      <c r="A151">
        <v>151</v>
      </c>
      <c r="B151">
        <v>-8.63829365263251</v>
      </c>
      <c r="C151">
        <v>0</v>
      </c>
    </row>
    <row r="152" spans="1:3">
      <c r="A152">
        <v>152</v>
      </c>
      <c r="B152">
        <v>-9.37257539533795</v>
      </c>
      <c r="C152">
        <v>0</v>
      </c>
    </row>
    <row r="153" spans="1:3">
      <c r="A153">
        <v>153</v>
      </c>
      <c r="B153">
        <v>-9.4505761380434</v>
      </c>
      <c r="C153">
        <v>0</v>
      </c>
    </row>
    <row r="154" spans="1:3">
      <c r="A154">
        <v>154</v>
      </c>
      <c r="B154">
        <v>-12.2631048807489</v>
      </c>
      <c r="C154">
        <v>0</v>
      </c>
    </row>
    <row r="155" spans="1:3">
      <c r="A155">
        <v>155</v>
      </c>
      <c r="B155">
        <v>-12.6592976234543</v>
      </c>
      <c r="C155">
        <v>0</v>
      </c>
    </row>
    <row r="156" spans="1:3">
      <c r="A156">
        <v>156</v>
      </c>
      <c r="B156">
        <v>-12.7074523661597</v>
      </c>
      <c r="C156">
        <v>0</v>
      </c>
    </row>
    <row r="157" spans="1:3">
      <c r="A157">
        <v>157</v>
      </c>
      <c r="B157">
        <v>-19.1494521088652</v>
      </c>
      <c r="C157">
        <v>0</v>
      </c>
    </row>
    <row r="158" spans="1:3">
      <c r="A158">
        <v>158</v>
      </c>
      <c r="B158">
        <v>-15.0311788515706</v>
      </c>
      <c r="C158">
        <v>0</v>
      </c>
    </row>
    <row r="159" spans="1:3">
      <c r="A159">
        <v>159</v>
      </c>
      <c r="B159">
        <v>-19.2258945942761</v>
      </c>
      <c r="C159">
        <v>0</v>
      </c>
    </row>
    <row r="160" spans="1:3">
      <c r="A160">
        <v>160</v>
      </c>
      <c r="B160">
        <v>-14.1927813369815</v>
      </c>
      <c r="C160">
        <v>0</v>
      </c>
    </row>
    <row r="161" spans="1:3">
      <c r="A161">
        <v>161</v>
      </c>
      <c r="B161">
        <v>-12.819000079687</v>
      </c>
      <c r="C161">
        <v>0</v>
      </c>
    </row>
    <row r="162" spans="1:3">
      <c r="A162">
        <v>162</v>
      </c>
      <c r="B162">
        <v>-13.2649058223924</v>
      </c>
      <c r="C162">
        <v>0</v>
      </c>
    </row>
    <row r="163" spans="1:3">
      <c r="A163">
        <v>163</v>
      </c>
      <c r="B163">
        <v>-12.3286245650978</v>
      </c>
      <c r="C163">
        <v>0</v>
      </c>
    </row>
    <row r="164" spans="1:3">
      <c r="A164">
        <v>164</v>
      </c>
      <c r="B164">
        <v>-10.1096133078033</v>
      </c>
      <c r="C164">
        <v>0</v>
      </c>
    </row>
    <row r="165" spans="1:3">
      <c r="A165">
        <v>165</v>
      </c>
      <c r="B165">
        <v>-12.3155740505088</v>
      </c>
      <c r="C165">
        <v>0</v>
      </c>
    </row>
    <row r="166" spans="1:3">
      <c r="A166">
        <v>166</v>
      </c>
      <c r="B166">
        <v>-11.6676687932142</v>
      </c>
      <c r="C166">
        <v>0</v>
      </c>
    </row>
    <row r="167" spans="1:3">
      <c r="A167">
        <v>167</v>
      </c>
      <c r="B167">
        <v>-15.8325535359197</v>
      </c>
      <c r="C167">
        <v>0</v>
      </c>
    </row>
    <row r="168" spans="1:3">
      <c r="A168">
        <v>168</v>
      </c>
      <c r="B168">
        <v>-14.7272352786251</v>
      </c>
      <c r="C168">
        <v>0</v>
      </c>
    </row>
    <row r="169" spans="1:3">
      <c r="A169">
        <v>169</v>
      </c>
      <c r="B169">
        <v>-13.6616810213305</v>
      </c>
      <c r="C169">
        <v>0</v>
      </c>
    </row>
    <row r="170" spans="1:3">
      <c r="A170">
        <v>170</v>
      </c>
      <c r="B170">
        <v>-9.04621676403596</v>
      </c>
      <c r="C170">
        <v>0</v>
      </c>
    </row>
    <row r="171" spans="1:3">
      <c r="A171">
        <v>171</v>
      </c>
      <c r="B171">
        <v>-5.20637050674142</v>
      </c>
      <c r="C171">
        <v>0</v>
      </c>
    </row>
    <row r="172" spans="1:3">
      <c r="A172">
        <v>172</v>
      </c>
      <c r="B172">
        <v>-4.03144224944685</v>
      </c>
      <c r="C172">
        <v>0</v>
      </c>
    </row>
    <row r="173" spans="1:3">
      <c r="A173">
        <v>173</v>
      </c>
      <c r="B173">
        <v>-2.09084199215229</v>
      </c>
      <c r="C173">
        <v>0</v>
      </c>
    </row>
    <row r="174" spans="1:3">
      <c r="A174">
        <v>174</v>
      </c>
      <c r="B174">
        <v>-3.66040573485776</v>
      </c>
      <c r="C174">
        <v>0</v>
      </c>
    </row>
    <row r="175" spans="1:3">
      <c r="A175">
        <v>175</v>
      </c>
      <c r="B175">
        <v>-2.2667264775632</v>
      </c>
      <c r="C175">
        <v>0</v>
      </c>
    </row>
    <row r="176" spans="1:3">
      <c r="A176">
        <v>176</v>
      </c>
      <c r="B176">
        <v>-2.38449222026864</v>
      </c>
      <c r="C176">
        <v>0</v>
      </c>
    </row>
    <row r="177" spans="1:3">
      <c r="A177">
        <v>177</v>
      </c>
      <c r="B177">
        <v>-3.22816396297409</v>
      </c>
      <c r="C177">
        <v>0</v>
      </c>
    </row>
    <row r="178" spans="1:3">
      <c r="A178">
        <v>178</v>
      </c>
      <c r="B178">
        <v>-7.47259270567955</v>
      </c>
      <c r="C178">
        <v>0</v>
      </c>
    </row>
    <row r="179" spans="1:3">
      <c r="A179">
        <v>179</v>
      </c>
      <c r="B179">
        <v>-6.11867844838497</v>
      </c>
      <c r="C179">
        <v>0</v>
      </c>
    </row>
    <row r="180" spans="1:3">
      <c r="A180">
        <v>180</v>
      </c>
      <c r="B180">
        <v>-4.84432319109041</v>
      </c>
      <c r="C180">
        <v>0</v>
      </c>
    </row>
    <row r="181" spans="1:3">
      <c r="A181">
        <v>181</v>
      </c>
      <c r="B181">
        <v>-2.25737693379588</v>
      </c>
      <c r="C181">
        <v>0</v>
      </c>
    </row>
    <row r="182" spans="1:3">
      <c r="A182">
        <v>182</v>
      </c>
      <c r="B182">
        <v>-7.61551367650131</v>
      </c>
      <c r="C182">
        <v>0</v>
      </c>
    </row>
    <row r="183" spans="1:3">
      <c r="A183">
        <v>183</v>
      </c>
      <c r="B183">
        <v>-7.37530841920676</v>
      </c>
      <c r="C183">
        <v>0</v>
      </c>
    </row>
    <row r="184" spans="1:3">
      <c r="A184">
        <v>184</v>
      </c>
      <c r="B184">
        <v>-8.17918516191222</v>
      </c>
      <c r="C184">
        <v>0</v>
      </c>
    </row>
    <row r="185" spans="1:3">
      <c r="A185">
        <v>185</v>
      </c>
      <c r="B185">
        <v>-9.34104790461765</v>
      </c>
      <c r="C185">
        <v>0</v>
      </c>
    </row>
    <row r="186" spans="1:3">
      <c r="A186">
        <v>186</v>
      </c>
      <c r="B186">
        <v>-5.83927664732309</v>
      </c>
      <c r="C186">
        <v>0</v>
      </c>
    </row>
    <row r="187" spans="1:3">
      <c r="A187">
        <v>187</v>
      </c>
      <c r="B187">
        <v>-4.05779539002856</v>
      </c>
      <c r="C187">
        <v>0</v>
      </c>
    </row>
    <row r="188" spans="1:3">
      <c r="A188">
        <v>188</v>
      </c>
      <c r="B188">
        <v>-1.51062813273398</v>
      </c>
      <c r="C188">
        <v>0</v>
      </c>
    </row>
    <row r="189" spans="1:3">
      <c r="A189">
        <v>189</v>
      </c>
      <c r="B189">
        <v>2.81646112456056</v>
      </c>
      <c r="C189">
        <v>0</v>
      </c>
    </row>
    <row r="190" spans="1:3">
      <c r="A190">
        <v>190</v>
      </c>
      <c r="B190">
        <v>3.69308038185514</v>
      </c>
      <c r="C190">
        <v>0</v>
      </c>
    </row>
    <row r="191" spans="1:3">
      <c r="A191">
        <v>191</v>
      </c>
      <c r="B191">
        <v>3.51565263914966</v>
      </c>
      <c r="C191">
        <v>0</v>
      </c>
    </row>
    <row r="192" spans="1:3">
      <c r="A192">
        <v>192</v>
      </c>
      <c r="B192">
        <v>3.35703989644423</v>
      </c>
      <c r="C192">
        <v>0</v>
      </c>
    </row>
    <row r="193" spans="1:3">
      <c r="A193">
        <v>193</v>
      </c>
      <c r="B193">
        <v>4.6884321537388</v>
      </c>
      <c r="C193">
        <v>0</v>
      </c>
    </row>
    <row r="194" spans="1:3">
      <c r="A194">
        <v>194</v>
      </c>
      <c r="B194">
        <v>3.19981741103334</v>
      </c>
      <c r="C194">
        <v>0</v>
      </c>
    </row>
    <row r="195" spans="1:3">
      <c r="A195">
        <v>195</v>
      </c>
      <c r="B195">
        <v>1.85121666832791</v>
      </c>
      <c r="C195">
        <v>0</v>
      </c>
    </row>
    <row r="196" spans="1:3">
      <c r="A196">
        <v>196</v>
      </c>
      <c r="B196">
        <v>1.35260692562247</v>
      </c>
      <c r="C196">
        <v>0</v>
      </c>
    </row>
    <row r="197" spans="1:3">
      <c r="A197">
        <v>197</v>
      </c>
      <c r="B197">
        <v>0.703988182917016</v>
      </c>
      <c r="C197">
        <v>0</v>
      </c>
    </row>
    <row r="198" spans="1:3">
      <c r="A198">
        <v>198</v>
      </c>
      <c r="B198">
        <v>2.06537944021156</v>
      </c>
      <c r="C198">
        <v>0</v>
      </c>
    </row>
    <row r="199" spans="1:3">
      <c r="A199">
        <v>199</v>
      </c>
      <c r="B199">
        <v>3.96676369750611</v>
      </c>
      <c r="C199">
        <v>0</v>
      </c>
    </row>
    <row r="200" spans="1:3">
      <c r="A200">
        <v>200</v>
      </c>
      <c r="B200">
        <v>9.15815695480069</v>
      </c>
      <c r="C200">
        <v>0</v>
      </c>
    </row>
    <row r="201" spans="1:3">
      <c r="A201">
        <v>201</v>
      </c>
      <c r="B201">
        <v>9.96954521209523</v>
      </c>
      <c r="C201">
        <v>0</v>
      </c>
    </row>
    <row r="202" spans="1:3">
      <c r="A202">
        <v>202</v>
      </c>
      <c r="B202">
        <v>10.6809414693898</v>
      </c>
      <c r="C202">
        <v>0</v>
      </c>
    </row>
    <row r="203" spans="1:3">
      <c r="A203">
        <v>203</v>
      </c>
      <c r="B203">
        <v>13.1023307266844</v>
      </c>
      <c r="C203">
        <v>0</v>
      </c>
    </row>
    <row r="204" spans="1:3">
      <c r="A204">
        <v>204</v>
      </c>
      <c r="B204">
        <v>10.3037179839789</v>
      </c>
      <c r="C204">
        <v>0</v>
      </c>
    </row>
    <row r="205" spans="1:3">
      <c r="A205">
        <v>205</v>
      </c>
      <c r="B205">
        <v>12.7551052412734</v>
      </c>
      <c r="C205">
        <v>0</v>
      </c>
    </row>
    <row r="206" spans="1:3">
      <c r="A206">
        <v>206</v>
      </c>
      <c r="B206">
        <v>17.286494498568</v>
      </c>
      <c r="C206">
        <v>0</v>
      </c>
    </row>
    <row r="207" spans="1:3">
      <c r="A207">
        <v>207</v>
      </c>
      <c r="B207">
        <v>11.1478857558626</v>
      </c>
      <c r="C207">
        <v>0</v>
      </c>
    </row>
    <row r="208" spans="1:3">
      <c r="A208">
        <v>208</v>
      </c>
      <c r="B208">
        <v>11.5692740131571</v>
      </c>
      <c r="C208">
        <v>0</v>
      </c>
    </row>
    <row r="209" spans="1:3">
      <c r="A209">
        <v>209</v>
      </c>
      <c r="B209">
        <v>9.18066527045167</v>
      </c>
      <c r="C209">
        <v>0</v>
      </c>
    </row>
    <row r="210" spans="1:3">
      <c r="A210">
        <v>210</v>
      </c>
      <c r="B210">
        <v>10.6920505277462</v>
      </c>
      <c r="C210">
        <v>0</v>
      </c>
    </row>
    <row r="211" spans="1:3">
      <c r="A211">
        <v>211</v>
      </c>
      <c r="B211">
        <v>9.24344378504077</v>
      </c>
      <c r="C211">
        <v>0</v>
      </c>
    </row>
    <row r="212" spans="1:3">
      <c r="A212">
        <v>212</v>
      </c>
      <c r="B212">
        <v>11.4548260423353</v>
      </c>
      <c r="C212">
        <v>0</v>
      </c>
    </row>
    <row r="213" spans="1:3">
      <c r="A213">
        <v>213</v>
      </c>
      <c r="B213">
        <v>13.5062192996299</v>
      </c>
      <c r="C213">
        <v>0</v>
      </c>
    </row>
    <row r="214" spans="1:3">
      <c r="A214">
        <v>214</v>
      </c>
      <c r="B214">
        <v>13.3676105569244</v>
      </c>
      <c r="C214">
        <v>0</v>
      </c>
    </row>
    <row r="215" spans="1:3">
      <c r="A215">
        <v>215</v>
      </c>
      <c r="B215">
        <v>15.098996814219</v>
      </c>
      <c r="C215">
        <v>0</v>
      </c>
    </row>
    <row r="216" spans="1:3">
      <c r="A216">
        <v>216</v>
      </c>
      <c r="B216">
        <v>15.4703820715136</v>
      </c>
      <c r="C216">
        <v>0</v>
      </c>
    </row>
    <row r="217" spans="1:3">
      <c r="A217">
        <v>217</v>
      </c>
      <c r="B217">
        <v>13.8617723288081</v>
      </c>
      <c r="C217">
        <v>0</v>
      </c>
    </row>
    <row r="218" spans="1:3">
      <c r="A218">
        <v>218</v>
      </c>
      <c r="B218">
        <v>6.56315958610264</v>
      </c>
      <c r="C218">
        <v>0</v>
      </c>
    </row>
    <row r="219" spans="1:3">
      <c r="A219">
        <v>219</v>
      </c>
      <c r="B219">
        <v>7.90454684339721</v>
      </c>
      <c r="C219">
        <v>0</v>
      </c>
    </row>
    <row r="220" spans="1:3">
      <c r="A220">
        <v>220</v>
      </c>
      <c r="B220">
        <v>4.04593610069179</v>
      </c>
      <c r="C220">
        <v>0</v>
      </c>
    </row>
    <row r="221" spans="1:3">
      <c r="A221">
        <v>221</v>
      </c>
      <c r="B221">
        <v>4.04732735798632</v>
      </c>
      <c r="C221">
        <v>0</v>
      </c>
    </row>
    <row r="222" spans="1:3">
      <c r="A222">
        <v>222</v>
      </c>
      <c r="B222">
        <v>6.80872661528088</v>
      </c>
      <c r="C222">
        <v>0</v>
      </c>
    </row>
    <row r="223" spans="1:3">
      <c r="A223">
        <v>223</v>
      </c>
      <c r="B223">
        <v>9.99010987257543</v>
      </c>
      <c r="C223">
        <v>0</v>
      </c>
    </row>
    <row r="224" spans="1:3">
      <c r="A224">
        <v>224</v>
      </c>
      <c r="B224">
        <v>9.89149512987001</v>
      </c>
      <c r="C224">
        <v>0</v>
      </c>
    </row>
    <row r="225" spans="1:3">
      <c r="A225">
        <v>225</v>
      </c>
      <c r="B225">
        <v>10.0228903871646</v>
      </c>
      <c r="C225">
        <v>0</v>
      </c>
    </row>
    <row r="226" spans="1:3">
      <c r="A226">
        <v>226</v>
      </c>
      <c r="B226">
        <v>9.1242716444591</v>
      </c>
      <c r="C226">
        <v>0</v>
      </c>
    </row>
    <row r="227" spans="1:3">
      <c r="A227">
        <v>227</v>
      </c>
      <c r="B227">
        <v>11.0856689017537</v>
      </c>
      <c r="C227">
        <v>0</v>
      </c>
    </row>
    <row r="228" spans="1:3">
      <c r="A228">
        <v>228</v>
      </c>
      <c r="B228">
        <v>14.2270581590482</v>
      </c>
      <c r="C228">
        <v>0</v>
      </c>
    </row>
    <row r="229" spans="1:3">
      <c r="A229">
        <v>229</v>
      </c>
      <c r="B229">
        <v>12.4284454163428</v>
      </c>
      <c r="C229">
        <v>0</v>
      </c>
    </row>
    <row r="230" spans="1:3">
      <c r="A230">
        <v>230</v>
      </c>
      <c r="B230">
        <v>17.1198386736373</v>
      </c>
      <c r="C230">
        <v>0</v>
      </c>
    </row>
    <row r="231" spans="1:3">
      <c r="A231">
        <v>231</v>
      </c>
      <c r="B231">
        <v>19.3812239309319</v>
      </c>
      <c r="C231">
        <v>0</v>
      </c>
    </row>
    <row r="232" spans="1:3">
      <c r="A232">
        <v>232</v>
      </c>
      <c r="B232">
        <v>20.0126191882264</v>
      </c>
      <c r="C232">
        <v>0</v>
      </c>
    </row>
    <row r="233" spans="1:3">
      <c r="A233">
        <v>233</v>
      </c>
      <c r="B233">
        <v>21.024004445521</v>
      </c>
      <c r="C233">
        <v>0</v>
      </c>
    </row>
    <row r="234" spans="1:3">
      <c r="A234">
        <v>234</v>
      </c>
      <c r="B234">
        <v>17.2453957028156</v>
      </c>
      <c r="C234">
        <v>0</v>
      </c>
    </row>
    <row r="235" spans="1:3">
      <c r="A235">
        <v>235</v>
      </c>
      <c r="B235">
        <v>19.1967829601101</v>
      </c>
      <c r="C235">
        <v>0</v>
      </c>
    </row>
    <row r="236" spans="1:3">
      <c r="A236">
        <v>236</v>
      </c>
      <c r="B236">
        <v>18.3681722174047</v>
      </c>
      <c r="C236">
        <v>0</v>
      </c>
    </row>
    <row r="237" spans="1:3">
      <c r="A237">
        <v>237</v>
      </c>
      <c r="B237">
        <v>20.6495614746992</v>
      </c>
      <c r="C237">
        <v>0</v>
      </c>
    </row>
    <row r="238" spans="1:3">
      <c r="A238">
        <v>238</v>
      </c>
      <c r="B238">
        <v>17.4109457319938</v>
      </c>
      <c r="C238">
        <v>0</v>
      </c>
    </row>
    <row r="239" spans="1:3">
      <c r="A239">
        <v>239</v>
      </c>
      <c r="B239">
        <v>19.1123339892883</v>
      </c>
      <c r="C239">
        <v>0</v>
      </c>
    </row>
    <row r="240" spans="1:3">
      <c r="A240">
        <v>240</v>
      </c>
      <c r="B240">
        <v>18.7537232465829</v>
      </c>
      <c r="C240">
        <v>0</v>
      </c>
    </row>
    <row r="241" spans="1:3">
      <c r="A241">
        <v>241</v>
      </c>
      <c r="B241">
        <v>22.7651235038774</v>
      </c>
      <c r="C241">
        <v>0</v>
      </c>
    </row>
    <row r="242" spans="1:3">
      <c r="A242">
        <v>242</v>
      </c>
      <c r="B242">
        <v>21.486499761172</v>
      </c>
      <c r="C242">
        <v>0</v>
      </c>
    </row>
    <row r="243" spans="1:3">
      <c r="A243">
        <v>243</v>
      </c>
      <c r="B243">
        <v>16.1478940184665</v>
      </c>
      <c r="C243">
        <v>0</v>
      </c>
    </row>
    <row r="244" spans="1:3">
      <c r="A244">
        <v>244</v>
      </c>
      <c r="B244">
        <v>12.7592852757611</v>
      </c>
      <c r="C244">
        <v>0</v>
      </c>
    </row>
    <row r="245" spans="1:3">
      <c r="A245">
        <v>245</v>
      </c>
      <c r="B245">
        <v>7.20067853305562</v>
      </c>
      <c r="C245">
        <v>0</v>
      </c>
    </row>
    <row r="246" spans="1:3">
      <c r="A246">
        <v>246</v>
      </c>
      <c r="B246">
        <v>10.6720697903502</v>
      </c>
      <c r="C246">
        <v>0</v>
      </c>
    </row>
    <row r="247" spans="1:3">
      <c r="A247">
        <v>247</v>
      </c>
      <c r="B247">
        <v>11.0534500476448</v>
      </c>
      <c r="C247">
        <v>0</v>
      </c>
    </row>
    <row r="248" spans="1:3">
      <c r="A248">
        <v>248</v>
      </c>
      <c r="B248">
        <v>19.7448433049393</v>
      </c>
      <c r="C248">
        <v>0</v>
      </c>
    </row>
    <row r="249" spans="1:3">
      <c r="A249">
        <v>249</v>
      </c>
      <c r="B249">
        <v>25.3762385622339</v>
      </c>
      <c r="C249">
        <v>0</v>
      </c>
    </row>
    <row r="250" spans="1:3">
      <c r="A250">
        <v>250</v>
      </c>
      <c r="B250">
        <v>25.1076248195284</v>
      </c>
      <c r="C250">
        <v>0</v>
      </c>
    </row>
    <row r="251" spans="1:3">
      <c r="A251">
        <v>251</v>
      </c>
      <c r="B251">
        <v>29.509009076823</v>
      </c>
      <c r="C251">
        <v>0</v>
      </c>
    </row>
    <row r="252" spans="1:3">
      <c r="A252">
        <v>252</v>
      </c>
      <c r="B252">
        <v>30.5304033341175</v>
      </c>
      <c r="C252">
        <v>0</v>
      </c>
    </row>
    <row r="253" spans="1:3">
      <c r="A253">
        <v>1</v>
      </c>
      <c r="B253">
        <v>161.618304246816</v>
      </c>
      <c r="C253">
        <v>102.520172</v>
      </c>
    </row>
    <row r="254" spans="1:3">
      <c r="A254">
        <v>2</v>
      </c>
      <c r="B254">
        <v>161.586914989521</v>
      </c>
      <c r="C254">
        <v>111.048721</v>
      </c>
    </row>
    <row r="255" spans="1:3">
      <c r="A255">
        <v>3</v>
      </c>
      <c r="B255">
        <v>161.555525732227</v>
      </c>
      <c r="C255">
        <v>117.425385</v>
      </c>
    </row>
    <row r="256" spans="1:3">
      <c r="A256">
        <v>4</v>
      </c>
      <c r="B256">
        <v>161.524136474932</v>
      </c>
      <c r="C256">
        <v>117.968285</v>
      </c>
    </row>
    <row r="257" spans="1:3">
      <c r="A257">
        <v>5</v>
      </c>
      <c r="B257">
        <v>161.492747217638</v>
      </c>
      <c r="C257">
        <v>118.067001</v>
      </c>
    </row>
    <row r="258" spans="1:3">
      <c r="A258">
        <v>6</v>
      </c>
      <c r="B258">
        <v>161.461357960343</v>
      </c>
      <c r="C258">
        <v>121.383652</v>
      </c>
    </row>
    <row r="259" spans="1:3">
      <c r="A259">
        <v>7</v>
      </c>
      <c r="B259">
        <v>161.429968703048</v>
      </c>
      <c r="C259">
        <v>124.70488</v>
      </c>
    </row>
    <row r="260" spans="1:3">
      <c r="A260">
        <v>8</v>
      </c>
      <c r="B260">
        <v>161.398579445754</v>
      </c>
      <c r="C260">
        <v>125.805862</v>
      </c>
    </row>
    <row r="261" spans="1:3">
      <c r="A261">
        <v>9</v>
      </c>
      <c r="B261">
        <v>161.367190188459</v>
      </c>
      <c r="C261">
        <v>125.944046</v>
      </c>
    </row>
    <row r="262" spans="1:3">
      <c r="A262">
        <v>10</v>
      </c>
      <c r="B262">
        <v>161.335800931165</v>
      </c>
      <c r="C262">
        <v>126.335655</v>
      </c>
    </row>
    <row r="263" spans="1:3">
      <c r="A263">
        <v>11</v>
      </c>
      <c r="B263">
        <v>161.30441167387</v>
      </c>
      <c r="C263">
        <v>127.977478</v>
      </c>
    </row>
    <row r="264" spans="1:3">
      <c r="A264">
        <v>12</v>
      </c>
      <c r="B264">
        <v>161.273022416576</v>
      </c>
      <c r="C264">
        <v>128.036713</v>
      </c>
    </row>
    <row r="265" spans="1:3">
      <c r="A265">
        <v>13</v>
      </c>
      <c r="B265">
        <v>161.241633159281</v>
      </c>
      <c r="C265">
        <v>129.576599</v>
      </c>
    </row>
    <row r="266" spans="1:3">
      <c r="A266">
        <v>14</v>
      </c>
      <c r="B266">
        <v>161.210243901987</v>
      </c>
      <c r="C266">
        <v>130.050385</v>
      </c>
    </row>
    <row r="267" spans="1:3">
      <c r="A267">
        <v>15</v>
      </c>
      <c r="B267">
        <v>161.178854644692</v>
      </c>
      <c r="C267">
        <v>130.099747</v>
      </c>
    </row>
    <row r="268" spans="1:3">
      <c r="A268">
        <v>16</v>
      </c>
      <c r="B268">
        <v>161.147465387397</v>
      </c>
      <c r="C268">
        <v>130.297165</v>
      </c>
    </row>
    <row r="269" spans="1:3">
      <c r="A269">
        <v>17</v>
      </c>
      <c r="B269">
        <v>161.116076130103</v>
      </c>
      <c r="C269">
        <v>130.62291</v>
      </c>
    </row>
    <row r="270" spans="1:3">
      <c r="A270">
        <v>18</v>
      </c>
      <c r="B270">
        <v>161.084686872808</v>
      </c>
      <c r="C270">
        <v>131.076965</v>
      </c>
    </row>
    <row r="271" spans="1:3">
      <c r="A271">
        <v>19</v>
      </c>
      <c r="B271">
        <v>161.053297615514</v>
      </c>
      <c r="C271">
        <v>131.09671</v>
      </c>
    </row>
    <row r="272" spans="1:3">
      <c r="A272">
        <v>20</v>
      </c>
      <c r="B272">
        <v>161.021908358219</v>
      </c>
      <c r="C272">
        <v>131.208099</v>
      </c>
    </row>
    <row r="273" spans="1:3">
      <c r="A273">
        <v>21</v>
      </c>
      <c r="B273">
        <v>160.990519100925</v>
      </c>
      <c r="C273">
        <v>131.313873</v>
      </c>
    </row>
    <row r="274" spans="1:3">
      <c r="A274">
        <v>22</v>
      </c>
      <c r="B274">
        <v>160.95912984363</v>
      </c>
      <c r="C274">
        <v>131.323746</v>
      </c>
    </row>
    <row r="275" spans="1:3">
      <c r="A275">
        <v>23</v>
      </c>
      <c r="B275">
        <v>160.927740586336</v>
      </c>
      <c r="C275">
        <v>132.064072</v>
      </c>
    </row>
    <row r="276" spans="1:3">
      <c r="A276">
        <v>24</v>
      </c>
      <c r="B276">
        <v>160.896351329041</v>
      </c>
      <c r="C276">
        <v>132.271362</v>
      </c>
    </row>
    <row r="277" spans="1:3">
      <c r="A277">
        <v>25</v>
      </c>
      <c r="B277">
        <v>160.864962071746</v>
      </c>
      <c r="C277">
        <v>132.54776</v>
      </c>
    </row>
    <row r="278" spans="1:3">
      <c r="A278">
        <v>26</v>
      </c>
      <c r="B278">
        <v>160.833572814452</v>
      </c>
      <c r="C278">
        <v>132.942581</v>
      </c>
    </row>
    <row r="279" spans="1:3">
      <c r="A279">
        <v>27</v>
      </c>
      <c r="B279">
        <v>160.802183557157</v>
      </c>
      <c r="C279">
        <v>133.100525</v>
      </c>
    </row>
    <row r="280" spans="1:3">
      <c r="A280">
        <v>28</v>
      </c>
      <c r="B280">
        <v>160.770794299863</v>
      </c>
      <c r="C280">
        <v>133.110397</v>
      </c>
    </row>
    <row r="281" spans="1:3">
      <c r="A281">
        <v>29</v>
      </c>
      <c r="B281">
        <v>160.739405042568</v>
      </c>
      <c r="C281">
        <v>133.130142</v>
      </c>
    </row>
    <row r="282" spans="1:3">
      <c r="A282">
        <v>30</v>
      </c>
      <c r="B282">
        <v>160.708015785274</v>
      </c>
      <c r="C282">
        <v>133.455887</v>
      </c>
    </row>
    <row r="283" spans="1:3">
      <c r="A283">
        <v>31</v>
      </c>
      <c r="B283">
        <v>160.676626527979</v>
      </c>
      <c r="C283">
        <v>133.495361</v>
      </c>
    </row>
    <row r="284" spans="1:3">
      <c r="A284">
        <v>32</v>
      </c>
      <c r="B284">
        <v>160.645237270685</v>
      </c>
      <c r="C284">
        <v>133.524979</v>
      </c>
    </row>
    <row r="285" spans="1:3">
      <c r="A285">
        <v>33</v>
      </c>
      <c r="B285">
        <v>160.61384801339</v>
      </c>
      <c r="C285">
        <v>133.771759</v>
      </c>
    </row>
    <row r="286" spans="1:3">
      <c r="A286">
        <v>34</v>
      </c>
      <c r="B286">
        <v>160.582458756095</v>
      </c>
      <c r="C286">
        <v>133.949432</v>
      </c>
    </row>
    <row r="287" spans="1:3">
      <c r="A287">
        <v>35</v>
      </c>
      <c r="B287">
        <v>160.551069498801</v>
      </c>
      <c r="C287">
        <v>135.143829</v>
      </c>
    </row>
    <row r="288" spans="1:3">
      <c r="A288">
        <v>36</v>
      </c>
      <c r="B288">
        <v>160.519680241506</v>
      </c>
      <c r="C288">
        <v>135.265167</v>
      </c>
    </row>
    <row r="289" spans="1:3">
      <c r="A289">
        <v>37</v>
      </c>
      <c r="B289">
        <v>160.488290984212</v>
      </c>
      <c r="C289">
        <v>135.275101</v>
      </c>
    </row>
    <row r="290" spans="1:3">
      <c r="A290">
        <v>38</v>
      </c>
      <c r="B290">
        <v>160.456901726917</v>
      </c>
      <c r="C290">
        <v>135.479431</v>
      </c>
    </row>
    <row r="291" spans="1:3">
      <c r="A291">
        <v>39</v>
      </c>
      <c r="B291">
        <v>160.425512469623</v>
      </c>
      <c r="C291">
        <v>135.627487</v>
      </c>
    </row>
    <row r="292" spans="1:3">
      <c r="A292">
        <v>40</v>
      </c>
      <c r="B292">
        <v>160.394123212328</v>
      </c>
      <c r="C292">
        <v>136.160538</v>
      </c>
    </row>
    <row r="293" spans="1:3">
      <c r="A293">
        <v>41</v>
      </c>
      <c r="B293">
        <v>160.362733955034</v>
      </c>
      <c r="C293">
        <v>136.535645</v>
      </c>
    </row>
    <row r="294" spans="1:3">
      <c r="A294">
        <v>42</v>
      </c>
      <c r="B294">
        <v>160.331344697739</v>
      </c>
      <c r="C294">
        <v>136.915833</v>
      </c>
    </row>
    <row r="295" spans="1:3">
      <c r="A295">
        <v>43</v>
      </c>
      <c r="B295">
        <v>160.299955440444</v>
      </c>
      <c r="C295">
        <v>137.432907</v>
      </c>
    </row>
    <row r="296" spans="1:3">
      <c r="A296">
        <v>44</v>
      </c>
      <c r="B296">
        <v>160.26856618315</v>
      </c>
      <c r="C296">
        <v>137.453644</v>
      </c>
    </row>
    <row r="297" spans="1:3">
      <c r="A297">
        <v>45</v>
      </c>
      <c r="B297">
        <v>160.237176925855</v>
      </c>
      <c r="C297">
        <v>137.572128</v>
      </c>
    </row>
    <row r="298" spans="1:3">
      <c r="A298">
        <v>46</v>
      </c>
      <c r="B298">
        <v>160.205787668561</v>
      </c>
      <c r="C298">
        <v>138.075516</v>
      </c>
    </row>
    <row r="299" spans="1:3">
      <c r="A299">
        <v>47</v>
      </c>
      <c r="B299">
        <v>160.174398411266</v>
      </c>
      <c r="C299">
        <v>138.397446</v>
      </c>
    </row>
    <row r="300" spans="1:3">
      <c r="A300">
        <v>48</v>
      </c>
      <c r="B300">
        <v>160.143009153972</v>
      </c>
      <c r="C300">
        <v>138.776337</v>
      </c>
    </row>
    <row r="301" spans="1:3">
      <c r="A301">
        <v>49</v>
      </c>
      <c r="B301">
        <v>160.111619896677</v>
      </c>
      <c r="C301">
        <v>140.069443</v>
      </c>
    </row>
    <row r="302" spans="1:3">
      <c r="A302">
        <v>50</v>
      </c>
      <c r="B302">
        <v>160.080230639383</v>
      </c>
      <c r="C302">
        <v>140.575134</v>
      </c>
    </row>
    <row r="303" spans="1:3">
      <c r="A303">
        <v>51</v>
      </c>
      <c r="B303">
        <v>160.048841382088</v>
      </c>
      <c r="C303">
        <v>140.91835</v>
      </c>
    </row>
    <row r="304" spans="1:3">
      <c r="A304">
        <v>52</v>
      </c>
      <c r="B304">
        <v>160.017452124793</v>
      </c>
      <c r="C304">
        <v>141.579712</v>
      </c>
    </row>
    <row r="305" spans="1:3">
      <c r="A305">
        <v>53</v>
      </c>
      <c r="B305">
        <v>159.986062867499</v>
      </c>
      <c r="C305">
        <v>141.649063</v>
      </c>
    </row>
    <row r="306" spans="1:3">
      <c r="A306">
        <v>54</v>
      </c>
      <c r="B306">
        <v>159.954673610204</v>
      </c>
      <c r="C306">
        <v>141.659012</v>
      </c>
    </row>
    <row r="307" spans="1:3">
      <c r="A307">
        <v>55</v>
      </c>
      <c r="B307">
        <v>159.92328435291</v>
      </c>
      <c r="C307">
        <v>142.434631</v>
      </c>
    </row>
    <row r="308" spans="1:3">
      <c r="A308">
        <v>56</v>
      </c>
      <c r="B308">
        <v>159.891895095615</v>
      </c>
      <c r="C308">
        <v>142.633499</v>
      </c>
    </row>
    <row r="309" spans="1:3">
      <c r="A309">
        <v>57</v>
      </c>
      <c r="B309">
        <v>159.860505838321</v>
      </c>
      <c r="C309">
        <v>142.683228</v>
      </c>
    </row>
    <row r="310" spans="1:3">
      <c r="A310">
        <v>58</v>
      </c>
      <c r="B310">
        <v>159.829116581026</v>
      </c>
      <c r="C310">
        <v>143.299728</v>
      </c>
    </row>
    <row r="311" spans="1:3">
      <c r="A311">
        <v>59</v>
      </c>
      <c r="B311">
        <v>159.797727323732</v>
      </c>
      <c r="C311">
        <v>143.697479</v>
      </c>
    </row>
    <row r="312" spans="1:3">
      <c r="A312">
        <v>60</v>
      </c>
      <c r="B312">
        <v>159.766338066437</v>
      </c>
      <c r="C312">
        <v>143.777023</v>
      </c>
    </row>
    <row r="313" spans="1:3">
      <c r="A313">
        <v>61</v>
      </c>
      <c r="B313">
        <v>159.734948809142</v>
      </c>
      <c r="C313">
        <v>144.045517</v>
      </c>
    </row>
    <row r="314" spans="1:3">
      <c r="A314">
        <v>62</v>
      </c>
      <c r="B314">
        <v>159.703559551848</v>
      </c>
      <c r="C314">
        <v>144.125061</v>
      </c>
    </row>
    <row r="315" spans="1:3">
      <c r="A315">
        <v>63</v>
      </c>
      <c r="B315">
        <v>159.672170294553</v>
      </c>
      <c r="C315">
        <v>144.125061</v>
      </c>
    </row>
    <row r="316" spans="1:3">
      <c r="A316">
        <v>64</v>
      </c>
      <c r="B316">
        <v>159.640781037259</v>
      </c>
      <c r="C316">
        <v>144.154892</v>
      </c>
    </row>
    <row r="317" spans="1:3">
      <c r="A317">
        <v>65</v>
      </c>
      <c r="B317">
        <v>159.609391779964</v>
      </c>
      <c r="C317">
        <v>144.20462</v>
      </c>
    </row>
    <row r="318" spans="1:3">
      <c r="A318">
        <v>66</v>
      </c>
      <c r="B318">
        <v>159.57800252267</v>
      </c>
      <c r="C318">
        <v>144.274506</v>
      </c>
    </row>
    <row r="319" spans="1:3">
      <c r="A319">
        <v>67</v>
      </c>
      <c r="B319">
        <v>159.546613265375</v>
      </c>
      <c r="C319">
        <v>144.552643</v>
      </c>
    </row>
    <row r="320" spans="1:3">
      <c r="A320">
        <v>68</v>
      </c>
      <c r="B320">
        <v>159.515224008081</v>
      </c>
      <c r="C320">
        <v>144.771408</v>
      </c>
    </row>
    <row r="321" spans="1:3">
      <c r="A321">
        <v>69</v>
      </c>
      <c r="B321">
        <v>159.483834750786</v>
      </c>
      <c r="C321">
        <v>145.029953</v>
      </c>
    </row>
    <row r="322" spans="1:3">
      <c r="A322">
        <v>70</v>
      </c>
      <c r="B322">
        <v>159.452445493491</v>
      </c>
      <c r="C322">
        <v>145.358093</v>
      </c>
    </row>
    <row r="323" spans="1:3">
      <c r="A323">
        <v>71</v>
      </c>
      <c r="B323">
        <v>159.421056236197</v>
      </c>
      <c r="C323">
        <v>145.805573</v>
      </c>
    </row>
    <row r="324" spans="1:3">
      <c r="A324">
        <v>72</v>
      </c>
      <c r="B324">
        <v>159.389666978902</v>
      </c>
      <c r="C324">
        <v>146.392242</v>
      </c>
    </row>
    <row r="325" spans="1:3">
      <c r="A325">
        <v>73</v>
      </c>
      <c r="B325">
        <v>159.358277721608</v>
      </c>
      <c r="C325">
        <v>146.501633</v>
      </c>
    </row>
    <row r="326" spans="1:3">
      <c r="A326">
        <v>74</v>
      </c>
      <c r="B326">
        <v>159.326888464313</v>
      </c>
      <c r="C326">
        <v>146.730331</v>
      </c>
    </row>
    <row r="327" spans="1:3">
      <c r="A327">
        <v>75</v>
      </c>
      <c r="B327">
        <v>159.295499207019</v>
      </c>
      <c r="C327">
        <v>147.267303</v>
      </c>
    </row>
    <row r="328" spans="1:3">
      <c r="A328">
        <v>76</v>
      </c>
      <c r="B328">
        <v>159.264109949724</v>
      </c>
      <c r="C328">
        <v>147.396561</v>
      </c>
    </row>
    <row r="329" spans="1:3">
      <c r="A329">
        <v>77</v>
      </c>
      <c r="B329">
        <v>159.23272069243</v>
      </c>
      <c r="C329">
        <v>147.482574</v>
      </c>
    </row>
    <row r="330" spans="1:3">
      <c r="A330">
        <v>78</v>
      </c>
      <c r="B330">
        <v>159.201331435135</v>
      </c>
      <c r="C330">
        <v>147.505951</v>
      </c>
    </row>
    <row r="331" spans="1:3">
      <c r="A331">
        <v>79</v>
      </c>
      <c r="B331">
        <v>159.16994217784</v>
      </c>
      <c r="C331">
        <v>147.5159</v>
      </c>
    </row>
    <row r="332" spans="1:3">
      <c r="A332">
        <v>80</v>
      </c>
      <c r="B332">
        <v>159.138552920546</v>
      </c>
      <c r="C332">
        <v>147.694885</v>
      </c>
    </row>
    <row r="333" spans="1:3">
      <c r="A333">
        <v>81</v>
      </c>
      <c r="B333">
        <v>159.107163663251</v>
      </c>
      <c r="C333">
        <v>147.754532</v>
      </c>
    </row>
    <row r="334" spans="1:3">
      <c r="A334">
        <v>82</v>
      </c>
      <c r="B334">
        <v>159.075774405957</v>
      </c>
      <c r="C334">
        <v>148.271622</v>
      </c>
    </row>
    <row r="335" spans="1:3">
      <c r="A335">
        <v>83</v>
      </c>
      <c r="B335">
        <v>159.044385148662</v>
      </c>
      <c r="C335">
        <v>148.321335</v>
      </c>
    </row>
    <row r="336" spans="1:3">
      <c r="A336">
        <v>84</v>
      </c>
      <c r="B336">
        <v>159.012995891368</v>
      </c>
      <c r="C336">
        <v>148.530151</v>
      </c>
    </row>
    <row r="337" spans="1:3">
      <c r="A337">
        <v>85</v>
      </c>
      <c r="B337">
        <v>158.981606634073</v>
      </c>
      <c r="C337">
        <v>148.589813</v>
      </c>
    </row>
    <row r="338" spans="1:3">
      <c r="A338">
        <v>86</v>
      </c>
      <c r="B338">
        <v>158.950217376779</v>
      </c>
      <c r="C338">
        <v>149.912338</v>
      </c>
    </row>
    <row r="339" spans="1:3">
      <c r="A339">
        <v>87</v>
      </c>
      <c r="B339">
        <v>158.918828119484</v>
      </c>
      <c r="C339">
        <v>149.972015</v>
      </c>
    </row>
    <row r="340" spans="1:3">
      <c r="A340">
        <v>88</v>
      </c>
      <c r="B340">
        <v>158.887438862189</v>
      </c>
      <c r="C340">
        <v>150.888062</v>
      </c>
    </row>
    <row r="341" spans="1:3">
      <c r="A341">
        <v>89</v>
      </c>
      <c r="B341">
        <v>158.856049604895</v>
      </c>
      <c r="C341">
        <v>151.07576</v>
      </c>
    </row>
    <row r="342" spans="1:3">
      <c r="A342">
        <v>90</v>
      </c>
      <c r="B342">
        <v>158.8246603476</v>
      </c>
      <c r="C342">
        <v>151.155304</v>
      </c>
    </row>
    <row r="343" spans="1:3">
      <c r="A343">
        <v>91</v>
      </c>
      <c r="B343">
        <v>158.793271090306</v>
      </c>
      <c r="C343">
        <v>151.411224</v>
      </c>
    </row>
    <row r="344" spans="1:3">
      <c r="A344">
        <v>92</v>
      </c>
      <c r="B344">
        <v>158.761881833011</v>
      </c>
      <c r="C344">
        <v>151.722107</v>
      </c>
    </row>
    <row r="345" spans="1:3">
      <c r="A345">
        <v>93</v>
      </c>
      <c r="B345">
        <v>158.730492575717</v>
      </c>
      <c r="C345">
        <v>152.219299</v>
      </c>
    </row>
    <row r="346" spans="1:3">
      <c r="A346">
        <v>94</v>
      </c>
      <c r="B346">
        <v>158.699103318422</v>
      </c>
      <c r="C346">
        <v>152.487793</v>
      </c>
    </row>
    <row r="347" spans="1:3">
      <c r="A347">
        <v>95</v>
      </c>
      <c r="B347">
        <v>158.667714061128</v>
      </c>
      <c r="C347">
        <v>152.527557</v>
      </c>
    </row>
    <row r="348" spans="1:3">
      <c r="A348">
        <v>96</v>
      </c>
      <c r="B348">
        <v>158.636324803833</v>
      </c>
      <c r="C348">
        <v>152.865631</v>
      </c>
    </row>
    <row r="349" spans="1:3">
      <c r="A349">
        <v>97</v>
      </c>
      <c r="B349">
        <v>158.604935546538</v>
      </c>
      <c r="C349">
        <v>153.253448</v>
      </c>
    </row>
    <row r="350" spans="1:3">
      <c r="A350">
        <v>98</v>
      </c>
      <c r="B350">
        <v>158.573546289244</v>
      </c>
      <c r="C350">
        <v>153.710861</v>
      </c>
    </row>
    <row r="351" spans="1:3">
      <c r="A351">
        <v>99</v>
      </c>
      <c r="B351">
        <v>158.542157031949</v>
      </c>
      <c r="C351">
        <v>153.740692</v>
      </c>
    </row>
    <row r="352" spans="1:3">
      <c r="A352">
        <v>100</v>
      </c>
      <c r="B352">
        <v>158.510767774655</v>
      </c>
      <c r="C352">
        <v>153.889847</v>
      </c>
    </row>
    <row r="353" spans="1:3">
      <c r="A353">
        <v>101</v>
      </c>
      <c r="B353">
        <v>158.47937851736</v>
      </c>
      <c r="C353">
        <v>154.12851</v>
      </c>
    </row>
    <row r="354" spans="1:3">
      <c r="A354">
        <v>102</v>
      </c>
      <c r="B354">
        <v>158.447989260066</v>
      </c>
      <c r="C354">
        <v>154.237885</v>
      </c>
    </row>
    <row r="355" spans="1:3">
      <c r="A355">
        <v>103</v>
      </c>
      <c r="B355">
        <v>158.416600002771</v>
      </c>
      <c r="C355">
        <v>155.033386</v>
      </c>
    </row>
    <row r="356" spans="1:3">
      <c r="A356">
        <v>104</v>
      </c>
      <c r="B356">
        <v>158.385210745477</v>
      </c>
      <c r="C356">
        <v>156.169998</v>
      </c>
    </row>
    <row r="357" spans="1:3">
      <c r="A357">
        <v>105</v>
      </c>
      <c r="B357">
        <v>158.353821488182</v>
      </c>
      <c r="C357">
        <v>156.850006</v>
      </c>
    </row>
    <row r="358" spans="1:3">
      <c r="A358">
        <v>106</v>
      </c>
      <c r="B358">
        <v>158.322432230887</v>
      </c>
      <c r="C358">
        <v>157.211075</v>
      </c>
    </row>
    <row r="359" spans="1:3">
      <c r="A359">
        <v>107</v>
      </c>
      <c r="B359">
        <v>158.291042973593</v>
      </c>
      <c r="C359">
        <v>157.380005</v>
      </c>
    </row>
    <row r="360" spans="1:3">
      <c r="A360">
        <v>108</v>
      </c>
      <c r="B360">
        <v>158.259653716298</v>
      </c>
      <c r="C360">
        <v>157.49176</v>
      </c>
    </row>
    <row r="361" spans="1:3">
      <c r="A361">
        <v>109</v>
      </c>
      <c r="B361">
        <v>158.228264459004</v>
      </c>
      <c r="C361">
        <v>157.5</v>
      </c>
    </row>
    <row r="362" spans="1:3">
      <c r="A362">
        <v>110</v>
      </c>
      <c r="B362">
        <v>158.196875201709</v>
      </c>
      <c r="C362">
        <v>158.533585</v>
      </c>
    </row>
    <row r="363" spans="1:3">
      <c r="A363">
        <v>111</v>
      </c>
      <c r="B363">
        <v>158.165485944415</v>
      </c>
      <c r="C363">
        <v>158.759995</v>
      </c>
    </row>
    <row r="364" spans="1:3">
      <c r="A364">
        <v>112</v>
      </c>
      <c r="B364">
        <v>158.13409668712</v>
      </c>
      <c r="C364">
        <v>158.759995</v>
      </c>
    </row>
    <row r="365" spans="1:3">
      <c r="A365">
        <v>113</v>
      </c>
      <c r="B365">
        <v>158.102707429826</v>
      </c>
      <c r="C365">
        <v>158.789993</v>
      </c>
    </row>
    <row r="366" spans="1:3">
      <c r="A366">
        <v>114</v>
      </c>
      <c r="B366">
        <v>158.071318172531</v>
      </c>
      <c r="C366">
        <v>158.979996</v>
      </c>
    </row>
    <row r="367" spans="1:3">
      <c r="A367">
        <v>115</v>
      </c>
      <c r="B367">
        <v>158.039928915236</v>
      </c>
      <c r="C367">
        <v>159.169998</v>
      </c>
    </row>
    <row r="368" spans="1:3">
      <c r="A368">
        <v>116</v>
      </c>
      <c r="B368">
        <v>158.008539657942</v>
      </c>
      <c r="C368">
        <v>159.369995</v>
      </c>
    </row>
    <row r="369" spans="1:3">
      <c r="A369">
        <v>117</v>
      </c>
      <c r="B369">
        <v>157.977150400647</v>
      </c>
      <c r="C369">
        <v>159.378815</v>
      </c>
    </row>
    <row r="370" spans="1:3">
      <c r="A370">
        <v>118</v>
      </c>
      <c r="B370">
        <v>157.945761143353</v>
      </c>
      <c r="C370">
        <v>159.604156</v>
      </c>
    </row>
    <row r="371" spans="1:3">
      <c r="A371">
        <v>119</v>
      </c>
      <c r="B371">
        <v>157.914371886058</v>
      </c>
      <c r="C371">
        <v>159.801575</v>
      </c>
    </row>
    <row r="372" spans="1:3">
      <c r="A372">
        <v>120</v>
      </c>
      <c r="B372">
        <v>157.882982628764</v>
      </c>
      <c r="C372">
        <v>160.077957</v>
      </c>
    </row>
    <row r="373" spans="1:3">
      <c r="A373">
        <v>121</v>
      </c>
      <c r="B373">
        <v>157.851593371469</v>
      </c>
      <c r="C373">
        <v>160.279999</v>
      </c>
    </row>
    <row r="374" spans="1:3">
      <c r="A374">
        <v>122</v>
      </c>
      <c r="B374">
        <v>157.820204114175</v>
      </c>
      <c r="C374">
        <v>160.462677</v>
      </c>
    </row>
    <row r="375" spans="1:3">
      <c r="A375">
        <v>123</v>
      </c>
      <c r="B375">
        <v>157.78881485688</v>
      </c>
      <c r="C375">
        <v>161.160004</v>
      </c>
    </row>
    <row r="376" spans="1:3">
      <c r="A376">
        <v>124</v>
      </c>
      <c r="B376">
        <v>157.757425599586</v>
      </c>
      <c r="C376">
        <v>161.369995</v>
      </c>
    </row>
    <row r="377" spans="1:3">
      <c r="A377">
        <v>125</v>
      </c>
      <c r="B377">
        <v>157.726036342291</v>
      </c>
      <c r="C377">
        <v>161.490005</v>
      </c>
    </row>
    <row r="378" spans="1:3">
      <c r="A378">
        <v>126</v>
      </c>
      <c r="B378">
        <v>157.694647084996</v>
      </c>
      <c r="C378">
        <v>161.913971</v>
      </c>
    </row>
    <row r="379" spans="1:3">
      <c r="A379">
        <v>127</v>
      </c>
      <c r="B379">
        <v>157.663257827702</v>
      </c>
      <c r="C379">
        <v>162.003967</v>
      </c>
    </row>
    <row r="380" spans="1:3">
      <c r="A380">
        <v>128</v>
      </c>
      <c r="B380">
        <v>157.631868570407</v>
      </c>
      <c r="C380">
        <v>162.121277</v>
      </c>
    </row>
    <row r="381" spans="1:3">
      <c r="A381">
        <v>129</v>
      </c>
      <c r="B381">
        <v>157.600479313113</v>
      </c>
      <c r="C381">
        <v>162.679993</v>
      </c>
    </row>
    <row r="382" spans="1:3">
      <c r="A382">
        <v>130</v>
      </c>
      <c r="B382">
        <v>157.569090055818</v>
      </c>
      <c r="C382">
        <v>162.79248</v>
      </c>
    </row>
    <row r="383" spans="1:3">
      <c r="A383">
        <v>131</v>
      </c>
      <c r="B383">
        <v>157.537700798524</v>
      </c>
      <c r="C383">
        <v>163.679993</v>
      </c>
    </row>
    <row r="384" spans="1:3">
      <c r="A384">
        <v>132</v>
      </c>
      <c r="B384">
        <v>157.506311541229</v>
      </c>
      <c r="C384">
        <v>164.134918</v>
      </c>
    </row>
    <row r="385" spans="1:3">
      <c r="A385">
        <v>133</v>
      </c>
      <c r="B385">
        <v>157.474922283935</v>
      </c>
      <c r="C385">
        <v>164.270004</v>
      </c>
    </row>
    <row r="386" spans="1:3">
      <c r="A386">
        <v>134</v>
      </c>
      <c r="B386">
        <v>157.44353302664</v>
      </c>
      <c r="C386">
        <v>164.270004</v>
      </c>
    </row>
    <row r="387" spans="1:3">
      <c r="A387">
        <v>135</v>
      </c>
      <c r="B387">
        <v>157.412143769345</v>
      </c>
      <c r="C387">
        <v>164.509995</v>
      </c>
    </row>
    <row r="388" spans="1:3">
      <c r="A388">
        <v>136</v>
      </c>
      <c r="B388">
        <v>157.380754512051</v>
      </c>
      <c r="C388">
        <v>164.529999</v>
      </c>
    </row>
    <row r="389" spans="1:3">
      <c r="A389">
        <v>137</v>
      </c>
      <c r="B389">
        <v>157.349365254756</v>
      </c>
      <c r="C389">
        <v>164.600006</v>
      </c>
    </row>
    <row r="390" spans="1:3">
      <c r="A390">
        <v>138</v>
      </c>
      <c r="B390">
        <v>157.317975997462</v>
      </c>
      <c r="C390">
        <v>164.610001</v>
      </c>
    </row>
    <row r="391" spans="1:3">
      <c r="A391">
        <v>139</v>
      </c>
      <c r="B391">
        <v>157.286586740167</v>
      </c>
      <c r="C391">
        <v>164.639999</v>
      </c>
    </row>
    <row r="392" spans="1:3">
      <c r="A392">
        <v>140</v>
      </c>
      <c r="B392">
        <v>157.255197482873</v>
      </c>
      <c r="C392">
        <v>164.743652</v>
      </c>
    </row>
    <row r="393" spans="1:3">
      <c r="A393">
        <v>141</v>
      </c>
      <c r="B393">
        <v>157.223808225578</v>
      </c>
      <c r="C393">
        <v>164.949997</v>
      </c>
    </row>
    <row r="394" spans="1:3">
      <c r="A394">
        <v>142</v>
      </c>
      <c r="B394">
        <v>157.192418968284</v>
      </c>
      <c r="C394">
        <v>165.309998</v>
      </c>
    </row>
    <row r="395" spans="1:3">
      <c r="A395">
        <v>143</v>
      </c>
      <c r="B395">
        <v>157.161029710989</v>
      </c>
      <c r="C395">
        <v>165.550003</v>
      </c>
    </row>
    <row r="396" spans="1:3">
      <c r="A396">
        <v>144</v>
      </c>
      <c r="B396">
        <v>157.129640453694</v>
      </c>
      <c r="C396">
        <v>165.610001</v>
      </c>
    </row>
    <row r="397" spans="1:3">
      <c r="A397">
        <v>145</v>
      </c>
      <c r="B397">
        <v>157.0982511964</v>
      </c>
      <c r="C397">
        <v>165.75</v>
      </c>
    </row>
    <row r="398" spans="1:3">
      <c r="A398">
        <v>146</v>
      </c>
      <c r="B398">
        <v>157.066861939105</v>
      </c>
      <c r="C398">
        <v>165.990005</v>
      </c>
    </row>
    <row r="399" spans="1:3">
      <c r="A399">
        <v>147</v>
      </c>
      <c r="B399">
        <v>157.035472681811</v>
      </c>
      <c r="C399">
        <v>166.300003</v>
      </c>
    </row>
    <row r="400" spans="1:3">
      <c r="A400">
        <v>148</v>
      </c>
      <c r="B400">
        <v>157.004083424516</v>
      </c>
      <c r="C400">
        <v>166.449997</v>
      </c>
    </row>
    <row r="401" spans="1:3">
      <c r="A401">
        <v>149</v>
      </c>
      <c r="B401">
        <v>156.972694167222</v>
      </c>
      <c r="C401">
        <v>166.690002</v>
      </c>
    </row>
    <row r="402" spans="1:3">
      <c r="A402">
        <v>150</v>
      </c>
      <c r="B402">
        <v>156.941304909927</v>
      </c>
      <c r="C402">
        <v>166.75</v>
      </c>
    </row>
    <row r="403" spans="1:3">
      <c r="A403">
        <v>151</v>
      </c>
      <c r="B403">
        <v>156.909915652633</v>
      </c>
      <c r="C403">
        <v>166.889999</v>
      </c>
    </row>
    <row r="404" spans="1:3">
      <c r="A404">
        <v>152</v>
      </c>
      <c r="B404">
        <v>156.878526395338</v>
      </c>
      <c r="C404">
        <v>167.970001</v>
      </c>
    </row>
    <row r="405" spans="1:3">
      <c r="A405">
        <v>153</v>
      </c>
      <c r="B405">
        <v>156.847137138043</v>
      </c>
      <c r="C405">
        <v>168.199554</v>
      </c>
    </row>
    <row r="406" spans="1:3">
      <c r="A406">
        <v>154</v>
      </c>
      <c r="B406">
        <v>156.815747880749</v>
      </c>
      <c r="C406">
        <v>168.300003</v>
      </c>
    </row>
    <row r="407" spans="1:3">
      <c r="A407">
        <v>155</v>
      </c>
      <c r="B407">
        <v>156.784358623454</v>
      </c>
      <c r="C407">
        <v>168.380005</v>
      </c>
    </row>
    <row r="408" spans="1:3">
      <c r="A408">
        <v>156</v>
      </c>
      <c r="B408">
        <v>156.75296936616</v>
      </c>
      <c r="C408">
        <v>168.470001</v>
      </c>
    </row>
    <row r="409" spans="1:3">
      <c r="A409">
        <v>157</v>
      </c>
      <c r="B409">
        <v>156.721580108865</v>
      </c>
      <c r="C409">
        <v>168.699997</v>
      </c>
    </row>
    <row r="410" spans="1:3">
      <c r="A410">
        <v>158</v>
      </c>
      <c r="B410">
        <v>156.690190851571</v>
      </c>
      <c r="C410">
        <v>168.720001</v>
      </c>
    </row>
    <row r="411" spans="1:3">
      <c r="A411">
        <v>159</v>
      </c>
      <c r="B411">
        <v>156.658801594276</v>
      </c>
      <c r="C411">
        <v>168.981613</v>
      </c>
    </row>
    <row r="412" spans="1:3">
      <c r="A412">
        <v>160</v>
      </c>
      <c r="B412">
        <v>156.627412336982</v>
      </c>
      <c r="C412">
        <v>169.407135</v>
      </c>
    </row>
    <row r="413" spans="1:3">
      <c r="A413">
        <v>161</v>
      </c>
      <c r="B413">
        <v>156.596023079687</v>
      </c>
      <c r="C413">
        <v>170</v>
      </c>
    </row>
    <row r="414" spans="1:3">
      <c r="A414">
        <v>162</v>
      </c>
      <c r="B414">
        <v>156.564633822392</v>
      </c>
      <c r="C414">
        <v>170.055115</v>
      </c>
    </row>
    <row r="415" spans="1:3">
      <c r="A415">
        <v>163</v>
      </c>
      <c r="B415">
        <v>156.533244565098</v>
      </c>
      <c r="C415">
        <v>170.064926</v>
      </c>
    </row>
    <row r="416" spans="1:3">
      <c r="A416">
        <v>164</v>
      </c>
      <c r="B416">
        <v>156.501855307803</v>
      </c>
      <c r="C416">
        <v>170.169998</v>
      </c>
    </row>
    <row r="417" spans="1:3">
      <c r="A417">
        <v>165</v>
      </c>
      <c r="B417">
        <v>156.470466050509</v>
      </c>
      <c r="C417">
        <v>170.339996</v>
      </c>
    </row>
    <row r="418" spans="1:3">
      <c r="A418">
        <v>166</v>
      </c>
      <c r="B418">
        <v>156.439076793214</v>
      </c>
      <c r="C418">
        <v>170.379089</v>
      </c>
    </row>
    <row r="419" spans="1:3">
      <c r="A419">
        <v>167</v>
      </c>
      <c r="B419">
        <v>156.40768753592</v>
      </c>
      <c r="C419">
        <v>170.84053</v>
      </c>
    </row>
    <row r="420" spans="1:3">
      <c r="A420">
        <v>168</v>
      </c>
      <c r="B420">
        <v>156.376298278625</v>
      </c>
      <c r="C420">
        <v>170.86998</v>
      </c>
    </row>
    <row r="421" spans="1:3">
      <c r="A421">
        <v>169</v>
      </c>
      <c r="B421">
        <v>156.344909021331</v>
      </c>
      <c r="C421">
        <v>171.144913</v>
      </c>
    </row>
    <row r="422" spans="1:3">
      <c r="A422">
        <v>170</v>
      </c>
      <c r="B422">
        <v>156.313519764036</v>
      </c>
      <c r="C422">
        <v>171.311798</v>
      </c>
    </row>
    <row r="423" spans="1:3">
      <c r="A423">
        <v>171</v>
      </c>
      <c r="B423">
        <v>156.282130506741</v>
      </c>
      <c r="C423">
        <v>171.459061</v>
      </c>
    </row>
    <row r="424" spans="1:3">
      <c r="A424">
        <v>172</v>
      </c>
      <c r="B424">
        <v>156.250741249447</v>
      </c>
      <c r="C424">
        <v>171.550003</v>
      </c>
    </row>
    <row r="425" spans="1:3">
      <c r="A425">
        <v>173</v>
      </c>
      <c r="B425">
        <v>156.219351992152</v>
      </c>
      <c r="C425">
        <v>171.550003</v>
      </c>
    </row>
    <row r="426" spans="1:3">
      <c r="A426">
        <v>174</v>
      </c>
      <c r="B426">
        <v>156.187962734858</v>
      </c>
      <c r="C426">
        <v>171.589996</v>
      </c>
    </row>
    <row r="427" spans="1:3">
      <c r="A427">
        <v>175</v>
      </c>
      <c r="B427">
        <v>156.156573477563</v>
      </c>
      <c r="C427">
        <v>172.018692</v>
      </c>
    </row>
    <row r="428" spans="1:3">
      <c r="A428">
        <v>176</v>
      </c>
      <c r="B428">
        <v>156.125184220269</v>
      </c>
      <c r="C428">
        <v>172.077591</v>
      </c>
    </row>
    <row r="429" spans="1:3">
      <c r="A429">
        <v>177</v>
      </c>
      <c r="B429">
        <v>156.093794962974</v>
      </c>
      <c r="C429">
        <v>172.087387</v>
      </c>
    </row>
    <row r="430" spans="1:3">
      <c r="A430">
        <v>178</v>
      </c>
      <c r="B430">
        <v>156.06240570568</v>
      </c>
      <c r="C430">
        <v>172.264145</v>
      </c>
    </row>
    <row r="431" spans="1:3">
      <c r="A431">
        <v>179</v>
      </c>
      <c r="B431">
        <v>156.031016448385</v>
      </c>
      <c r="C431">
        <v>172.264145</v>
      </c>
    </row>
    <row r="432" spans="1:3">
      <c r="A432">
        <v>180</v>
      </c>
      <c r="B432">
        <v>155.99962719109</v>
      </c>
      <c r="C432">
        <v>172.470001</v>
      </c>
    </row>
    <row r="433" spans="1:3">
      <c r="A433">
        <v>181</v>
      </c>
      <c r="B433">
        <v>155.968237933796</v>
      </c>
      <c r="C433">
        <v>172.470306</v>
      </c>
    </row>
    <row r="434" spans="1:3">
      <c r="A434">
        <v>182</v>
      </c>
      <c r="B434">
        <v>155.936848676501</v>
      </c>
      <c r="C434">
        <v>172.610001</v>
      </c>
    </row>
    <row r="435" spans="1:3">
      <c r="A435">
        <v>183</v>
      </c>
      <c r="B435">
        <v>155.905459419207</v>
      </c>
      <c r="C435">
        <v>172.804092</v>
      </c>
    </row>
    <row r="436" spans="1:3">
      <c r="A436">
        <v>184</v>
      </c>
      <c r="B436">
        <v>155.874070161912</v>
      </c>
      <c r="C436">
        <v>172.869995</v>
      </c>
    </row>
    <row r="437" spans="1:3">
      <c r="A437">
        <v>185</v>
      </c>
      <c r="B437">
        <v>155.842680904618</v>
      </c>
      <c r="C437">
        <v>173.098648</v>
      </c>
    </row>
    <row r="438" spans="1:3">
      <c r="A438">
        <v>186</v>
      </c>
      <c r="B438">
        <v>155.811291647323</v>
      </c>
      <c r="C438">
        <v>173.137924</v>
      </c>
    </row>
    <row r="439" spans="1:3">
      <c r="A439">
        <v>187</v>
      </c>
      <c r="B439">
        <v>155.779902390029</v>
      </c>
      <c r="C439">
        <v>173.186996</v>
      </c>
    </row>
    <row r="440" spans="1:3">
      <c r="A440">
        <v>188</v>
      </c>
      <c r="B440">
        <v>155.748513132734</v>
      </c>
      <c r="C440">
        <v>173.196823</v>
      </c>
    </row>
    <row r="441" spans="1:3">
      <c r="A441">
        <v>189</v>
      </c>
      <c r="B441">
        <v>155.717123875439</v>
      </c>
      <c r="C441">
        <v>173.206619</v>
      </c>
    </row>
    <row r="442" spans="1:3">
      <c r="A442">
        <v>190</v>
      </c>
      <c r="B442">
        <v>155.685734618145</v>
      </c>
      <c r="C442">
        <v>173.216461</v>
      </c>
    </row>
    <row r="443" spans="1:3">
      <c r="A443">
        <v>191</v>
      </c>
      <c r="B443">
        <v>155.65434536085</v>
      </c>
      <c r="C443">
        <v>173.259995</v>
      </c>
    </row>
    <row r="444" spans="1:3">
      <c r="A444">
        <v>192</v>
      </c>
      <c r="B444">
        <v>155.622956103556</v>
      </c>
      <c r="C444">
        <v>173.265564</v>
      </c>
    </row>
    <row r="445" spans="1:3">
      <c r="A445">
        <v>193</v>
      </c>
      <c r="B445">
        <v>155.591566846261</v>
      </c>
      <c r="C445">
        <v>173.285187</v>
      </c>
    </row>
    <row r="446" spans="1:3">
      <c r="A446">
        <v>194</v>
      </c>
      <c r="B446">
        <v>155.560177588967</v>
      </c>
      <c r="C446">
        <v>173.294998</v>
      </c>
    </row>
    <row r="447" spans="1:3">
      <c r="A447">
        <v>195</v>
      </c>
      <c r="B447">
        <v>155.528788331672</v>
      </c>
      <c r="C447">
        <v>173.314636</v>
      </c>
    </row>
    <row r="448" spans="1:3">
      <c r="A448">
        <v>196</v>
      </c>
      <c r="B448">
        <v>155.497399074378</v>
      </c>
      <c r="C448">
        <v>173.470001</v>
      </c>
    </row>
    <row r="449" spans="1:3">
      <c r="A449">
        <v>197</v>
      </c>
      <c r="B449">
        <v>155.466009817083</v>
      </c>
      <c r="C449">
        <v>173.481537</v>
      </c>
    </row>
    <row r="450" spans="1:3">
      <c r="A450">
        <v>198</v>
      </c>
      <c r="B450">
        <v>155.434620559788</v>
      </c>
      <c r="C450">
        <v>173.569901</v>
      </c>
    </row>
    <row r="451" spans="1:3">
      <c r="A451">
        <v>199</v>
      </c>
      <c r="B451">
        <v>155.403231302494</v>
      </c>
      <c r="C451">
        <v>173.610001</v>
      </c>
    </row>
    <row r="452" spans="1:3">
      <c r="A452">
        <v>200</v>
      </c>
      <c r="B452">
        <v>155.371842045199</v>
      </c>
      <c r="C452">
        <v>173.658264</v>
      </c>
    </row>
    <row r="453" spans="1:3">
      <c r="A453">
        <v>201</v>
      </c>
      <c r="B453">
        <v>155.340452787905</v>
      </c>
      <c r="C453">
        <v>173.677887</v>
      </c>
    </row>
    <row r="454" spans="1:3">
      <c r="A454">
        <v>202</v>
      </c>
      <c r="B454">
        <v>155.30906353061</v>
      </c>
      <c r="C454">
        <v>173.72699</v>
      </c>
    </row>
    <row r="455" spans="1:3">
      <c r="A455">
        <v>203</v>
      </c>
      <c r="B455">
        <v>155.277674273316</v>
      </c>
      <c r="C455">
        <v>173.756439</v>
      </c>
    </row>
    <row r="456" spans="1:3">
      <c r="A456">
        <v>204</v>
      </c>
      <c r="B456">
        <v>155.246285016021</v>
      </c>
      <c r="C456">
        <v>173.776062</v>
      </c>
    </row>
    <row r="457" spans="1:3">
      <c r="A457">
        <v>205</v>
      </c>
      <c r="B457">
        <v>155.214895758727</v>
      </c>
      <c r="C457">
        <v>173.779999</v>
      </c>
    </row>
    <row r="458" spans="1:3">
      <c r="A458">
        <v>206</v>
      </c>
      <c r="B458">
        <v>155.183506501432</v>
      </c>
      <c r="C458">
        <v>173.903717</v>
      </c>
    </row>
    <row r="459" spans="1:3">
      <c r="A459">
        <v>207</v>
      </c>
      <c r="B459">
        <v>155.152117244137</v>
      </c>
      <c r="C459">
        <v>173.992081</v>
      </c>
    </row>
    <row r="460" spans="1:3">
      <c r="A460">
        <v>208</v>
      </c>
      <c r="B460">
        <v>155.120727986843</v>
      </c>
      <c r="C460">
        <v>174.158981</v>
      </c>
    </row>
    <row r="461" spans="1:3">
      <c r="A461">
        <v>209</v>
      </c>
      <c r="B461">
        <v>155.089338729548</v>
      </c>
      <c r="C461">
        <v>174.276794</v>
      </c>
    </row>
    <row r="462" spans="1:3">
      <c r="A462">
        <v>210</v>
      </c>
      <c r="B462">
        <v>155.057949472254</v>
      </c>
      <c r="C462">
        <v>174.374969</v>
      </c>
    </row>
    <row r="463" spans="1:3">
      <c r="A463">
        <v>211</v>
      </c>
      <c r="B463">
        <v>155.026560214959</v>
      </c>
      <c r="C463">
        <v>174.380005</v>
      </c>
    </row>
    <row r="464" spans="1:3">
      <c r="A464">
        <v>212</v>
      </c>
      <c r="B464">
        <v>154.995170957665</v>
      </c>
      <c r="C464">
        <v>174.522232</v>
      </c>
    </row>
    <row r="465" spans="1:3">
      <c r="A465">
        <v>213</v>
      </c>
      <c r="B465">
        <v>154.96378170037</v>
      </c>
      <c r="C465">
        <v>174.860001</v>
      </c>
    </row>
    <row r="466" spans="1:3">
      <c r="A466">
        <v>214</v>
      </c>
      <c r="B466">
        <v>154.932392443076</v>
      </c>
      <c r="C466">
        <v>175.09166</v>
      </c>
    </row>
    <row r="467" spans="1:3">
      <c r="A467">
        <v>215</v>
      </c>
      <c r="B467">
        <v>154.901003185781</v>
      </c>
      <c r="C467">
        <v>175.268387</v>
      </c>
    </row>
    <row r="468" spans="1:3">
      <c r="A468">
        <v>216</v>
      </c>
      <c r="B468">
        <v>154.869613928486</v>
      </c>
      <c r="C468">
        <v>175.297852</v>
      </c>
    </row>
    <row r="469" spans="1:3">
      <c r="A469">
        <v>217</v>
      </c>
      <c r="B469">
        <v>154.838224671192</v>
      </c>
      <c r="C469">
        <v>175.360001</v>
      </c>
    </row>
    <row r="470" spans="1:3">
      <c r="A470">
        <v>218</v>
      </c>
      <c r="B470">
        <v>154.806835413897</v>
      </c>
      <c r="C470">
        <v>175.425461</v>
      </c>
    </row>
    <row r="471" spans="1:3">
      <c r="A471">
        <v>219</v>
      </c>
      <c r="B471">
        <v>154.775446156603</v>
      </c>
      <c r="C471">
        <v>175.539993</v>
      </c>
    </row>
    <row r="472" spans="1:3">
      <c r="A472">
        <v>220</v>
      </c>
      <c r="B472">
        <v>154.744056899308</v>
      </c>
      <c r="C472">
        <v>175.602203</v>
      </c>
    </row>
    <row r="473" spans="1:3">
      <c r="A473">
        <v>221</v>
      </c>
      <c r="B473">
        <v>154.712667642014</v>
      </c>
      <c r="C473">
        <v>175.80838</v>
      </c>
    </row>
    <row r="474" spans="1:3">
      <c r="A474">
        <v>222</v>
      </c>
      <c r="B474">
        <v>154.681278384719</v>
      </c>
      <c r="C474">
        <v>175.886917</v>
      </c>
    </row>
    <row r="475" spans="1:3">
      <c r="A475">
        <v>223</v>
      </c>
      <c r="B475">
        <v>154.649889127425</v>
      </c>
      <c r="C475">
        <v>176.151993</v>
      </c>
    </row>
    <row r="476" spans="1:3">
      <c r="A476">
        <v>224</v>
      </c>
      <c r="B476">
        <v>154.61849987013</v>
      </c>
      <c r="C476">
        <v>176.151993</v>
      </c>
    </row>
    <row r="477" spans="1:3">
      <c r="A477">
        <v>225</v>
      </c>
      <c r="B477">
        <v>154.587110612835</v>
      </c>
      <c r="C477">
        <v>176.309097</v>
      </c>
    </row>
    <row r="478" spans="1:3">
      <c r="A478">
        <v>226</v>
      </c>
      <c r="B478">
        <v>154.555721355541</v>
      </c>
      <c r="C478">
        <v>176.377808</v>
      </c>
    </row>
    <row r="479" spans="1:3">
      <c r="A479">
        <v>227</v>
      </c>
      <c r="B479">
        <v>154.524332098246</v>
      </c>
      <c r="C479">
        <v>176.52507</v>
      </c>
    </row>
    <row r="480" spans="1:3">
      <c r="A480">
        <v>228</v>
      </c>
      <c r="B480">
        <v>154.492942840952</v>
      </c>
      <c r="C480">
        <v>176.603622</v>
      </c>
    </row>
    <row r="481" spans="1:3">
      <c r="A481">
        <v>229</v>
      </c>
      <c r="B481">
        <v>154.461553583657</v>
      </c>
      <c r="C481">
        <v>176.658142</v>
      </c>
    </row>
    <row r="482" spans="1:3">
      <c r="A482">
        <v>230</v>
      </c>
      <c r="B482">
        <v>154.430164326363</v>
      </c>
      <c r="C482">
        <v>176.770523</v>
      </c>
    </row>
    <row r="483" spans="1:3">
      <c r="A483">
        <v>231</v>
      </c>
      <c r="B483">
        <v>154.398775069068</v>
      </c>
      <c r="C483">
        <v>176.839249</v>
      </c>
    </row>
    <row r="484" spans="1:3">
      <c r="A484">
        <v>232</v>
      </c>
      <c r="B484">
        <v>154.367385811774</v>
      </c>
      <c r="C484">
        <v>176.839249</v>
      </c>
    </row>
    <row r="485" spans="1:3">
      <c r="A485">
        <v>233</v>
      </c>
      <c r="B485">
        <v>154.335996554479</v>
      </c>
      <c r="C485">
        <v>176.850006</v>
      </c>
    </row>
    <row r="486" spans="1:3">
      <c r="A486">
        <v>234</v>
      </c>
      <c r="B486">
        <v>154.304607297184</v>
      </c>
      <c r="C486">
        <v>177.029373</v>
      </c>
    </row>
    <row r="487" spans="1:3">
      <c r="A487">
        <v>235</v>
      </c>
      <c r="B487">
        <v>154.27321803989</v>
      </c>
      <c r="C487">
        <v>177.163223</v>
      </c>
    </row>
    <row r="488" spans="1:3">
      <c r="A488">
        <v>236</v>
      </c>
      <c r="B488">
        <v>154.241828782595</v>
      </c>
      <c r="C488">
        <v>177.408691</v>
      </c>
    </row>
    <row r="489" spans="1:3">
      <c r="A489">
        <v>237</v>
      </c>
      <c r="B489">
        <v>154.210439525301</v>
      </c>
      <c r="C489">
        <v>177.438126</v>
      </c>
    </row>
    <row r="490" spans="1:3">
      <c r="A490">
        <v>238</v>
      </c>
      <c r="B490">
        <v>154.179050268006</v>
      </c>
      <c r="C490">
        <v>177.49704</v>
      </c>
    </row>
    <row r="491" spans="1:3">
      <c r="A491">
        <v>239</v>
      </c>
      <c r="B491">
        <v>154.147661010712</v>
      </c>
      <c r="C491">
        <v>177.516693</v>
      </c>
    </row>
    <row r="492" spans="1:3">
      <c r="A492">
        <v>240</v>
      </c>
      <c r="B492">
        <v>154.116271753417</v>
      </c>
      <c r="C492">
        <v>177.565765</v>
      </c>
    </row>
    <row r="493" spans="1:3">
      <c r="A493">
        <v>241</v>
      </c>
      <c r="B493">
        <v>154.084882496123</v>
      </c>
      <c r="C493">
        <v>177.634491</v>
      </c>
    </row>
    <row r="494" spans="1:3">
      <c r="A494">
        <v>242</v>
      </c>
      <c r="B494">
        <v>154.053493238828</v>
      </c>
      <c r="C494">
        <v>177.752319</v>
      </c>
    </row>
    <row r="495" spans="1:3">
      <c r="A495">
        <v>243</v>
      </c>
      <c r="B495">
        <v>154.022103981533</v>
      </c>
      <c r="C495">
        <v>177.810913</v>
      </c>
    </row>
    <row r="496" spans="1:3">
      <c r="A496">
        <v>244</v>
      </c>
      <c r="B496">
        <v>153.990714724239</v>
      </c>
      <c r="C496">
        <v>177.879929</v>
      </c>
    </row>
    <row r="497" spans="1:3">
      <c r="A497">
        <v>245</v>
      </c>
      <c r="B497">
        <v>153.959325466944</v>
      </c>
      <c r="C497">
        <v>177.968292</v>
      </c>
    </row>
    <row r="498" spans="1:3">
      <c r="A498">
        <v>246</v>
      </c>
      <c r="B498">
        <v>153.92793620965</v>
      </c>
      <c r="C498">
        <v>178.43956</v>
      </c>
    </row>
    <row r="499" spans="1:3">
      <c r="A499">
        <v>247</v>
      </c>
      <c r="B499">
        <v>153.896546952355</v>
      </c>
      <c r="C499">
        <v>178.910004</v>
      </c>
    </row>
    <row r="500" spans="1:3">
      <c r="A500">
        <v>248</v>
      </c>
      <c r="B500">
        <v>153.865157695061</v>
      </c>
      <c r="C500">
        <v>178.940262</v>
      </c>
    </row>
    <row r="501" spans="1:3">
      <c r="A501">
        <v>249</v>
      </c>
      <c r="B501">
        <v>153.833768437766</v>
      </c>
      <c r="C501">
        <v>179.210007</v>
      </c>
    </row>
    <row r="502" spans="1:3">
      <c r="A502">
        <v>250</v>
      </c>
      <c r="B502">
        <v>153.802379180472</v>
      </c>
      <c r="C502">
        <v>179.892593</v>
      </c>
    </row>
    <row r="503" spans="1:3">
      <c r="A503">
        <v>251</v>
      </c>
      <c r="B503">
        <v>153.770989923177</v>
      </c>
      <c r="C503">
        <v>183.279999</v>
      </c>
    </row>
    <row r="504" spans="1:3">
      <c r="A504">
        <v>252</v>
      </c>
      <c r="B504">
        <v>153.739600665882</v>
      </c>
      <c r="C504">
        <v>184.270004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4"/>
  <sheetViews>
    <sheetView topLeftCell="A546" workbookViewId="0">
      <selection activeCell="A41" sqref="A41"/>
    </sheetView>
  </sheetViews>
  <sheetFormatPr defaultColWidth="9" defaultRowHeight="15.6" outlineLevelCol="2"/>
  <sheetData>
    <row r="1" spans="1:3">
      <c r="A1">
        <v>1</v>
      </c>
      <c r="B1">
        <v>7.91087744575172</v>
      </c>
      <c r="C1">
        <v>0</v>
      </c>
    </row>
    <row r="2" spans="1:3">
      <c r="A2">
        <v>2</v>
      </c>
      <c r="B2">
        <v>8.17356272783593</v>
      </c>
      <c r="C2">
        <v>0</v>
      </c>
    </row>
    <row r="3" spans="1:3">
      <c r="A3">
        <v>3</v>
      </c>
      <c r="B3">
        <v>7.87078800992013</v>
      </c>
      <c r="C3">
        <v>0</v>
      </c>
    </row>
    <row r="4" spans="1:3">
      <c r="A4">
        <v>4</v>
      </c>
      <c r="B4">
        <v>8.24409929200433</v>
      </c>
      <c r="C4">
        <v>0</v>
      </c>
    </row>
    <row r="5" spans="1:3">
      <c r="A5">
        <v>5</v>
      </c>
      <c r="B5">
        <v>7.55044657408852</v>
      </c>
      <c r="C5">
        <v>0</v>
      </c>
    </row>
    <row r="6" spans="1:3">
      <c r="A6">
        <v>6</v>
      </c>
      <c r="B6">
        <v>8.07373685617273</v>
      </c>
      <c r="C6">
        <v>0</v>
      </c>
    </row>
    <row r="7" spans="1:3">
      <c r="A7">
        <v>7</v>
      </c>
      <c r="B7">
        <v>8.15939713825692</v>
      </c>
      <c r="C7">
        <v>0</v>
      </c>
    </row>
    <row r="8" spans="1:3">
      <c r="A8">
        <v>8</v>
      </c>
      <c r="B8">
        <v>7.71650842034111</v>
      </c>
      <c r="C8">
        <v>0</v>
      </c>
    </row>
    <row r="9" spans="1:3">
      <c r="A9">
        <v>9</v>
      </c>
      <c r="B9">
        <v>6.71061570242532</v>
      </c>
      <c r="C9">
        <v>0</v>
      </c>
    </row>
    <row r="10" spans="1:3">
      <c r="A10">
        <v>10</v>
      </c>
      <c r="B10">
        <v>6.17674598450952</v>
      </c>
      <c r="C10">
        <v>0</v>
      </c>
    </row>
    <row r="11" spans="1:3">
      <c r="A11">
        <v>11</v>
      </c>
      <c r="B11">
        <v>5.87644326659372</v>
      </c>
      <c r="C11">
        <v>0</v>
      </c>
    </row>
    <row r="12" spans="1:3">
      <c r="A12">
        <v>12</v>
      </c>
      <c r="B12">
        <v>6.76112254867792</v>
      </c>
      <c r="C12">
        <v>0</v>
      </c>
    </row>
    <row r="13" spans="1:3">
      <c r="A13">
        <v>13</v>
      </c>
      <c r="B13">
        <v>6.00600783076212</v>
      </c>
      <c r="C13">
        <v>0</v>
      </c>
    </row>
    <row r="14" spans="1:3">
      <c r="A14">
        <v>14</v>
      </c>
      <c r="B14">
        <v>6.63499611284632</v>
      </c>
      <c r="C14">
        <v>0</v>
      </c>
    </row>
    <row r="15" spans="1:3">
      <c r="A15">
        <v>15</v>
      </c>
      <c r="B15">
        <v>6.24618439493052</v>
      </c>
      <c r="C15">
        <v>0</v>
      </c>
    </row>
    <row r="16" spans="1:3">
      <c r="A16">
        <v>16</v>
      </c>
      <c r="B16">
        <v>5.24274867701472</v>
      </c>
      <c r="C16">
        <v>0</v>
      </c>
    </row>
    <row r="17" spans="1:3">
      <c r="A17">
        <v>17</v>
      </c>
      <c r="B17">
        <v>3.84106195909892</v>
      </c>
      <c r="C17">
        <v>0</v>
      </c>
    </row>
    <row r="18" spans="1:3">
      <c r="A18">
        <v>18</v>
      </c>
      <c r="B18">
        <v>4.16027724118311</v>
      </c>
      <c r="C18">
        <v>0</v>
      </c>
    </row>
    <row r="19" spans="1:3">
      <c r="A19">
        <v>19</v>
      </c>
      <c r="B19">
        <v>4.86056852326731</v>
      </c>
      <c r="C19">
        <v>0</v>
      </c>
    </row>
    <row r="20" spans="1:3">
      <c r="A20">
        <v>20</v>
      </c>
      <c r="B20">
        <v>5.87799180535151</v>
      </c>
      <c r="C20">
        <v>0</v>
      </c>
    </row>
    <row r="21" spans="1:3">
      <c r="A21">
        <v>21</v>
      </c>
      <c r="B21">
        <v>4.70248308743572</v>
      </c>
      <c r="C21">
        <v>0</v>
      </c>
    </row>
    <row r="22" spans="1:3">
      <c r="A22">
        <v>22</v>
      </c>
      <c r="B22">
        <v>4.84223536951991</v>
      </c>
      <c r="C22">
        <v>0</v>
      </c>
    </row>
    <row r="23" spans="1:3">
      <c r="A23">
        <v>23</v>
      </c>
      <c r="B23">
        <v>5.16146165160411</v>
      </c>
      <c r="C23">
        <v>0</v>
      </c>
    </row>
    <row r="24" spans="1:3">
      <c r="A24">
        <v>24</v>
      </c>
      <c r="B24">
        <v>5.0873319336883</v>
      </c>
      <c r="C24">
        <v>0</v>
      </c>
    </row>
    <row r="25" spans="1:3">
      <c r="A25">
        <v>25</v>
      </c>
      <c r="B25">
        <v>5.7507592157725</v>
      </c>
      <c r="C25">
        <v>0</v>
      </c>
    </row>
    <row r="26" spans="1:3">
      <c r="A26">
        <v>26</v>
      </c>
      <c r="B26">
        <v>6.6649254978567</v>
      </c>
      <c r="C26">
        <v>0</v>
      </c>
    </row>
    <row r="27" spans="1:3">
      <c r="A27">
        <v>27</v>
      </c>
      <c r="B27">
        <v>6.5563797799409</v>
      </c>
      <c r="C27">
        <v>0</v>
      </c>
    </row>
    <row r="28" spans="1:3">
      <c r="A28">
        <v>28</v>
      </c>
      <c r="B28">
        <v>6.14789906202511</v>
      </c>
      <c r="C28">
        <v>0</v>
      </c>
    </row>
    <row r="29" spans="1:3">
      <c r="A29">
        <v>29</v>
      </c>
      <c r="B29">
        <v>5.97297034410931</v>
      </c>
      <c r="C29">
        <v>0</v>
      </c>
    </row>
    <row r="30" spans="1:3">
      <c r="A30">
        <v>30</v>
      </c>
      <c r="B30">
        <v>5.58663062619351</v>
      </c>
      <c r="C30">
        <v>0</v>
      </c>
    </row>
    <row r="31" spans="1:3">
      <c r="A31">
        <v>31</v>
      </c>
      <c r="B31">
        <v>6.46392390827771</v>
      </c>
      <c r="C31">
        <v>0</v>
      </c>
    </row>
    <row r="32" spans="1:3">
      <c r="A32">
        <v>32</v>
      </c>
      <c r="B32">
        <v>6.28653819036191</v>
      </c>
      <c r="C32">
        <v>0</v>
      </c>
    </row>
    <row r="33" spans="1:3">
      <c r="A33">
        <v>33</v>
      </c>
      <c r="B33">
        <v>7.4293504724461</v>
      </c>
      <c r="C33">
        <v>0</v>
      </c>
    </row>
    <row r="34" spans="1:3">
      <c r="A34">
        <v>34</v>
      </c>
      <c r="B34">
        <v>7.1585497545303</v>
      </c>
      <c r="C34">
        <v>0</v>
      </c>
    </row>
    <row r="35" spans="1:3">
      <c r="A35">
        <v>35</v>
      </c>
      <c r="B35">
        <v>7.3376470366145</v>
      </c>
      <c r="C35">
        <v>0</v>
      </c>
    </row>
    <row r="36" spans="1:3">
      <c r="A36">
        <v>36</v>
      </c>
      <c r="B36">
        <v>7.6175363186987</v>
      </c>
      <c r="C36">
        <v>0</v>
      </c>
    </row>
    <row r="37" spans="1:3">
      <c r="A37">
        <v>37</v>
      </c>
      <c r="B37">
        <v>9.0209536007829</v>
      </c>
      <c r="C37">
        <v>0</v>
      </c>
    </row>
    <row r="38" spans="1:3">
      <c r="A38">
        <v>38</v>
      </c>
      <c r="B38">
        <v>8.0593038828671</v>
      </c>
      <c r="C38">
        <v>0</v>
      </c>
    </row>
    <row r="39" spans="1:3">
      <c r="A39">
        <v>39</v>
      </c>
      <c r="B39">
        <v>8.3982071649513</v>
      </c>
      <c r="C39">
        <v>0</v>
      </c>
    </row>
    <row r="40" spans="1:3">
      <c r="A40">
        <v>40</v>
      </c>
      <c r="B40">
        <v>7.8078114470355</v>
      </c>
      <c r="C40">
        <v>0</v>
      </c>
    </row>
    <row r="41" spans="1:3">
      <c r="A41">
        <v>41</v>
      </c>
      <c r="B41">
        <v>8.7441037291197</v>
      </c>
      <c r="C41">
        <v>0</v>
      </c>
    </row>
    <row r="42" spans="1:3">
      <c r="A42">
        <v>42</v>
      </c>
      <c r="B42">
        <v>10.0836010112039</v>
      </c>
      <c r="C42">
        <v>0</v>
      </c>
    </row>
    <row r="43" spans="1:3">
      <c r="A43">
        <v>43</v>
      </c>
      <c r="B43">
        <v>10.0119202932881</v>
      </c>
      <c r="C43">
        <v>0</v>
      </c>
    </row>
    <row r="44" spans="1:3">
      <c r="A44">
        <v>44</v>
      </c>
      <c r="B44">
        <v>11.3981175753723</v>
      </c>
      <c r="C44">
        <v>0</v>
      </c>
    </row>
    <row r="45" spans="1:3">
      <c r="A45">
        <v>45</v>
      </c>
      <c r="B45">
        <v>10.1021408574565</v>
      </c>
      <c r="C45">
        <v>0</v>
      </c>
    </row>
    <row r="46" spans="1:3">
      <c r="A46">
        <v>46</v>
      </c>
      <c r="B46">
        <v>9.52894113954069</v>
      </c>
      <c r="C46">
        <v>0</v>
      </c>
    </row>
    <row r="47" spans="1:3">
      <c r="A47">
        <v>47</v>
      </c>
      <c r="B47">
        <v>10.2439884216249</v>
      </c>
      <c r="C47">
        <v>0</v>
      </c>
    </row>
    <row r="48" spans="1:3">
      <c r="A48">
        <v>48</v>
      </c>
      <c r="B48">
        <v>10.8582287037091</v>
      </c>
      <c r="C48">
        <v>0</v>
      </c>
    </row>
    <row r="49" spans="1:3">
      <c r="A49">
        <v>49</v>
      </c>
      <c r="B49">
        <v>10.0834379857933</v>
      </c>
      <c r="C49">
        <v>0</v>
      </c>
    </row>
    <row r="50" spans="1:3">
      <c r="A50">
        <v>50</v>
      </c>
      <c r="B50">
        <v>10.1174852678775</v>
      </c>
      <c r="C50">
        <v>0</v>
      </c>
    </row>
    <row r="51" spans="1:3">
      <c r="A51">
        <v>51</v>
      </c>
      <c r="B51">
        <v>10.2498685499617</v>
      </c>
      <c r="C51">
        <v>0</v>
      </c>
    </row>
    <row r="52" spans="1:3">
      <c r="A52">
        <v>52</v>
      </c>
      <c r="B52">
        <v>9.77992583204588</v>
      </c>
      <c r="C52">
        <v>0</v>
      </c>
    </row>
    <row r="53" spans="1:3">
      <c r="A53">
        <v>53</v>
      </c>
      <c r="B53">
        <v>7.23503911413009</v>
      </c>
      <c r="C53">
        <v>0</v>
      </c>
    </row>
    <row r="54" spans="1:3">
      <c r="A54">
        <v>54</v>
      </c>
      <c r="B54">
        <v>9.1399743962143</v>
      </c>
      <c r="C54">
        <v>0</v>
      </c>
    </row>
    <row r="55" spans="1:3">
      <c r="A55">
        <v>55</v>
      </c>
      <c r="B55">
        <v>10.5311006782985</v>
      </c>
      <c r="C55">
        <v>0</v>
      </c>
    </row>
    <row r="56" spans="1:3">
      <c r="A56">
        <v>56</v>
      </c>
      <c r="B56">
        <v>10.1717759603827</v>
      </c>
      <c r="C56">
        <v>0</v>
      </c>
    </row>
    <row r="57" spans="1:3">
      <c r="A57">
        <v>57</v>
      </c>
      <c r="B57">
        <v>6.39767224246688</v>
      </c>
      <c r="C57">
        <v>0</v>
      </c>
    </row>
    <row r="58" spans="1:3">
      <c r="A58">
        <v>58</v>
      </c>
      <c r="B58">
        <v>5.94493352455109</v>
      </c>
      <c r="C58">
        <v>0</v>
      </c>
    </row>
    <row r="59" spans="1:3">
      <c r="A59">
        <v>59</v>
      </c>
      <c r="B59">
        <v>8.20635280663528</v>
      </c>
      <c r="C59">
        <v>0</v>
      </c>
    </row>
    <row r="60" spans="1:3">
      <c r="A60">
        <v>60</v>
      </c>
      <c r="B60">
        <v>8.60179708871949</v>
      </c>
      <c r="C60">
        <v>0</v>
      </c>
    </row>
    <row r="61" spans="1:3">
      <c r="A61">
        <v>61</v>
      </c>
      <c r="B61">
        <v>9.28240537080369</v>
      </c>
      <c r="C61">
        <v>0</v>
      </c>
    </row>
    <row r="62" spans="1:3">
      <c r="A62">
        <v>62</v>
      </c>
      <c r="B62">
        <v>7.95188965288788</v>
      </c>
      <c r="C62">
        <v>0</v>
      </c>
    </row>
    <row r="63" spans="1:3">
      <c r="A63">
        <v>63</v>
      </c>
      <c r="B63">
        <v>8.08270093497208</v>
      </c>
      <c r="C63">
        <v>0</v>
      </c>
    </row>
    <row r="64" spans="1:3">
      <c r="A64">
        <v>64</v>
      </c>
      <c r="B64">
        <v>7.36086521705629</v>
      </c>
      <c r="C64">
        <v>0</v>
      </c>
    </row>
    <row r="65" spans="1:3">
      <c r="A65">
        <v>65</v>
      </c>
      <c r="B65">
        <v>8.98751049914048</v>
      </c>
      <c r="C65">
        <v>0</v>
      </c>
    </row>
    <row r="66" spans="1:3">
      <c r="A66">
        <v>66</v>
      </c>
      <c r="B66">
        <v>8.16956078122467</v>
      </c>
      <c r="C66">
        <v>0</v>
      </c>
    </row>
    <row r="67" spans="1:3">
      <c r="A67">
        <v>67</v>
      </c>
      <c r="B67">
        <v>7.94552106330889</v>
      </c>
      <c r="C67">
        <v>0</v>
      </c>
    </row>
    <row r="68" spans="1:3">
      <c r="A68">
        <v>68</v>
      </c>
      <c r="B68">
        <v>6.23549634539307</v>
      </c>
      <c r="C68">
        <v>0</v>
      </c>
    </row>
    <row r="69" spans="1:3">
      <c r="A69">
        <v>69</v>
      </c>
      <c r="B69">
        <v>7.13023862747728</v>
      </c>
      <c r="C69">
        <v>0</v>
      </c>
    </row>
    <row r="70" spans="1:3">
      <c r="A70">
        <v>70</v>
      </c>
      <c r="B70">
        <v>6.06833890956148</v>
      </c>
      <c r="C70">
        <v>0</v>
      </c>
    </row>
    <row r="71" spans="1:3">
      <c r="A71">
        <v>71</v>
      </c>
      <c r="B71">
        <v>4.03795619164568</v>
      </c>
      <c r="C71">
        <v>0</v>
      </c>
    </row>
    <row r="72" spans="1:3">
      <c r="A72">
        <v>72</v>
      </c>
      <c r="B72">
        <v>0.12977347372987</v>
      </c>
      <c r="C72">
        <v>0</v>
      </c>
    </row>
    <row r="73" spans="1:3">
      <c r="A73">
        <v>73</v>
      </c>
      <c r="B73">
        <v>-2.60293324418592</v>
      </c>
      <c r="C73">
        <v>0</v>
      </c>
    </row>
    <row r="74" spans="1:3">
      <c r="A74">
        <v>74</v>
      </c>
      <c r="B74">
        <v>-1.72050496210173</v>
      </c>
      <c r="C74">
        <v>0</v>
      </c>
    </row>
    <row r="75" spans="1:3">
      <c r="A75">
        <v>75</v>
      </c>
      <c r="B75">
        <v>-6.67847668001752</v>
      </c>
      <c r="C75">
        <v>0</v>
      </c>
    </row>
    <row r="76" spans="1:3">
      <c r="A76">
        <v>76</v>
      </c>
      <c r="B76">
        <v>-6.96166739793333</v>
      </c>
      <c r="C76">
        <v>0</v>
      </c>
    </row>
    <row r="77" spans="1:3">
      <c r="A77">
        <v>77</v>
      </c>
      <c r="B77">
        <v>-0.933784115849136</v>
      </c>
      <c r="C77">
        <v>0</v>
      </c>
    </row>
    <row r="78" spans="1:3">
      <c r="A78">
        <v>78</v>
      </c>
      <c r="B78">
        <v>-3.51616183376493</v>
      </c>
      <c r="C78">
        <v>0</v>
      </c>
    </row>
    <row r="79" spans="1:3">
      <c r="A79">
        <v>79</v>
      </c>
      <c r="B79">
        <v>-0.452840551680723</v>
      </c>
      <c r="C79">
        <v>0</v>
      </c>
    </row>
    <row r="80" spans="1:3">
      <c r="A80">
        <v>80</v>
      </c>
      <c r="B80">
        <v>-3.11653926959653</v>
      </c>
      <c r="C80">
        <v>0</v>
      </c>
    </row>
    <row r="81" spans="1:3">
      <c r="A81">
        <v>81</v>
      </c>
      <c r="B81">
        <v>-4.31891898751233</v>
      </c>
      <c r="C81">
        <v>0</v>
      </c>
    </row>
    <row r="82" spans="1:3">
      <c r="A82">
        <v>82</v>
      </c>
      <c r="B82">
        <v>-10.1960577054281</v>
      </c>
      <c r="C82">
        <v>0</v>
      </c>
    </row>
    <row r="83" spans="1:3">
      <c r="A83">
        <v>83</v>
      </c>
      <c r="B83">
        <v>-5.71575942334393</v>
      </c>
      <c r="C83">
        <v>0</v>
      </c>
    </row>
    <row r="84" spans="1:3">
      <c r="A84">
        <v>84</v>
      </c>
      <c r="B84">
        <v>-8.40164414125974</v>
      </c>
      <c r="C84">
        <v>0</v>
      </c>
    </row>
    <row r="85" spans="1:3">
      <c r="A85">
        <v>85</v>
      </c>
      <c r="B85">
        <v>-15.3483098591755</v>
      </c>
      <c r="C85">
        <v>0</v>
      </c>
    </row>
    <row r="86" spans="1:3">
      <c r="A86">
        <v>86</v>
      </c>
      <c r="B86">
        <v>-8.26323757709133</v>
      </c>
      <c r="C86">
        <v>0</v>
      </c>
    </row>
    <row r="87" spans="1:3">
      <c r="A87">
        <v>87</v>
      </c>
      <c r="B87">
        <v>-17.3193422950071</v>
      </c>
      <c r="C87">
        <v>0</v>
      </c>
    </row>
    <row r="88" spans="1:3">
      <c r="A88">
        <v>88</v>
      </c>
      <c r="B88">
        <v>-14.9386270129229</v>
      </c>
      <c r="C88">
        <v>0</v>
      </c>
    </row>
    <row r="89" spans="1:3">
      <c r="A89">
        <v>89</v>
      </c>
      <c r="B89">
        <v>-16.7077867308387</v>
      </c>
      <c r="C89">
        <v>0</v>
      </c>
    </row>
    <row r="90" spans="1:3">
      <c r="A90">
        <v>90</v>
      </c>
      <c r="B90">
        <v>-17.4173034487545</v>
      </c>
      <c r="C90">
        <v>0</v>
      </c>
    </row>
    <row r="91" spans="1:3">
      <c r="A91">
        <v>91</v>
      </c>
      <c r="B91">
        <v>-21.4905871666703</v>
      </c>
      <c r="C91">
        <v>0</v>
      </c>
    </row>
    <row r="92" spans="1:3">
      <c r="A92">
        <v>92</v>
      </c>
      <c r="B92">
        <v>-22.9344638845861</v>
      </c>
      <c r="C92">
        <v>0</v>
      </c>
    </row>
    <row r="93" spans="1:3">
      <c r="A93">
        <v>93</v>
      </c>
      <c r="B93">
        <v>-17.6310836025019</v>
      </c>
      <c r="C93">
        <v>0</v>
      </c>
    </row>
    <row r="94" spans="1:3">
      <c r="A94">
        <v>94</v>
      </c>
      <c r="B94">
        <v>-18.2099893204177</v>
      </c>
      <c r="C94">
        <v>0</v>
      </c>
    </row>
    <row r="95" spans="1:3">
      <c r="A95">
        <v>95</v>
      </c>
      <c r="B95">
        <v>-15.2698750383335</v>
      </c>
      <c r="C95">
        <v>0</v>
      </c>
    </row>
    <row r="96" spans="1:3">
      <c r="A96">
        <v>96</v>
      </c>
      <c r="B96">
        <v>-18.1504357562493</v>
      </c>
      <c r="C96">
        <v>0</v>
      </c>
    </row>
    <row r="97" spans="1:3">
      <c r="A97">
        <v>97</v>
      </c>
      <c r="B97">
        <v>-16.6519414741651</v>
      </c>
      <c r="C97">
        <v>0</v>
      </c>
    </row>
    <row r="98" spans="1:3">
      <c r="A98">
        <v>98</v>
      </c>
      <c r="B98">
        <v>-17.0238461920809</v>
      </c>
      <c r="C98">
        <v>0</v>
      </c>
    </row>
    <row r="99" spans="1:3">
      <c r="A99">
        <v>99</v>
      </c>
      <c r="B99">
        <v>-20.5648409099967</v>
      </c>
      <c r="C99">
        <v>0</v>
      </c>
    </row>
    <row r="100" spans="1:3">
      <c r="A100">
        <v>100</v>
      </c>
      <c r="B100">
        <v>-19.8179566279126</v>
      </c>
      <c r="C100">
        <v>0</v>
      </c>
    </row>
    <row r="101" spans="1:3">
      <c r="A101">
        <v>101</v>
      </c>
      <c r="B101">
        <v>-20.9291463458283</v>
      </c>
      <c r="C101">
        <v>0</v>
      </c>
    </row>
    <row r="102" spans="1:3">
      <c r="A102">
        <v>102</v>
      </c>
      <c r="B102">
        <v>-15.9830960637441</v>
      </c>
      <c r="C102">
        <v>0</v>
      </c>
    </row>
    <row r="103" spans="1:3">
      <c r="A103">
        <v>103</v>
      </c>
      <c r="B103">
        <v>-16.9760067816599</v>
      </c>
      <c r="C103">
        <v>0</v>
      </c>
    </row>
    <row r="104" spans="1:3">
      <c r="A104">
        <v>104</v>
      </c>
      <c r="B104">
        <v>-15.5834664995757</v>
      </c>
      <c r="C104">
        <v>0</v>
      </c>
    </row>
    <row r="105" spans="1:3">
      <c r="A105">
        <v>105</v>
      </c>
      <c r="B105">
        <v>-15.3540832174915</v>
      </c>
      <c r="C105">
        <v>0</v>
      </c>
    </row>
    <row r="106" spans="1:3">
      <c r="A106">
        <v>106</v>
      </c>
      <c r="B106">
        <v>-14.3016179354074</v>
      </c>
      <c r="C106">
        <v>0</v>
      </c>
    </row>
    <row r="107" spans="1:3">
      <c r="A107">
        <v>107</v>
      </c>
      <c r="B107">
        <v>-11.1446536533231</v>
      </c>
      <c r="C107">
        <v>0</v>
      </c>
    </row>
    <row r="108" spans="1:3">
      <c r="A108">
        <v>108</v>
      </c>
      <c r="B108">
        <v>-12.0340603712389</v>
      </c>
      <c r="C108">
        <v>0</v>
      </c>
    </row>
    <row r="109" spans="1:3">
      <c r="A109">
        <v>109</v>
      </c>
      <c r="B109">
        <v>-11.7208920891548</v>
      </c>
      <c r="C109">
        <v>0</v>
      </c>
    </row>
    <row r="110" spans="1:3">
      <c r="A110">
        <v>110</v>
      </c>
      <c r="B110">
        <v>-12.9232718070705</v>
      </c>
      <c r="C110">
        <v>0</v>
      </c>
    </row>
    <row r="111" spans="1:3">
      <c r="A111">
        <v>111</v>
      </c>
      <c r="B111">
        <v>-14.6135745249863</v>
      </c>
      <c r="C111">
        <v>0</v>
      </c>
    </row>
    <row r="112" spans="1:3">
      <c r="A112">
        <v>112</v>
      </c>
      <c r="B112">
        <v>-16.9667792429021</v>
      </c>
      <c r="C112">
        <v>0</v>
      </c>
    </row>
    <row r="113" spans="1:3">
      <c r="A113">
        <v>113</v>
      </c>
      <c r="B113">
        <v>-15.305626960818</v>
      </c>
      <c r="C113">
        <v>0</v>
      </c>
    </row>
    <row r="114" spans="1:3">
      <c r="A114">
        <v>114</v>
      </c>
      <c r="B114">
        <v>-15.8130676787338</v>
      </c>
      <c r="C114">
        <v>0</v>
      </c>
    </row>
    <row r="115" spans="1:3">
      <c r="A115">
        <v>115</v>
      </c>
      <c r="B115">
        <v>-14.1001793966496</v>
      </c>
      <c r="C115">
        <v>0</v>
      </c>
    </row>
    <row r="116" spans="1:3">
      <c r="A116">
        <v>116</v>
      </c>
      <c r="B116">
        <v>-14.2946551145654</v>
      </c>
      <c r="C116">
        <v>0</v>
      </c>
    </row>
    <row r="117" spans="1:3">
      <c r="A117">
        <v>117</v>
      </c>
      <c r="B117">
        <v>-15.6695358324811</v>
      </c>
      <c r="C117">
        <v>0</v>
      </c>
    </row>
    <row r="118" spans="1:3">
      <c r="A118">
        <v>118</v>
      </c>
      <c r="B118">
        <v>-13.658453550397</v>
      </c>
      <c r="C118">
        <v>0</v>
      </c>
    </row>
    <row r="119" spans="1:3">
      <c r="A119">
        <v>119</v>
      </c>
      <c r="B119">
        <v>-12.4063952683127</v>
      </c>
      <c r="C119">
        <v>0</v>
      </c>
    </row>
    <row r="120" spans="1:3">
      <c r="A120">
        <v>120</v>
      </c>
      <c r="B120">
        <v>-13.8157689862286</v>
      </c>
      <c r="C120">
        <v>0</v>
      </c>
    </row>
    <row r="121" spans="1:3">
      <c r="A121">
        <v>121</v>
      </c>
      <c r="B121">
        <v>-13.0516267041444</v>
      </c>
      <c r="C121">
        <v>0</v>
      </c>
    </row>
    <row r="122" spans="1:3">
      <c r="A122">
        <v>122</v>
      </c>
      <c r="B122">
        <v>-12.2110984220602</v>
      </c>
      <c r="C122">
        <v>0</v>
      </c>
    </row>
    <row r="123" spans="1:3">
      <c r="A123">
        <v>123</v>
      </c>
      <c r="B123">
        <v>-11.698314139976</v>
      </c>
      <c r="C123">
        <v>0</v>
      </c>
    </row>
    <row r="124" spans="1:3">
      <c r="A124">
        <v>124</v>
      </c>
      <c r="B124">
        <v>-11.1756878578918</v>
      </c>
      <c r="C124">
        <v>0</v>
      </c>
    </row>
    <row r="125" spans="1:3">
      <c r="A125">
        <v>125</v>
      </c>
      <c r="B125">
        <v>-9.01044557580757</v>
      </c>
      <c r="C125">
        <v>0</v>
      </c>
    </row>
    <row r="126" spans="1:3">
      <c r="A126">
        <v>126</v>
      </c>
      <c r="B126">
        <v>-8.03850929372337</v>
      </c>
      <c r="C126">
        <v>0</v>
      </c>
    </row>
    <row r="127" spans="1:3">
      <c r="A127">
        <v>127</v>
      </c>
      <c r="B127">
        <v>-9.17910601163916</v>
      </c>
      <c r="C127">
        <v>0</v>
      </c>
    </row>
    <row r="128" spans="1:3">
      <c r="A128">
        <v>128</v>
      </c>
      <c r="B128">
        <v>-10.359551729555</v>
      </c>
      <c r="C128">
        <v>0</v>
      </c>
    </row>
    <row r="129" spans="1:3">
      <c r="A129">
        <v>129</v>
      </c>
      <c r="B129">
        <v>-10.1324804474708</v>
      </c>
      <c r="C129">
        <v>0</v>
      </c>
    </row>
    <row r="130" spans="1:3">
      <c r="A130">
        <v>130</v>
      </c>
      <c r="B130">
        <v>-10.8321361653866</v>
      </c>
      <c r="C130">
        <v>0</v>
      </c>
    </row>
    <row r="131" spans="1:3">
      <c r="A131">
        <v>131</v>
      </c>
      <c r="B131">
        <v>-9.26977588330236</v>
      </c>
      <c r="C131">
        <v>0</v>
      </c>
    </row>
    <row r="132" spans="1:3">
      <c r="A132">
        <v>132</v>
      </c>
      <c r="B132">
        <v>-9.96693060121817</v>
      </c>
      <c r="C132">
        <v>0</v>
      </c>
    </row>
    <row r="133" spans="1:3">
      <c r="A133">
        <v>133</v>
      </c>
      <c r="B133">
        <v>-8.69354831913397</v>
      </c>
      <c r="C133">
        <v>0</v>
      </c>
    </row>
    <row r="134" spans="1:3">
      <c r="A134">
        <v>134</v>
      </c>
      <c r="B134">
        <v>-9.53022103704977</v>
      </c>
      <c r="C134">
        <v>0</v>
      </c>
    </row>
    <row r="135" spans="1:3">
      <c r="A135">
        <v>135</v>
      </c>
      <c r="B135">
        <v>-9.26577375496556</v>
      </c>
      <c r="C135">
        <v>0</v>
      </c>
    </row>
    <row r="136" spans="1:3">
      <c r="A136">
        <v>136</v>
      </c>
      <c r="B136">
        <v>-10.0476364728814</v>
      </c>
      <c r="C136">
        <v>0</v>
      </c>
    </row>
    <row r="137" spans="1:3">
      <c r="A137">
        <v>137</v>
      </c>
      <c r="B137">
        <v>-9.94761719079718</v>
      </c>
      <c r="C137">
        <v>0</v>
      </c>
    </row>
    <row r="138" spans="1:3">
      <c r="A138">
        <v>138</v>
      </c>
      <c r="B138">
        <v>-10.156497908713</v>
      </c>
      <c r="C138">
        <v>0</v>
      </c>
    </row>
    <row r="139" spans="1:3">
      <c r="A139">
        <v>139</v>
      </c>
      <c r="B139">
        <v>-10.4774846266288</v>
      </c>
      <c r="C139">
        <v>0</v>
      </c>
    </row>
    <row r="140" spans="1:3">
      <c r="A140">
        <v>140</v>
      </c>
      <c r="B140">
        <v>-9.74718634454456</v>
      </c>
      <c r="C140">
        <v>0</v>
      </c>
    </row>
    <row r="141" spans="1:3">
      <c r="A141">
        <v>141</v>
      </c>
      <c r="B141">
        <v>-9.61976206246038</v>
      </c>
      <c r="C141">
        <v>0</v>
      </c>
    </row>
    <row r="142" spans="1:3">
      <c r="A142">
        <v>142</v>
      </c>
      <c r="B142">
        <v>-9.42008878037618</v>
      </c>
      <c r="C142">
        <v>0</v>
      </c>
    </row>
    <row r="143" spans="1:3">
      <c r="A143">
        <v>143</v>
      </c>
      <c r="B143">
        <v>-10.361382498292</v>
      </c>
      <c r="C143">
        <v>0</v>
      </c>
    </row>
    <row r="144" spans="1:3">
      <c r="A144">
        <v>144</v>
      </c>
      <c r="B144">
        <v>-8.31821821620777</v>
      </c>
      <c r="C144">
        <v>0</v>
      </c>
    </row>
    <row r="145" spans="1:3">
      <c r="A145">
        <v>145</v>
      </c>
      <c r="B145">
        <v>-8.07371393412357</v>
      </c>
      <c r="C145">
        <v>0</v>
      </c>
    </row>
    <row r="146" spans="1:3">
      <c r="A146">
        <v>146</v>
      </c>
      <c r="B146">
        <v>-5.69423765203938</v>
      </c>
      <c r="C146">
        <v>0</v>
      </c>
    </row>
    <row r="147" spans="1:3">
      <c r="A147">
        <v>147</v>
      </c>
      <c r="B147">
        <v>-3.73328736995516</v>
      </c>
      <c r="C147">
        <v>0</v>
      </c>
    </row>
    <row r="148" spans="1:3">
      <c r="A148">
        <v>148</v>
      </c>
      <c r="B148">
        <v>-8.19714208787099</v>
      </c>
      <c r="C148">
        <v>0</v>
      </c>
    </row>
    <row r="149" spans="1:3">
      <c r="A149">
        <v>149</v>
      </c>
      <c r="B149">
        <v>-7.71845380578676</v>
      </c>
      <c r="C149">
        <v>0</v>
      </c>
    </row>
    <row r="150" spans="1:3">
      <c r="A150">
        <v>150</v>
      </c>
      <c r="B150">
        <v>-6.91840752370257</v>
      </c>
      <c r="C150">
        <v>0</v>
      </c>
    </row>
    <row r="151" spans="1:3">
      <c r="A151">
        <v>151</v>
      </c>
      <c r="B151">
        <v>-4.89766624161838</v>
      </c>
      <c r="C151">
        <v>0</v>
      </c>
    </row>
    <row r="152" spans="1:3">
      <c r="A152">
        <v>152</v>
      </c>
      <c r="B152">
        <v>-5.26348995953418</v>
      </c>
      <c r="C152">
        <v>0</v>
      </c>
    </row>
    <row r="153" spans="1:3">
      <c r="A153">
        <v>153</v>
      </c>
      <c r="B153">
        <v>-5.47237067744999</v>
      </c>
      <c r="C153">
        <v>0</v>
      </c>
    </row>
    <row r="154" spans="1:3">
      <c r="A154">
        <v>154</v>
      </c>
      <c r="B154">
        <v>-6.21687239536578</v>
      </c>
      <c r="C154">
        <v>0</v>
      </c>
    </row>
    <row r="155" spans="1:3">
      <c r="A155">
        <v>155</v>
      </c>
      <c r="B155">
        <v>-4.18118411328159</v>
      </c>
      <c r="C155">
        <v>0</v>
      </c>
    </row>
    <row r="156" spans="1:3">
      <c r="A156">
        <v>156</v>
      </c>
      <c r="B156">
        <v>-2.51668183119737</v>
      </c>
      <c r="C156">
        <v>0</v>
      </c>
    </row>
    <row r="157" spans="1:3">
      <c r="A157">
        <v>157</v>
      </c>
      <c r="B157">
        <v>-4.3722525491132</v>
      </c>
      <c r="C157">
        <v>0</v>
      </c>
    </row>
    <row r="158" spans="1:3">
      <c r="A158">
        <v>158</v>
      </c>
      <c r="B158">
        <v>-3.42521826702898</v>
      </c>
      <c r="C158">
        <v>0</v>
      </c>
    </row>
    <row r="159" spans="1:3">
      <c r="A159">
        <v>159</v>
      </c>
      <c r="B159">
        <v>-6.46161298494478</v>
      </c>
      <c r="C159">
        <v>0</v>
      </c>
    </row>
    <row r="160" spans="1:3">
      <c r="A160">
        <v>160</v>
      </c>
      <c r="B160">
        <v>-4.67504770286058</v>
      </c>
      <c r="C160">
        <v>0</v>
      </c>
    </row>
    <row r="161" spans="1:3">
      <c r="A161">
        <v>161</v>
      </c>
      <c r="B161">
        <v>-4.16647542077639</v>
      </c>
      <c r="C161">
        <v>0</v>
      </c>
    </row>
    <row r="162" spans="1:3">
      <c r="A162">
        <v>162</v>
      </c>
      <c r="B162">
        <v>-4.58212713869219</v>
      </c>
      <c r="C162">
        <v>0</v>
      </c>
    </row>
    <row r="163" spans="1:3">
      <c r="A163">
        <v>163</v>
      </c>
      <c r="B163">
        <v>-4.82588885660797</v>
      </c>
      <c r="C163">
        <v>0</v>
      </c>
    </row>
    <row r="164" spans="1:3">
      <c r="A164">
        <v>164</v>
      </c>
      <c r="B164">
        <v>-2.6432125745238</v>
      </c>
      <c r="C164">
        <v>0</v>
      </c>
    </row>
    <row r="165" spans="1:3">
      <c r="A165">
        <v>165</v>
      </c>
      <c r="B165">
        <v>-3.17595329243959</v>
      </c>
      <c r="C165">
        <v>0</v>
      </c>
    </row>
    <row r="166" spans="1:3">
      <c r="A166">
        <v>166</v>
      </c>
      <c r="B166">
        <v>-1.25735401035539</v>
      </c>
      <c r="C166">
        <v>0</v>
      </c>
    </row>
    <row r="167" spans="1:3">
      <c r="A167">
        <v>167</v>
      </c>
      <c r="B167">
        <v>-1.09255372827118</v>
      </c>
      <c r="C167">
        <v>0</v>
      </c>
    </row>
    <row r="168" spans="1:3">
      <c r="A168">
        <v>168</v>
      </c>
      <c r="B168">
        <v>-1.16940744618699</v>
      </c>
      <c r="C168">
        <v>0</v>
      </c>
    </row>
    <row r="169" spans="1:3">
      <c r="A169">
        <v>169</v>
      </c>
      <c r="B169">
        <v>-1.85411016410279</v>
      </c>
      <c r="C169">
        <v>0</v>
      </c>
    </row>
    <row r="170" spans="1:3">
      <c r="A170">
        <v>170</v>
      </c>
      <c r="B170">
        <v>-0.523431882018599</v>
      </c>
      <c r="C170">
        <v>0</v>
      </c>
    </row>
    <row r="171" spans="1:3">
      <c r="A171">
        <v>171</v>
      </c>
      <c r="B171">
        <v>-0.102047599934394</v>
      </c>
      <c r="C171">
        <v>0</v>
      </c>
    </row>
    <row r="172" spans="1:3">
      <c r="A172">
        <v>172</v>
      </c>
      <c r="B172">
        <v>-1.54407431785019</v>
      </c>
      <c r="C172">
        <v>0</v>
      </c>
    </row>
    <row r="173" spans="1:3">
      <c r="A173">
        <v>173</v>
      </c>
      <c r="B173">
        <v>-1.982149035766</v>
      </c>
      <c r="C173">
        <v>0</v>
      </c>
    </row>
    <row r="174" spans="1:3">
      <c r="A174">
        <v>174</v>
      </c>
      <c r="B174">
        <v>-0.203052753681789</v>
      </c>
      <c r="C174">
        <v>0</v>
      </c>
    </row>
    <row r="175" spans="1:3">
      <c r="A175">
        <v>175</v>
      </c>
      <c r="B175">
        <v>-1.7995444715976</v>
      </c>
      <c r="C175">
        <v>0</v>
      </c>
    </row>
    <row r="176" spans="1:3">
      <c r="A176">
        <v>176</v>
      </c>
      <c r="B176">
        <v>-1.77176818951339</v>
      </c>
      <c r="C176">
        <v>0</v>
      </c>
    </row>
    <row r="177" spans="1:3">
      <c r="A177">
        <v>177</v>
      </c>
      <c r="B177">
        <v>-6.4274409074292</v>
      </c>
      <c r="C177">
        <v>0</v>
      </c>
    </row>
    <row r="178" spans="1:3">
      <c r="A178">
        <v>178</v>
      </c>
      <c r="B178">
        <v>-6.90039762534501</v>
      </c>
      <c r="C178">
        <v>0</v>
      </c>
    </row>
    <row r="179" spans="1:3">
      <c r="A179">
        <v>179</v>
      </c>
      <c r="B179">
        <v>-4.95688834326079</v>
      </c>
      <c r="C179">
        <v>0</v>
      </c>
    </row>
    <row r="180" spans="1:3">
      <c r="A180">
        <v>180</v>
      </c>
      <c r="B180">
        <v>-6.7526590611766</v>
      </c>
      <c r="C180">
        <v>0</v>
      </c>
    </row>
    <row r="181" spans="1:3">
      <c r="A181">
        <v>181</v>
      </c>
      <c r="B181">
        <v>-5.2152167790924</v>
      </c>
      <c r="C181">
        <v>0</v>
      </c>
    </row>
    <row r="182" spans="1:3">
      <c r="A182">
        <v>182</v>
      </c>
      <c r="B182">
        <v>-4.3130204970082</v>
      </c>
      <c r="C182">
        <v>0</v>
      </c>
    </row>
    <row r="183" spans="1:3">
      <c r="A183">
        <v>183</v>
      </c>
      <c r="B183">
        <v>5.47778678507601</v>
      </c>
      <c r="C183">
        <v>0</v>
      </c>
    </row>
    <row r="184" spans="1:3">
      <c r="A184">
        <v>184</v>
      </c>
      <c r="B184">
        <v>7.9020920671602</v>
      </c>
      <c r="C184">
        <v>0</v>
      </c>
    </row>
    <row r="185" spans="1:3">
      <c r="A185">
        <v>185</v>
      </c>
      <c r="B185">
        <v>8.3832763492444</v>
      </c>
      <c r="C185">
        <v>0</v>
      </c>
    </row>
    <row r="186" spans="1:3">
      <c r="A186">
        <v>186</v>
      </c>
      <c r="B186">
        <v>8.5356096313286</v>
      </c>
      <c r="C186">
        <v>0</v>
      </c>
    </row>
    <row r="187" spans="1:3">
      <c r="A187">
        <v>187</v>
      </c>
      <c r="B187">
        <v>12.1183319134128</v>
      </c>
      <c r="C187">
        <v>0</v>
      </c>
    </row>
    <row r="188" spans="1:3">
      <c r="A188">
        <v>188</v>
      </c>
      <c r="B188">
        <v>9.29402719549701</v>
      </c>
      <c r="C188">
        <v>0</v>
      </c>
    </row>
    <row r="189" spans="1:3">
      <c r="A189">
        <v>189</v>
      </c>
      <c r="B189">
        <v>10.6624864775812</v>
      </c>
      <c r="C189">
        <v>0</v>
      </c>
    </row>
    <row r="190" spans="1:3">
      <c r="A190">
        <v>190</v>
      </c>
      <c r="B190">
        <v>7.07199175966539</v>
      </c>
      <c r="C190">
        <v>0</v>
      </c>
    </row>
    <row r="191" spans="1:3">
      <c r="A191">
        <v>191</v>
      </c>
      <c r="B191">
        <v>10.4569760417496</v>
      </c>
      <c r="C191">
        <v>0</v>
      </c>
    </row>
    <row r="192" spans="1:3">
      <c r="A192">
        <v>192</v>
      </c>
      <c r="B192">
        <v>12.2097653238338</v>
      </c>
      <c r="C192">
        <v>0</v>
      </c>
    </row>
    <row r="193" spans="1:3">
      <c r="A193">
        <v>193</v>
      </c>
      <c r="B193">
        <v>11.863685605918</v>
      </c>
      <c r="C193">
        <v>0</v>
      </c>
    </row>
    <row r="194" spans="1:3">
      <c r="A194">
        <v>194</v>
      </c>
      <c r="B194">
        <v>11.3204318880022</v>
      </c>
      <c r="C194">
        <v>0</v>
      </c>
    </row>
    <row r="195" spans="1:3">
      <c r="A195">
        <v>195</v>
      </c>
      <c r="B195">
        <v>12.0300321700864</v>
      </c>
      <c r="C195">
        <v>0</v>
      </c>
    </row>
    <row r="196" spans="1:3">
      <c r="A196">
        <v>196</v>
      </c>
      <c r="B196">
        <v>11.9310154521706</v>
      </c>
      <c r="C196">
        <v>0</v>
      </c>
    </row>
    <row r="197" spans="1:3">
      <c r="A197">
        <v>197</v>
      </c>
      <c r="B197">
        <v>14.2503337342548</v>
      </c>
      <c r="C197">
        <v>0</v>
      </c>
    </row>
    <row r="198" spans="1:3">
      <c r="A198">
        <v>198</v>
      </c>
      <c r="B198">
        <v>20.091075016339</v>
      </c>
      <c r="C198">
        <v>0</v>
      </c>
    </row>
    <row r="199" spans="1:3">
      <c r="A199">
        <v>199</v>
      </c>
      <c r="B199">
        <v>21.3322522984232</v>
      </c>
      <c r="C199">
        <v>0</v>
      </c>
    </row>
    <row r="200" spans="1:3">
      <c r="A200">
        <v>200</v>
      </c>
      <c r="B200">
        <v>20.0577675805074</v>
      </c>
      <c r="C200">
        <v>0</v>
      </c>
    </row>
    <row r="201" spans="1:3">
      <c r="A201">
        <v>201</v>
      </c>
      <c r="B201">
        <v>21.5085858625916</v>
      </c>
      <c r="C201">
        <v>0</v>
      </c>
    </row>
    <row r="202" spans="1:3">
      <c r="A202">
        <v>202</v>
      </c>
      <c r="B202">
        <v>19.7549291446758</v>
      </c>
      <c r="C202">
        <v>0</v>
      </c>
    </row>
    <row r="203" spans="1:3">
      <c r="A203">
        <v>203</v>
      </c>
      <c r="B203">
        <v>19.30901842676</v>
      </c>
      <c r="C203">
        <v>0</v>
      </c>
    </row>
    <row r="204" spans="1:3">
      <c r="A204">
        <v>204</v>
      </c>
      <c r="B204">
        <v>23.2904537088442</v>
      </c>
      <c r="C204">
        <v>0</v>
      </c>
    </row>
    <row r="205" spans="1:3">
      <c r="A205">
        <v>205</v>
      </c>
      <c r="B205">
        <v>28.1778409909284</v>
      </c>
      <c r="C205">
        <v>0</v>
      </c>
    </row>
    <row r="206" spans="1:3">
      <c r="A206">
        <v>206</v>
      </c>
      <c r="B206">
        <v>25.1588722730126</v>
      </c>
      <c r="C206">
        <v>0</v>
      </c>
    </row>
    <row r="207" spans="1:3">
      <c r="A207">
        <v>207</v>
      </c>
      <c r="B207">
        <v>14.4132255550968</v>
      </c>
      <c r="C207">
        <v>0</v>
      </c>
    </row>
    <row r="208" spans="1:3">
      <c r="A208">
        <v>208</v>
      </c>
      <c r="B208">
        <v>14.249328837181</v>
      </c>
      <c r="C208">
        <v>0</v>
      </c>
    </row>
    <row r="209" spans="1:3">
      <c r="A209">
        <v>209</v>
      </c>
      <c r="B209">
        <v>5.87959011926517</v>
      </c>
      <c r="C209">
        <v>0</v>
      </c>
    </row>
    <row r="210" spans="1:3">
      <c r="A210">
        <v>210</v>
      </c>
      <c r="B210">
        <v>10.1280774013494</v>
      </c>
      <c r="C210">
        <v>0</v>
      </c>
    </row>
    <row r="211" spans="1:3">
      <c r="A211">
        <v>211</v>
      </c>
      <c r="B211">
        <v>6.06091268343359</v>
      </c>
      <c r="C211">
        <v>0</v>
      </c>
    </row>
    <row r="212" spans="1:3">
      <c r="A212">
        <v>212</v>
      </c>
      <c r="B212">
        <v>4.32971696551778</v>
      </c>
      <c r="C212">
        <v>0</v>
      </c>
    </row>
    <row r="213" spans="1:3">
      <c r="A213">
        <v>213</v>
      </c>
      <c r="B213">
        <v>7.44016524760198</v>
      </c>
      <c r="C213">
        <v>0</v>
      </c>
    </row>
    <row r="214" spans="1:3">
      <c r="A214">
        <v>214</v>
      </c>
      <c r="B214">
        <v>7.37609852968617</v>
      </c>
      <c r="C214">
        <v>0</v>
      </c>
    </row>
    <row r="215" spans="1:3">
      <c r="A215">
        <v>215</v>
      </c>
      <c r="B215">
        <v>3.72820781177037</v>
      </c>
      <c r="C215">
        <v>0</v>
      </c>
    </row>
    <row r="216" spans="1:3">
      <c r="A216">
        <v>216</v>
      </c>
      <c r="B216">
        <v>1.69752709385457</v>
      </c>
      <c r="C216">
        <v>0</v>
      </c>
    </row>
    <row r="217" spans="1:3">
      <c r="A217">
        <v>217</v>
      </c>
      <c r="B217">
        <v>-2.04020662406123</v>
      </c>
      <c r="C217">
        <v>0</v>
      </c>
    </row>
    <row r="218" spans="1:3">
      <c r="A218">
        <v>218</v>
      </c>
      <c r="B218">
        <v>0.95045165802297</v>
      </c>
      <c r="C218">
        <v>0</v>
      </c>
    </row>
    <row r="219" spans="1:3">
      <c r="A219">
        <v>219</v>
      </c>
      <c r="B219">
        <v>2.43371094010716</v>
      </c>
      <c r="C219">
        <v>0</v>
      </c>
    </row>
    <row r="220" spans="1:3">
      <c r="A220">
        <v>220</v>
      </c>
      <c r="B220">
        <v>-2.49197377780862</v>
      </c>
      <c r="C220">
        <v>0</v>
      </c>
    </row>
    <row r="221" spans="1:3">
      <c r="A221">
        <v>221</v>
      </c>
      <c r="B221">
        <v>-1.63762949572444</v>
      </c>
      <c r="C221">
        <v>0</v>
      </c>
    </row>
    <row r="222" spans="1:3">
      <c r="A222">
        <v>222</v>
      </c>
      <c r="B222">
        <v>2.17161778635977</v>
      </c>
      <c r="C222">
        <v>0</v>
      </c>
    </row>
    <row r="223" spans="1:3">
      <c r="A223">
        <v>223</v>
      </c>
      <c r="B223">
        <v>4.60324106844398</v>
      </c>
      <c r="C223">
        <v>0</v>
      </c>
    </row>
    <row r="224" spans="1:3">
      <c r="A224">
        <v>224</v>
      </c>
      <c r="B224">
        <v>3.49097135052817</v>
      </c>
      <c r="C224">
        <v>0</v>
      </c>
    </row>
    <row r="225" spans="1:3">
      <c r="A225">
        <v>225</v>
      </c>
      <c r="B225">
        <v>4.96425063261236</v>
      </c>
      <c r="C225">
        <v>0</v>
      </c>
    </row>
    <row r="226" spans="1:3">
      <c r="A226">
        <v>226</v>
      </c>
      <c r="B226">
        <v>5.69880691469656</v>
      </c>
      <c r="C226">
        <v>0</v>
      </c>
    </row>
    <row r="227" spans="1:3">
      <c r="A227">
        <v>227</v>
      </c>
      <c r="B227">
        <v>1.69153319678078</v>
      </c>
      <c r="C227">
        <v>0</v>
      </c>
    </row>
    <row r="228" spans="1:3">
      <c r="A228">
        <v>228</v>
      </c>
      <c r="B228">
        <v>4.92177847886497</v>
      </c>
      <c r="C228">
        <v>0</v>
      </c>
    </row>
    <row r="229" spans="1:3">
      <c r="A229">
        <v>229</v>
      </c>
      <c r="B229">
        <v>1.34377276094916</v>
      </c>
      <c r="C229">
        <v>0</v>
      </c>
    </row>
    <row r="230" spans="1:3">
      <c r="A230">
        <v>230</v>
      </c>
      <c r="B230">
        <v>3.01670504303337</v>
      </c>
      <c r="C230">
        <v>0</v>
      </c>
    </row>
    <row r="231" spans="1:3">
      <c r="A231">
        <v>231</v>
      </c>
      <c r="B231">
        <v>2.66312632511756</v>
      </c>
      <c r="C231">
        <v>0</v>
      </c>
    </row>
    <row r="232" spans="1:3">
      <c r="A232">
        <v>232</v>
      </c>
      <c r="B232">
        <v>4.41592360720176</v>
      </c>
      <c r="C232">
        <v>0</v>
      </c>
    </row>
    <row r="233" spans="1:3">
      <c r="A233">
        <v>233</v>
      </c>
      <c r="B233">
        <v>11.589367889286</v>
      </c>
      <c r="C233">
        <v>0</v>
      </c>
    </row>
    <row r="234" spans="1:3">
      <c r="A234">
        <v>234</v>
      </c>
      <c r="B234">
        <v>8.05128717137016</v>
      </c>
      <c r="C234">
        <v>0</v>
      </c>
    </row>
    <row r="235" spans="1:3">
      <c r="A235">
        <v>235</v>
      </c>
      <c r="B235">
        <v>7.89736845345436</v>
      </c>
      <c r="C235">
        <v>0</v>
      </c>
    </row>
    <row r="236" spans="1:3">
      <c r="A236">
        <v>236</v>
      </c>
      <c r="B236">
        <v>7.17443573553857</v>
      </c>
      <c r="C236">
        <v>0</v>
      </c>
    </row>
    <row r="237" spans="1:3">
      <c r="A237">
        <v>237</v>
      </c>
      <c r="B237">
        <v>5.24357801762275</v>
      </c>
      <c r="C237">
        <v>0</v>
      </c>
    </row>
    <row r="238" spans="1:3">
      <c r="A238">
        <v>238</v>
      </c>
      <c r="B238">
        <v>1.96505729970697</v>
      </c>
      <c r="C238">
        <v>0</v>
      </c>
    </row>
    <row r="239" spans="1:3">
      <c r="A239">
        <v>239</v>
      </c>
      <c r="B239">
        <v>3.24866158179115</v>
      </c>
      <c r="C239">
        <v>0</v>
      </c>
    </row>
    <row r="240" spans="1:3">
      <c r="A240">
        <v>240</v>
      </c>
      <c r="B240">
        <v>2.36600686387536</v>
      </c>
      <c r="C240">
        <v>0</v>
      </c>
    </row>
    <row r="241" spans="1:3">
      <c r="A241">
        <v>241</v>
      </c>
      <c r="B241">
        <v>1.00416514595956</v>
      </c>
      <c r="C241">
        <v>0</v>
      </c>
    </row>
    <row r="242" spans="1:3">
      <c r="A242">
        <v>242</v>
      </c>
      <c r="B242">
        <v>0.0516324280437601</v>
      </c>
      <c r="C242">
        <v>0</v>
      </c>
    </row>
    <row r="243" spans="1:3">
      <c r="A243">
        <v>243</v>
      </c>
      <c r="B243">
        <v>-0.182150289872041</v>
      </c>
      <c r="C243">
        <v>0</v>
      </c>
    </row>
    <row r="244" spans="1:3">
      <c r="A244">
        <v>244</v>
      </c>
      <c r="B244">
        <v>1.12141399221215</v>
      </c>
      <c r="C244">
        <v>0</v>
      </c>
    </row>
    <row r="245" spans="1:3">
      <c r="A245">
        <v>245</v>
      </c>
      <c r="B245">
        <v>-4.51304972570364</v>
      </c>
      <c r="C245">
        <v>0</v>
      </c>
    </row>
    <row r="246" spans="1:3">
      <c r="A246">
        <v>246</v>
      </c>
      <c r="B246">
        <v>-0.643903443619436</v>
      </c>
      <c r="C246">
        <v>0</v>
      </c>
    </row>
    <row r="247" spans="1:3">
      <c r="A247">
        <v>247</v>
      </c>
      <c r="B247">
        <v>-7.33653316153524</v>
      </c>
      <c r="C247">
        <v>0</v>
      </c>
    </row>
    <row r="248" spans="1:3">
      <c r="A248">
        <v>248</v>
      </c>
      <c r="B248">
        <v>-7.67014687945105</v>
      </c>
      <c r="C248">
        <v>0</v>
      </c>
    </row>
    <row r="249" spans="1:3">
      <c r="A249">
        <v>249</v>
      </c>
      <c r="B249">
        <v>-6.24677859736686</v>
      </c>
      <c r="C249">
        <v>0</v>
      </c>
    </row>
    <row r="250" spans="1:3">
      <c r="A250">
        <v>250</v>
      </c>
      <c r="B250">
        <v>-1.98831231528266</v>
      </c>
      <c r="C250">
        <v>0</v>
      </c>
    </row>
    <row r="251" spans="1:3">
      <c r="A251">
        <v>251</v>
      </c>
      <c r="B251">
        <v>1.84090096680154</v>
      </c>
      <c r="C251">
        <v>0</v>
      </c>
    </row>
    <row r="252" spans="1:3">
      <c r="A252">
        <v>252</v>
      </c>
      <c r="B252">
        <v>1.46214424888576</v>
      </c>
      <c r="C252">
        <v>0</v>
      </c>
    </row>
    <row r="253" spans="1:3">
      <c r="A253">
        <v>253</v>
      </c>
      <c r="B253">
        <v>-1.15161946903007</v>
      </c>
      <c r="C253">
        <v>0</v>
      </c>
    </row>
    <row r="254" spans="1:3">
      <c r="A254">
        <v>254</v>
      </c>
      <c r="B254">
        <v>-1.74538118694585</v>
      </c>
      <c r="C254">
        <v>0</v>
      </c>
    </row>
    <row r="255" spans="1:3">
      <c r="A255">
        <v>255</v>
      </c>
      <c r="B255">
        <v>1.53085709513834</v>
      </c>
      <c r="C255">
        <v>0</v>
      </c>
    </row>
    <row r="256" spans="1:3">
      <c r="A256">
        <v>256</v>
      </c>
      <c r="B256">
        <v>1.00709537722254</v>
      </c>
      <c r="C256">
        <v>0</v>
      </c>
    </row>
    <row r="257" spans="1:3">
      <c r="A257">
        <v>257</v>
      </c>
      <c r="B257">
        <v>0.81333365930675</v>
      </c>
      <c r="C257">
        <v>0</v>
      </c>
    </row>
    <row r="258" spans="1:3">
      <c r="A258">
        <v>1</v>
      </c>
      <c r="B258">
        <v>56.0436665542483</v>
      </c>
      <c r="C258">
        <v>55.291519</v>
      </c>
    </row>
    <row r="259" spans="1:3">
      <c r="A259">
        <v>2</v>
      </c>
      <c r="B259">
        <v>56.2874282721641</v>
      </c>
      <c r="C259">
        <v>56.491634</v>
      </c>
    </row>
    <row r="260" spans="1:3">
      <c r="A260">
        <v>3</v>
      </c>
      <c r="B260">
        <v>56.5311899900799</v>
      </c>
      <c r="C260">
        <v>59.367474</v>
      </c>
    </row>
    <row r="261" spans="1:3">
      <c r="A261">
        <v>4</v>
      </c>
      <c r="B261">
        <v>56.7749517079957</v>
      </c>
      <c r="C261">
        <v>59.490692</v>
      </c>
    </row>
    <row r="262" spans="1:3">
      <c r="A262">
        <v>5</v>
      </c>
      <c r="B262">
        <v>57.0187134259115</v>
      </c>
      <c r="C262">
        <v>59.687832</v>
      </c>
    </row>
    <row r="263" spans="1:3">
      <c r="A263">
        <v>6</v>
      </c>
      <c r="B263">
        <v>57.2624751438273</v>
      </c>
      <c r="C263">
        <v>60.321156</v>
      </c>
    </row>
    <row r="264" spans="1:3">
      <c r="A264">
        <v>7</v>
      </c>
      <c r="B264">
        <v>57.5062368617431</v>
      </c>
      <c r="C264">
        <v>60.35812</v>
      </c>
    </row>
    <row r="265" spans="1:3">
      <c r="A265">
        <v>8</v>
      </c>
      <c r="B265">
        <v>57.7499985796589</v>
      </c>
      <c r="C265">
        <v>60.503517</v>
      </c>
    </row>
    <row r="266" spans="1:3">
      <c r="A266">
        <v>9</v>
      </c>
      <c r="B266">
        <v>57.9937602975747</v>
      </c>
      <c r="C266">
        <v>60.786911</v>
      </c>
    </row>
    <row r="267" spans="1:3">
      <c r="A267">
        <v>10</v>
      </c>
      <c r="B267">
        <v>58.2375220154905</v>
      </c>
      <c r="C267">
        <v>60.838661</v>
      </c>
    </row>
    <row r="268" spans="1:3">
      <c r="A268">
        <v>11</v>
      </c>
      <c r="B268">
        <v>58.4812837334063</v>
      </c>
      <c r="C268">
        <v>61.050594</v>
      </c>
    </row>
    <row r="269" spans="1:3">
      <c r="A269">
        <v>12</v>
      </c>
      <c r="B269">
        <v>58.7250454513221</v>
      </c>
      <c r="C269">
        <v>61.171341</v>
      </c>
    </row>
    <row r="270" spans="1:3">
      <c r="A270">
        <v>13</v>
      </c>
      <c r="B270">
        <v>58.9688071692379</v>
      </c>
      <c r="C270">
        <v>62.312309</v>
      </c>
    </row>
    <row r="271" spans="1:3">
      <c r="A271">
        <v>14</v>
      </c>
      <c r="B271">
        <v>59.2125688871537</v>
      </c>
      <c r="C271">
        <v>62.664707</v>
      </c>
    </row>
    <row r="272" spans="1:3">
      <c r="A272">
        <v>15</v>
      </c>
      <c r="B272">
        <v>59.4563306050695</v>
      </c>
      <c r="C272">
        <v>62.79285</v>
      </c>
    </row>
    <row r="273" spans="1:3">
      <c r="A273">
        <v>16</v>
      </c>
      <c r="B273">
        <v>59.7000923229853</v>
      </c>
      <c r="C273">
        <v>63.687393</v>
      </c>
    </row>
    <row r="274" spans="1:3">
      <c r="A274">
        <v>17</v>
      </c>
      <c r="B274">
        <v>59.9438540409011</v>
      </c>
      <c r="C274">
        <v>63.784916</v>
      </c>
    </row>
    <row r="275" spans="1:3">
      <c r="A275">
        <v>18</v>
      </c>
      <c r="B275">
        <v>60.1876157588169</v>
      </c>
      <c r="C275">
        <v>63.931355</v>
      </c>
    </row>
    <row r="276" spans="1:3">
      <c r="A276">
        <v>19</v>
      </c>
      <c r="B276">
        <v>60.4313774767327</v>
      </c>
      <c r="C276">
        <v>63.954544</v>
      </c>
    </row>
    <row r="277" spans="1:3">
      <c r="A277">
        <v>20</v>
      </c>
      <c r="B277">
        <v>60.6751391946485</v>
      </c>
      <c r="C277">
        <v>64.347893</v>
      </c>
    </row>
    <row r="278" spans="1:3">
      <c r="A278">
        <v>21</v>
      </c>
      <c r="B278">
        <v>60.9189009125643</v>
      </c>
      <c r="C278">
        <v>64.357727</v>
      </c>
    </row>
    <row r="279" spans="1:3">
      <c r="A279">
        <v>22</v>
      </c>
      <c r="B279">
        <v>61.1626626304801</v>
      </c>
      <c r="C279">
        <v>64.401978</v>
      </c>
    </row>
    <row r="280" spans="1:3">
      <c r="A280">
        <v>23</v>
      </c>
      <c r="B280">
        <v>61.4064243483959</v>
      </c>
      <c r="C280">
        <v>64.414268</v>
      </c>
    </row>
    <row r="281" spans="1:3">
      <c r="A281">
        <v>24</v>
      </c>
      <c r="B281">
        <v>61.6501860663117</v>
      </c>
      <c r="C281">
        <v>64.460991</v>
      </c>
    </row>
    <row r="282" spans="1:3">
      <c r="A282">
        <v>25</v>
      </c>
      <c r="B282">
        <v>61.8939477842275</v>
      </c>
      <c r="C282">
        <v>64.56916</v>
      </c>
    </row>
    <row r="283" spans="1:3">
      <c r="A283">
        <v>26</v>
      </c>
      <c r="B283">
        <v>62.1377095021433</v>
      </c>
      <c r="C283">
        <v>64.680504</v>
      </c>
    </row>
    <row r="284" spans="1:3">
      <c r="A284">
        <v>27</v>
      </c>
      <c r="B284">
        <v>62.3814712200591</v>
      </c>
      <c r="C284">
        <v>64.704376</v>
      </c>
    </row>
    <row r="285" spans="1:3">
      <c r="A285">
        <v>28</v>
      </c>
      <c r="B285">
        <v>62.6252329379749</v>
      </c>
      <c r="C285">
        <v>64.942841</v>
      </c>
    </row>
    <row r="286" spans="1:3">
      <c r="A286">
        <v>29</v>
      </c>
      <c r="B286">
        <v>62.8689946558907</v>
      </c>
      <c r="C286">
        <v>64.974815</v>
      </c>
    </row>
    <row r="287" spans="1:3">
      <c r="A287">
        <v>30</v>
      </c>
      <c r="B287">
        <v>63.1127563738065</v>
      </c>
      <c r="C287">
        <v>65.019051</v>
      </c>
    </row>
    <row r="288" spans="1:3">
      <c r="A288">
        <v>31</v>
      </c>
      <c r="B288">
        <v>63.3565180917223</v>
      </c>
      <c r="C288">
        <v>65.291946</v>
      </c>
    </row>
    <row r="289" spans="1:3">
      <c r="A289">
        <v>32</v>
      </c>
      <c r="B289">
        <v>63.6002798096381</v>
      </c>
      <c r="C289">
        <v>65.336212</v>
      </c>
    </row>
    <row r="290" spans="1:3">
      <c r="A290">
        <v>33</v>
      </c>
      <c r="B290">
        <v>63.8440415275539</v>
      </c>
      <c r="C290">
        <v>65.466507</v>
      </c>
    </row>
    <row r="291" spans="1:3">
      <c r="A291">
        <v>34</v>
      </c>
      <c r="B291">
        <v>64.0878032454697</v>
      </c>
      <c r="C291">
        <v>65.486168</v>
      </c>
    </row>
    <row r="292" spans="1:3">
      <c r="A292">
        <v>35</v>
      </c>
      <c r="B292">
        <v>64.3315649633855</v>
      </c>
      <c r="C292">
        <v>65.567657</v>
      </c>
    </row>
    <row r="293" spans="1:3">
      <c r="A293">
        <v>36</v>
      </c>
      <c r="B293">
        <v>64.5753266813013</v>
      </c>
      <c r="C293">
        <v>65.592308</v>
      </c>
    </row>
    <row r="294" spans="1:3">
      <c r="A294">
        <v>37</v>
      </c>
      <c r="B294">
        <v>64.8190883992171</v>
      </c>
      <c r="C294">
        <v>65.621384</v>
      </c>
    </row>
    <row r="295" spans="1:3">
      <c r="A295">
        <v>38</v>
      </c>
      <c r="B295">
        <v>65.0628501171329</v>
      </c>
      <c r="C295">
        <v>65.665634</v>
      </c>
    </row>
    <row r="296" spans="1:3">
      <c r="A296">
        <v>39</v>
      </c>
      <c r="B296">
        <v>65.3066118350487</v>
      </c>
      <c r="C296">
        <v>65.702515</v>
      </c>
    </row>
    <row r="297" spans="1:3">
      <c r="A297">
        <v>40</v>
      </c>
      <c r="B297">
        <v>65.5503735529645</v>
      </c>
      <c r="C297">
        <v>65.847565</v>
      </c>
    </row>
    <row r="298" spans="1:3">
      <c r="A298">
        <v>41</v>
      </c>
      <c r="B298">
        <v>65.7941352708803</v>
      </c>
      <c r="C298">
        <v>66.004898</v>
      </c>
    </row>
    <row r="299" spans="1:3">
      <c r="A299">
        <v>42</v>
      </c>
      <c r="B299">
        <v>66.0378969887961</v>
      </c>
      <c r="C299">
        <v>66.040802</v>
      </c>
    </row>
    <row r="300" spans="1:3">
      <c r="A300">
        <v>43</v>
      </c>
      <c r="B300">
        <v>66.2816587067119</v>
      </c>
      <c r="C300">
        <v>66.134438</v>
      </c>
    </row>
    <row r="301" spans="1:3">
      <c r="A301">
        <v>44</v>
      </c>
      <c r="B301">
        <v>66.5254204246277</v>
      </c>
      <c r="C301">
        <v>66.553131</v>
      </c>
    </row>
    <row r="302" spans="1:3">
      <c r="A302">
        <v>45</v>
      </c>
      <c r="B302">
        <v>66.7691821425435</v>
      </c>
      <c r="C302">
        <v>66.567886</v>
      </c>
    </row>
    <row r="303" spans="1:3">
      <c r="A303">
        <v>46</v>
      </c>
      <c r="B303">
        <v>67.0129438604593</v>
      </c>
      <c r="C303">
        <v>66.737518</v>
      </c>
    </row>
    <row r="304" spans="1:3">
      <c r="A304">
        <v>47</v>
      </c>
      <c r="B304">
        <v>67.2567055783751</v>
      </c>
      <c r="C304">
        <v>67.337029</v>
      </c>
    </row>
    <row r="305" spans="1:3">
      <c r="A305">
        <v>48</v>
      </c>
      <c r="B305">
        <v>67.5004672962909</v>
      </c>
      <c r="C305">
        <v>67.364128</v>
      </c>
    </row>
    <row r="306" spans="1:3">
      <c r="A306">
        <v>49</v>
      </c>
      <c r="B306">
        <v>67.7442290142067</v>
      </c>
      <c r="C306">
        <v>67.403557</v>
      </c>
    </row>
    <row r="307" spans="1:3">
      <c r="A307">
        <v>50</v>
      </c>
      <c r="B307">
        <v>67.9879907321225</v>
      </c>
      <c r="C307">
        <v>67.644707</v>
      </c>
    </row>
    <row r="308" spans="1:3">
      <c r="A308">
        <v>51</v>
      </c>
      <c r="B308">
        <v>68.2317524500383</v>
      </c>
      <c r="C308">
        <v>67.775673</v>
      </c>
    </row>
    <row r="309" spans="1:3">
      <c r="A309">
        <v>52</v>
      </c>
      <c r="B309">
        <v>68.4755141679541</v>
      </c>
      <c r="C309">
        <v>67.874245</v>
      </c>
    </row>
    <row r="310" spans="1:3">
      <c r="A310">
        <v>53</v>
      </c>
      <c r="B310">
        <v>68.7192758858699</v>
      </c>
      <c r="C310">
        <v>68.039352</v>
      </c>
    </row>
    <row r="311" spans="1:3">
      <c r="A311">
        <v>54</v>
      </c>
      <c r="B311">
        <v>68.9630376037857</v>
      </c>
      <c r="C311">
        <v>68.243881</v>
      </c>
    </row>
    <row r="312" spans="1:3">
      <c r="A312">
        <v>55</v>
      </c>
      <c r="B312">
        <v>69.2067993217015</v>
      </c>
      <c r="C312">
        <v>68.500175</v>
      </c>
    </row>
    <row r="313" spans="1:3">
      <c r="A313">
        <v>56</v>
      </c>
      <c r="B313">
        <v>69.4505610396173</v>
      </c>
      <c r="C313">
        <v>68.65049</v>
      </c>
    </row>
    <row r="314" spans="1:3">
      <c r="A314">
        <v>57</v>
      </c>
      <c r="B314">
        <v>69.6943227575331</v>
      </c>
      <c r="C314">
        <v>68.699387</v>
      </c>
    </row>
    <row r="315" spans="1:3">
      <c r="A315">
        <v>58</v>
      </c>
      <c r="B315">
        <v>69.9380844754489</v>
      </c>
      <c r="C315">
        <v>68.773132</v>
      </c>
    </row>
    <row r="316" spans="1:3">
      <c r="A316">
        <v>59</v>
      </c>
      <c r="B316">
        <v>70.1818461933647</v>
      </c>
      <c r="C316">
        <v>68.802635</v>
      </c>
    </row>
    <row r="317" spans="1:3">
      <c r="A317">
        <v>60</v>
      </c>
      <c r="B317">
        <v>70.4256079112805</v>
      </c>
      <c r="C317">
        <v>68.841965</v>
      </c>
    </row>
    <row r="318" spans="1:3">
      <c r="A318">
        <v>61</v>
      </c>
      <c r="B318">
        <v>70.6693696291963</v>
      </c>
      <c r="C318">
        <v>68.937851</v>
      </c>
    </row>
    <row r="319" spans="1:3">
      <c r="A319">
        <v>62</v>
      </c>
      <c r="B319">
        <v>70.9131313471121</v>
      </c>
      <c r="C319">
        <v>69.690422</v>
      </c>
    </row>
    <row r="320" spans="1:3">
      <c r="A320">
        <v>63</v>
      </c>
      <c r="B320">
        <v>71.1568930650279</v>
      </c>
      <c r="C320">
        <v>69.732323</v>
      </c>
    </row>
    <row r="321" spans="1:3">
      <c r="A321">
        <v>64</v>
      </c>
      <c r="B321">
        <v>71.4006547829437</v>
      </c>
      <c r="C321">
        <v>69.781609</v>
      </c>
    </row>
    <row r="322" spans="1:3">
      <c r="A322">
        <v>65</v>
      </c>
      <c r="B322">
        <v>71.6444165008595</v>
      </c>
      <c r="C322">
        <v>69.820442</v>
      </c>
    </row>
    <row r="323" spans="1:3">
      <c r="A323">
        <v>66</v>
      </c>
      <c r="B323">
        <v>71.8881782187753</v>
      </c>
      <c r="C323">
        <v>69.886818</v>
      </c>
    </row>
    <row r="324" spans="1:3">
      <c r="A324">
        <v>67</v>
      </c>
      <c r="B324">
        <v>72.1319399366911</v>
      </c>
      <c r="C324">
        <v>70.09211</v>
      </c>
    </row>
    <row r="325" spans="1:3">
      <c r="A325">
        <v>68</v>
      </c>
      <c r="B325">
        <v>72.3757016546069</v>
      </c>
      <c r="C325">
        <v>70.316368</v>
      </c>
    </row>
    <row r="326" spans="1:3">
      <c r="A326">
        <v>69</v>
      </c>
      <c r="B326">
        <v>72.6194633725227</v>
      </c>
      <c r="C326">
        <v>70.64904</v>
      </c>
    </row>
    <row r="327" spans="1:3">
      <c r="A327">
        <v>70</v>
      </c>
      <c r="B327">
        <v>72.8632250904385</v>
      </c>
      <c r="C327">
        <v>70.737755</v>
      </c>
    </row>
    <row r="328" spans="1:3">
      <c r="A328">
        <v>71</v>
      </c>
      <c r="B328">
        <v>73.1069868083543</v>
      </c>
      <c r="C328">
        <v>70.905334</v>
      </c>
    </row>
    <row r="329" spans="1:3">
      <c r="A329">
        <v>72</v>
      </c>
      <c r="B329">
        <v>73.3507485262701</v>
      </c>
      <c r="C329">
        <v>70.991577</v>
      </c>
    </row>
    <row r="330" spans="1:3">
      <c r="A330">
        <v>73</v>
      </c>
      <c r="B330">
        <v>73.5945102441859</v>
      </c>
      <c r="C330">
        <v>71.225685</v>
      </c>
    </row>
    <row r="331" spans="1:3">
      <c r="A331">
        <v>74</v>
      </c>
      <c r="B331">
        <v>73.8382719621017</v>
      </c>
      <c r="C331">
        <v>71.235542</v>
      </c>
    </row>
    <row r="332" spans="1:3">
      <c r="A332">
        <v>75</v>
      </c>
      <c r="B332">
        <v>74.0820336800175</v>
      </c>
      <c r="C332">
        <v>71.246353</v>
      </c>
    </row>
    <row r="333" spans="1:3">
      <c r="A333">
        <v>76</v>
      </c>
      <c r="B333">
        <v>74.3257953979333</v>
      </c>
      <c r="C333">
        <v>71.273392</v>
      </c>
    </row>
    <row r="334" spans="1:3">
      <c r="A334">
        <v>77</v>
      </c>
      <c r="B334">
        <v>74.5695571158491</v>
      </c>
      <c r="C334">
        <v>71.297157</v>
      </c>
    </row>
    <row r="335" spans="1:3">
      <c r="A335">
        <v>78</v>
      </c>
      <c r="B335">
        <v>74.8133188337649</v>
      </c>
      <c r="C335">
        <v>71.669212</v>
      </c>
    </row>
    <row r="336" spans="1:3">
      <c r="A336">
        <v>79</v>
      </c>
      <c r="B336">
        <v>75.0570805516807</v>
      </c>
      <c r="C336">
        <v>72.117767</v>
      </c>
    </row>
    <row r="337" spans="1:3">
      <c r="A337">
        <v>80</v>
      </c>
      <c r="B337">
        <v>75.3008422695965</v>
      </c>
      <c r="C337">
        <v>72.184303</v>
      </c>
    </row>
    <row r="338" spans="1:3">
      <c r="A338">
        <v>81</v>
      </c>
      <c r="B338">
        <v>75.5446039875123</v>
      </c>
      <c r="C338">
        <v>72.192863</v>
      </c>
    </row>
    <row r="339" spans="1:3">
      <c r="A339">
        <v>82</v>
      </c>
      <c r="B339">
        <v>75.7883657054281</v>
      </c>
      <c r="C339">
        <v>72.243446</v>
      </c>
    </row>
    <row r="340" spans="1:3">
      <c r="A340">
        <v>83</v>
      </c>
      <c r="B340">
        <v>76.0321274233439</v>
      </c>
      <c r="C340">
        <v>72.401154</v>
      </c>
    </row>
    <row r="341" spans="1:3">
      <c r="A341">
        <v>84</v>
      </c>
      <c r="B341">
        <v>76.2758891412597</v>
      </c>
      <c r="C341">
        <v>73.122154</v>
      </c>
    </row>
    <row r="342" spans="1:3">
      <c r="A342">
        <v>85</v>
      </c>
      <c r="B342">
        <v>76.5196508591755</v>
      </c>
      <c r="C342">
        <v>73.327736</v>
      </c>
    </row>
    <row r="343" spans="1:3">
      <c r="A343">
        <v>86</v>
      </c>
      <c r="B343">
        <v>76.7634125770913</v>
      </c>
      <c r="C343">
        <v>73.358185</v>
      </c>
    </row>
    <row r="344" spans="1:3">
      <c r="A344">
        <v>87</v>
      </c>
      <c r="B344">
        <v>77.0071742950071</v>
      </c>
      <c r="C344">
        <v>73.480522</v>
      </c>
    </row>
    <row r="345" spans="1:3">
      <c r="A345">
        <v>88</v>
      </c>
      <c r="B345">
        <v>77.2509360129229</v>
      </c>
      <c r="C345">
        <v>73.635773</v>
      </c>
    </row>
    <row r="346" spans="1:3">
      <c r="A346">
        <v>89</v>
      </c>
      <c r="B346">
        <v>77.4946977308387</v>
      </c>
      <c r="C346">
        <v>73.704819</v>
      </c>
    </row>
    <row r="347" spans="1:3">
      <c r="A347">
        <v>90</v>
      </c>
      <c r="B347">
        <v>77.7384594487545</v>
      </c>
      <c r="C347">
        <v>73.840042</v>
      </c>
    </row>
    <row r="348" spans="1:3">
      <c r="A348">
        <v>91</v>
      </c>
      <c r="B348">
        <v>77.9822211666703</v>
      </c>
      <c r="C348">
        <v>74.084282</v>
      </c>
    </row>
    <row r="349" spans="1:3">
      <c r="A349">
        <v>92</v>
      </c>
      <c r="B349">
        <v>78.2259828845861</v>
      </c>
      <c r="C349">
        <v>74.538239</v>
      </c>
    </row>
    <row r="350" spans="1:3">
      <c r="A350">
        <v>93</v>
      </c>
      <c r="B350">
        <v>78.4697446025019</v>
      </c>
      <c r="C350">
        <v>74.60424</v>
      </c>
    </row>
    <row r="351" spans="1:3">
      <c r="A351">
        <v>94</v>
      </c>
      <c r="B351">
        <v>78.7135063204177</v>
      </c>
      <c r="C351">
        <v>74.85067</v>
      </c>
    </row>
    <row r="352" spans="1:3">
      <c r="A352">
        <v>95</v>
      </c>
      <c r="B352">
        <v>78.9572680383335</v>
      </c>
      <c r="C352">
        <v>75.883018</v>
      </c>
    </row>
    <row r="353" spans="1:3">
      <c r="A353">
        <v>96</v>
      </c>
      <c r="B353">
        <v>79.2010297562493</v>
      </c>
      <c r="C353">
        <v>75.954315</v>
      </c>
    </row>
    <row r="354" spans="1:3">
      <c r="A354">
        <v>97</v>
      </c>
      <c r="B354">
        <v>79.4447914741651</v>
      </c>
      <c r="C354">
        <v>76.091995</v>
      </c>
    </row>
    <row r="355" spans="1:3">
      <c r="A355">
        <v>98</v>
      </c>
      <c r="B355">
        <v>79.6885531920809</v>
      </c>
      <c r="C355">
        <v>76.121498</v>
      </c>
    </row>
    <row r="356" spans="1:3">
      <c r="A356">
        <v>99</v>
      </c>
      <c r="B356">
        <v>79.9323149099967</v>
      </c>
      <c r="C356">
        <v>76.293579</v>
      </c>
    </row>
    <row r="357" spans="1:3">
      <c r="A357">
        <v>100</v>
      </c>
      <c r="B357">
        <v>80.1760766279126</v>
      </c>
      <c r="C357">
        <v>76.541885</v>
      </c>
    </row>
    <row r="358" spans="1:3">
      <c r="A358">
        <v>101</v>
      </c>
      <c r="B358">
        <v>80.4198383458283</v>
      </c>
      <c r="C358">
        <v>76.641853</v>
      </c>
    </row>
    <row r="359" spans="1:3">
      <c r="A359">
        <v>102</v>
      </c>
      <c r="B359">
        <v>80.6636000637441</v>
      </c>
      <c r="C359">
        <v>76.656792</v>
      </c>
    </row>
    <row r="360" spans="1:3">
      <c r="A360">
        <v>103</v>
      </c>
      <c r="B360">
        <v>80.9073617816599</v>
      </c>
      <c r="C360">
        <v>76.871323</v>
      </c>
    </row>
    <row r="361" spans="1:3">
      <c r="A361">
        <v>104</v>
      </c>
      <c r="B361">
        <v>81.1511234995757</v>
      </c>
      <c r="C361">
        <v>77.112686</v>
      </c>
    </row>
    <row r="362" spans="1:3">
      <c r="A362">
        <v>105</v>
      </c>
      <c r="B362">
        <v>81.3948852174915</v>
      </c>
      <c r="C362">
        <v>77.144943</v>
      </c>
    </row>
    <row r="363" spans="1:3">
      <c r="A363">
        <v>106</v>
      </c>
      <c r="B363">
        <v>81.6386469354074</v>
      </c>
      <c r="C363">
        <v>77.259674</v>
      </c>
    </row>
    <row r="364" spans="1:3">
      <c r="A364">
        <v>107</v>
      </c>
      <c r="B364">
        <v>81.8824086533232</v>
      </c>
      <c r="C364">
        <v>77.500694</v>
      </c>
    </row>
    <row r="365" spans="1:3">
      <c r="A365">
        <v>108</v>
      </c>
      <c r="B365">
        <v>82.1261703712389</v>
      </c>
      <c r="C365">
        <v>77.578537</v>
      </c>
    </row>
    <row r="366" spans="1:3">
      <c r="A366">
        <v>109</v>
      </c>
      <c r="B366">
        <v>82.3699320891548</v>
      </c>
      <c r="C366">
        <v>77.827667</v>
      </c>
    </row>
    <row r="367" spans="1:3">
      <c r="A367">
        <v>110</v>
      </c>
      <c r="B367">
        <v>82.6136938070705</v>
      </c>
      <c r="C367">
        <v>77.923538</v>
      </c>
    </row>
    <row r="368" spans="1:3">
      <c r="A368">
        <v>111</v>
      </c>
      <c r="B368">
        <v>82.8574555249863</v>
      </c>
      <c r="C368">
        <v>78.009521</v>
      </c>
    </row>
    <row r="369" spans="1:3">
      <c r="A369">
        <v>112</v>
      </c>
      <c r="B369">
        <v>83.1012172429022</v>
      </c>
      <c r="C369">
        <v>78.103012</v>
      </c>
    </row>
    <row r="370" spans="1:3">
      <c r="A370">
        <v>113</v>
      </c>
      <c r="B370">
        <v>83.344978960818</v>
      </c>
      <c r="C370">
        <v>78.105476</v>
      </c>
    </row>
    <row r="371" spans="1:3">
      <c r="A371">
        <v>114</v>
      </c>
      <c r="B371">
        <v>83.5887406787338</v>
      </c>
      <c r="C371">
        <v>78.25544</v>
      </c>
    </row>
    <row r="372" spans="1:3">
      <c r="A372">
        <v>115</v>
      </c>
      <c r="B372">
        <v>83.8325023966495</v>
      </c>
      <c r="C372">
        <v>78.358696</v>
      </c>
    </row>
    <row r="373" spans="1:3">
      <c r="A373">
        <v>116</v>
      </c>
      <c r="B373">
        <v>84.0762641145654</v>
      </c>
      <c r="C373">
        <v>78.388199</v>
      </c>
    </row>
    <row r="374" spans="1:3">
      <c r="A374">
        <v>117</v>
      </c>
      <c r="B374">
        <v>84.3200258324811</v>
      </c>
      <c r="C374">
        <v>78.462914</v>
      </c>
    </row>
    <row r="375" spans="1:3">
      <c r="A375">
        <v>118</v>
      </c>
      <c r="B375">
        <v>84.563787550397</v>
      </c>
      <c r="C375">
        <v>78.475372</v>
      </c>
    </row>
    <row r="376" spans="1:3">
      <c r="A376">
        <v>119</v>
      </c>
      <c r="B376">
        <v>84.8075492683128</v>
      </c>
      <c r="C376">
        <v>78.481621</v>
      </c>
    </row>
    <row r="377" spans="1:3">
      <c r="A377">
        <v>120</v>
      </c>
      <c r="B377">
        <v>85.0513109862286</v>
      </c>
      <c r="C377">
        <v>78.611198</v>
      </c>
    </row>
    <row r="378" spans="1:3">
      <c r="A378">
        <v>121</v>
      </c>
      <c r="B378">
        <v>85.2950727041444</v>
      </c>
      <c r="C378">
        <v>78.76152</v>
      </c>
    </row>
    <row r="379" spans="1:3">
      <c r="A379">
        <v>122</v>
      </c>
      <c r="B379">
        <v>85.5388344220602</v>
      </c>
      <c r="C379">
        <v>78.865021</v>
      </c>
    </row>
    <row r="380" spans="1:3">
      <c r="A380">
        <v>123</v>
      </c>
      <c r="B380">
        <v>85.782596139976</v>
      </c>
      <c r="C380">
        <v>78.903862</v>
      </c>
    </row>
    <row r="381" spans="1:3">
      <c r="A381">
        <v>124</v>
      </c>
      <c r="B381">
        <v>86.0263578578918</v>
      </c>
      <c r="C381">
        <v>78.931564</v>
      </c>
    </row>
    <row r="382" spans="1:3">
      <c r="A382">
        <v>125</v>
      </c>
      <c r="B382">
        <v>86.2701195758076</v>
      </c>
      <c r="C382">
        <v>78.933754</v>
      </c>
    </row>
    <row r="383" spans="1:3">
      <c r="A383">
        <v>126</v>
      </c>
      <c r="B383">
        <v>86.5138812937234</v>
      </c>
      <c r="C383">
        <v>79.027405</v>
      </c>
    </row>
    <row r="384" spans="1:3">
      <c r="A384">
        <v>127</v>
      </c>
      <c r="B384">
        <v>86.7576430116392</v>
      </c>
      <c r="C384">
        <v>79.205299</v>
      </c>
    </row>
    <row r="385" spans="1:3">
      <c r="A385">
        <v>128</v>
      </c>
      <c r="B385">
        <v>87.001404729555</v>
      </c>
      <c r="C385">
        <v>79.239594</v>
      </c>
    </row>
    <row r="386" spans="1:3">
      <c r="A386">
        <v>129</v>
      </c>
      <c r="B386">
        <v>87.2451664474708</v>
      </c>
      <c r="C386">
        <v>79.247643</v>
      </c>
    </row>
    <row r="387" spans="1:3">
      <c r="A387">
        <v>130</v>
      </c>
      <c r="B387">
        <v>87.4889281653866</v>
      </c>
      <c r="C387">
        <v>79.282524</v>
      </c>
    </row>
    <row r="388" spans="1:3">
      <c r="A388">
        <v>131</v>
      </c>
      <c r="B388">
        <v>87.7326898833024</v>
      </c>
      <c r="C388">
        <v>79.441963</v>
      </c>
    </row>
    <row r="389" spans="1:3">
      <c r="A389">
        <v>132</v>
      </c>
      <c r="B389">
        <v>87.9764516012182</v>
      </c>
      <c r="C389">
        <v>79.526665</v>
      </c>
    </row>
    <row r="390" spans="1:3">
      <c r="A390">
        <v>133</v>
      </c>
      <c r="B390">
        <v>88.220213319134</v>
      </c>
      <c r="C390">
        <v>79.622337</v>
      </c>
    </row>
    <row r="391" spans="1:3">
      <c r="A391">
        <v>134</v>
      </c>
      <c r="B391">
        <v>88.4639750370498</v>
      </c>
      <c r="C391">
        <v>79.7379</v>
      </c>
    </row>
    <row r="392" spans="1:3">
      <c r="A392">
        <v>135</v>
      </c>
      <c r="B392">
        <v>88.7077367549656</v>
      </c>
      <c r="C392">
        <v>79.749702</v>
      </c>
    </row>
    <row r="393" spans="1:3">
      <c r="A393">
        <v>136</v>
      </c>
      <c r="B393">
        <v>88.9514984728814</v>
      </c>
      <c r="C393">
        <v>79.951775</v>
      </c>
    </row>
    <row r="394" spans="1:3">
      <c r="A394">
        <v>137</v>
      </c>
      <c r="B394">
        <v>89.1952601907972</v>
      </c>
      <c r="C394">
        <v>80.057739</v>
      </c>
    </row>
    <row r="395" spans="1:3">
      <c r="A395">
        <v>138</v>
      </c>
      <c r="B395">
        <v>89.439021908713</v>
      </c>
      <c r="C395">
        <v>80.077461</v>
      </c>
    </row>
    <row r="396" spans="1:3">
      <c r="A396">
        <v>139</v>
      </c>
      <c r="B396">
        <v>89.6827836266288</v>
      </c>
      <c r="C396">
        <v>80.179359</v>
      </c>
    </row>
    <row r="397" spans="1:3">
      <c r="A397">
        <v>140</v>
      </c>
      <c r="B397">
        <v>89.9265453445446</v>
      </c>
      <c r="C397">
        <v>80.296448</v>
      </c>
    </row>
    <row r="398" spans="1:3">
      <c r="A398">
        <v>141</v>
      </c>
      <c r="B398">
        <v>90.1703070624604</v>
      </c>
      <c r="C398">
        <v>80.550545</v>
      </c>
    </row>
    <row r="399" spans="1:3">
      <c r="A399">
        <v>142</v>
      </c>
      <c r="B399">
        <v>90.4140687803762</v>
      </c>
      <c r="C399">
        <v>80.631927</v>
      </c>
    </row>
    <row r="400" spans="1:3">
      <c r="A400">
        <v>143</v>
      </c>
      <c r="B400">
        <v>90.657830498292</v>
      </c>
      <c r="C400">
        <v>80.99398</v>
      </c>
    </row>
    <row r="401" spans="1:3">
      <c r="A401">
        <v>144</v>
      </c>
      <c r="B401">
        <v>90.9015922162078</v>
      </c>
      <c r="C401">
        <v>82.583374</v>
      </c>
    </row>
    <row r="402" spans="1:3">
      <c r="A402">
        <v>145</v>
      </c>
      <c r="B402">
        <v>91.1453539341236</v>
      </c>
      <c r="C402">
        <v>83.07164</v>
      </c>
    </row>
    <row r="403" spans="1:3">
      <c r="A403">
        <v>146</v>
      </c>
      <c r="B403">
        <v>91.3891156520394</v>
      </c>
      <c r="C403">
        <v>83.679497</v>
      </c>
    </row>
    <row r="404" spans="1:3">
      <c r="A404">
        <v>147</v>
      </c>
      <c r="B404">
        <v>91.6328773699552</v>
      </c>
      <c r="C404">
        <v>84.401947</v>
      </c>
    </row>
    <row r="405" spans="1:3">
      <c r="A405">
        <v>148</v>
      </c>
      <c r="B405">
        <v>91.876639087871</v>
      </c>
      <c r="C405">
        <v>85.445755</v>
      </c>
    </row>
    <row r="406" spans="1:3">
      <c r="A406">
        <v>149</v>
      </c>
      <c r="B406">
        <v>92.1204008057868</v>
      </c>
      <c r="C406">
        <v>85.694878</v>
      </c>
    </row>
    <row r="407" spans="1:3">
      <c r="A407">
        <v>150</v>
      </c>
      <c r="B407">
        <v>92.3641625237026</v>
      </c>
      <c r="C407">
        <v>87.122337</v>
      </c>
    </row>
    <row r="408" spans="1:3">
      <c r="A408">
        <v>151</v>
      </c>
      <c r="B408">
        <v>92.6079242416184</v>
      </c>
      <c r="C408">
        <v>87.588196</v>
      </c>
    </row>
    <row r="409" spans="1:3">
      <c r="A409">
        <v>152</v>
      </c>
      <c r="B409">
        <v>92.8516859595342</v>
      </c>
      <c r="C409">
        <v>87.623077</v>
      </c>
    </row>
    <row r="410" spans="1:3">
      <c r="A410">
        <v>153</v>
      </c>
      <c r="B410">
        <v>93.09544767745</v>
      </c>
      <c r="C410">
        <v>87.710258</v>
      </c>
    </row>
    <row r="411" spans="1:3">
      <c r="A411">
        <v>154</v>
      </c>
      <c r="B411">
        <v>93.3392093953658</v>
      </c>
      <c r="C411">
        <v>87.89959</v>
      </c>
    </row>
    <row r="412" spans="1:3">
      <c r="A412">
        <v>155</v>
      </c>
      <c r="B412">
        <v>93.5829711132816</v>
      </c>
      <c r="C412">
        <v>88.096405</v>
      </c>
    </row>
    <row r="413" spans="1:3">
      <c r="A413">
        <v>156</v>
      </c>
      <c r="B413">
        <v>93.8267328311974</v>
      </c>
      <c r="C413">
        <v>89.401787</v>
      </c>
    </row>
    <row r="414" spans="1:3">
      <c r="A414">
        <v>157</v>
      </c>
      <c r="B414">
        <v>94.0704945491132</v>
      </c>
      <c r="C414">
        <v>89.698242</v>
      </c>
    </row>
    <row r="415" spans="1:3">
      <c r="A415">
        <v>158</v>
      </c>
      <c r="B415">
        <v>94.314256267029</v>
      </c>
      <c r="C415">
        <v>90.126732</v>
      </c>
    </row>
    <row r="416" spans="1:3">
      <c r="A416">
        <v>159</v>
      </c>
      <c r="B416">
        <v>94.5580179849448</v>
      </c>
      <c r="C416">
        <v>90.707176</v>
      </c>
    </row>
    <row r="417" spans="1:3">
      <c r="A417">
        <v>160</v>
      </c>
      <c r="B417">
        <v>94.8017797028606</v>
      </c>
      <c r="C417">
        <v>90.707176</v>
      </c>
    </row>
    <row r="418" spans="1:3">
      <c r="A418">
        <v>161</v>
      </c>
      <c r="B418">
        <v>95.0455414207764</v>
      </c>
      <c r="C418">
        <v>90.879066</v>
      </c>
    </row>
    <row r="419" spans="1:3">
      <c r="A419">
        <v>162</v>
      </c>
      <c r="B419">
        <v>95.2893031386922</v>
      </c>
      <c r="C419">
        <v>90.889038</v>
      </c>
    </row>
    <row r="420" spans="1:3">
      <c r="A420">
        <v>163</v>
      </c>
      <c r="B420">
        <v>95.533064856608</v>
      </c>
      <c r="C420">
        <v>91.310051</v>
      </c>
    </row>
    <row r="421" spans="1:3">
      <c r="A421">
        <v>164</v>
      </c>
      <c r="B421">
        <v>95.7768265745238</v>
      </c>
      <c r="C421">
        <v>92.289093</v>
      </c>
    </row>
    <row r="422" spans="1:3">
      <c r="A422">
        <v>165</v>
      </c>
      <c r="B422">
        <v>96.0205882924396</v>
      </c>
      <c r="C422">
        <v>92.518288</v>
      </c>
    </row>
    <row r="423" spans="1:3">
      <c r="A423">
        <v>166</v>
      </c>
      <c r="B423">
        <v>96.2643500103554</v>
      </c>
      <c r="C423">
        <v>92.844635</v>
      </c>
    </row>
    <row r="424" spans="1:3">
      <c r="A424">
        <v>167</v>
      </c>
      <c r="B424">
        <v>96.5081117282712</v>
      </c>
      <c r="C424">
        <v>92.924355</v>
      </c>
    </row>
    <row r="425" spans="1:3">
      <c r="A425">
        <v>168</v>
      </c>
      <c r="B425">
        <v>96.751873446187</v>
      </c>
      <c r="C425">
        <v>93.133614</v>
      </c>
    </row>
    <row r="426" spans="1:3">
      <c r="A426">
        <v>169</v>
      </c>
      <c r="B426">
        <v>96.9956351641028</v>
      </c>
      <c r="C426">
        <v>94.476364</v>
      </c>
    </row>
    <row r="427" spans="1:3">
      <c r="A427">
        <v>170</v>
      </c>
      <c r="B427">
        <v>97.2393968820186</v>
      </c>
      <c r="C427">
        <v>94.705559</v>
      </c>
    </row>
    <row r="428" spans="1:3">
      <c r="A428">
        <v>171</v>
      </c>
      <c r="B428">
        <v>97.4831585999344</v>
      </c>
      <c r="C428">
        <v>95.006996</v>
      </c>
    </row>
    <row r="429" spans="1:3">
      <c r="A429">
        <v>172</v>
      </c>
      <c r="B429">
        <v>97.7269203178502</v>
      </c>
      <c r="C429">
        <v>95.141525</v>
      </c>
    </row>
    <row r="430" spans="1:3">
      <c r="A430">
        <v>173</v>
      </c>
      <c r="B430">
        <v>97.970682035766</v>
      </c>
      <c r="C430">
        <v>95.415558</v>
      </c>
    </row>
    <row r="431" spans="1:3">
      <c r="A431">
        <v>174</v>
      </c>
      <c r="B431">
        <v>98.2144437536818</v>
      </c>
      <c r="C431">
        <v>95.582466</v>
      </c>
    </row>
    <row r="432" spans="1:3">
      <c r="A432">
        <v>175</v>
      </c>
      <c r="B432">
        <v>98.4582054715976</v>
      </c>
      <c r="C432">
        <v>95.851517</v>
      </c>
    </row>
    <row r="433" spans="1:3">
      <c r="A433">
        <v>176</v>
      </c>
      <c r="B433">
        <v>98.7019671895134</v>
      </c>
      <c r="C433">
        <v>95.988533</v>
      </c>
    </row>
    <row r="434" spans="1:3">
      <c r="A434">
        <v>177</v>
      </c>
      <c r="B434">
        <v>98.9457289074292</v>
      </c>
      <c r="C434">
        <v>96.182846</v>
      </c>
    </row>
    <row r="435" spans="1:3">
      <c r="A435">
        <v>178</v>
      </c>
      <c r="B435">
        <v>99.189490625345</v>
      </c>
      <c r="C435">
        <v>96.658661</v>
      </c>
    </row>
    <row r="436" spans="1:3">
      <c r="A436">
        <v>179</v>
      </c>
      <c r="B436">
        <v>99.4332523432608</v>
      </c>
      <c r="C436">
        <v>96.715965</v>
      </c>
    </row>
    <row r="437" spans="1:3">
      <c r="A437">
        <v>180</v>
      </c>
      <c r="B437">
        <v>99.6770140611766</v>
      </c>
      <c r="C437">
        <v>96.930199</v>
      </c>
    </row>
    <row r="438" spans="1:3">
      <c r="A438">
        <v>181</v>
      </c>
      <c r="B438">
        <v>99.9207757790924</v>
      </c>
      <c r="C438">
        <v>97.381111</v>
      </c>
    </row>
    <row r="439" spans="1:3">
      <c r="A439">
        <v>182</v>
      </c>
      <c r="B439">
        <v>100.164537497008</v>
      </c>
      <c r="C439">
        <v>98.011391</v>
      </c>
    </row>
    <row r="440" spans="1:3">
      <c r="A440">
        <v>183</v>
      </c>
      <c r="B440">
        <v>100.408299214924</v>
      </c>
      <c r="C440">
        <v>105.886086</v>
      </c>
    </row>
    <row r="441" spans="1:3">
      <c r="A441">
        <v>184</v>
      </c>
      <c r="B441">
        <v>100.65206093284</v>
      </c>
      <c r="C441">
        <v>106.655991</v>
      </c>
    </row>
    <row r="442" spans="1:3">
      <c r="A442">
        <v>185</v>
      </c>
      <c r="B442">
        <v>100.895822650756</v>
      </c>
      <c r="C442">
        <v>106.935509</v>
      </c>
    </row>
    <row r="443" spans="1:3">
      <c r="A443">
        <v>186</v>
      </c>
      <c r="B443">
        <v>101.139584368671</v>
      </c>
      <c r="C443">
        <v>108.033615</v>
      </c>
    </row>
    <row r="444" spans="1:3">
      <c r="A444">
        <v>187</v>
      </c>
      <c r="B444">
        <v>101.383346086587</v>
      </c>
      <c r="C444">
        <v>108.554153</v>
      </c>
    </row>
    <row r="445" spans="1:3">
      <c r="A445">
        <v>188</v>
      </c>
      <c r="B445">
        <v>101.627107804503</v>
      </c>
      <c r="C445">
        <v>108.582664</v>
      </c>
    </row>
    <row r="446" spans="1:3">
      <c r="A446">
        <v>189</v>
      </c>
      <c r="B446">
        <v>101.870869522419</v>
      </c>
      <c r="C446">
        <v>108.672516</v>
      </c>
    </row>
    <row r="447" spans="1:3">
      <c r="A447">
        <v>190</v>
      </c>
      <c r="B447">
        <v>102.114631240335</v>
      </c>
      <c r="C447">
        <v>109.186623</v>
      </c>
    </row>
    <row r="448" spans="1:3">
      <c r="A448">
        <v>191</v>
      </c>
      <c r="B448">
        <v>102.35839295825</v>
      </c>
      <c r="C448">
        <v>109.279099</v>
      </c>
    </row>
    <row r="449" spans="1:3">
      <c r="A449">
        <v>192</v>
      </c>
      <c r="B449">
        <v>102.602154676166</v>
      </c>
      <c r="C449">
        <v>109.675194</v>
      </c>
    </row>
    <row r="450" spans="1:3">
      <c r="A450">
        <v>193</v>
      </c>
      <c r="B450">
        <v>102.845916394082</v>
      </c>
      <c r="C450">
        <v>109.890411</v>
      </c>
    </row>
    <row r="451" spans="1:3">
      <c r="A451">
        <v>194</v>
      </c>
      <c r="B451">
        <v>103.089678111998</v>
      </c>
      <c r="C451">
        <v>110.149963</v>
      </c>
    </row>
    <row r="452" spans="1:3">
      <c r="A452">
        <v>195</v>
      </c>
      <c r="B452">
        <v>103.333439829914</v>
      </c>
      <c r="C452">
        <v>110.249794</v>
      </c>
    </row>
    <row r="453" spans="1:3">
      <c r="A453">
        <v>196</v>
      </c>
      <c r="B453">
        <v>103.577201547829</v>
      </c>
      <c r="C453">
        <v>110.921135</v>
      </c>
    </row>
    <row r="454" spans="1:3">
      <c r="A454">
        <v>197</v>
      </c>
      <c r="B454">
        <v>103.820963265745</v>
      </c>
      <c r="C454">
        <v>111.008476</v>
      </c>
    </row>
    <row r="455" spans="1:3">
      <c r="A455">
        <v>198</v>
      </c>
      <c r="B455">
        <v>104.064724983661</v>
      </c>
      <c r="C455">
        <v>111.617432</v>
      </c>
    </row>
    <row r="456" spans="1:3">
      <c r="A456">
        <v>199</v>
      </c>
      <c r="B456">
        <v>104.308486701577</v>
      </c>
      <c r="C456">
        <v>111.807106</v>
      </c>
    </row>
    <row r="457" spans="1:3">
      <c r="A457">
        <v>200</v>
      </c>
      <c r="B457">
        <v>104.552248419493</v>
      </c>
      <c r="C457">
        <v>111.936882</v>
      </c>
    </row>
    <row r="458" spans="1:3">
      <c r="A458">
        <v>201</v>
      </c>
      <c r="B458">
        <v>104.796010137408</v>
      </c>
      <c r="C458">
        <v>112.086624</v>
      </c>
    </row>
    <row r="459" spans="1:3">
      <c r="A459">
        <v>202</v>
      </c>
      <c r="B459">
        <v>105.039771855324</v>
      </c>
      <c r="C459">
        <v>112.533356</v>
      </c>
    </row>
    <row r="460" spans="1:3">
      <c r="A460">
        <v>203</v>
      </c>
      <c r="B460">
        <v>105.28353357324</v>
      </c>
      <c r="C460">
        <v>112.625694</v>
      </c>
    </row>
    <row r="461" spans="1:3">
      <c r="A461">
        <v>204</v>
      </c>
      <c r="B461">
        <v>105.527295291156</v>
      </c>
      <c r="C461">
        <v>112.815369</v>
      </c>
    </row>
    <row r="462" spans="1:3">
      <c r="A462">
        <v>205</v>
      </c>
      <c r="B462">
        <v>105.771057009072</v>
      </c>
      <c r="C462">
        <v>112.825348</v>
      </c>
    </row>
    <row r="463" spans="1:3">
      <c r="A463">
        <v>206</v>
      </c>
      <c r="B463">
        <v>106.014818726987</v>
      </c>
      <c r="C463">
        <v>112.965111</v>
      </c>
    </row>
    <row r="464" spans="1:3">
      <c r="A464">
        <v>207</v>
      </c>
      <c r="B464">
        <v>106.258580444903</v>
      </c>
      <c r="C464">
        <v>113.29454</v>
      </c>
    </row>
    <row r="465" spans="1:3">
      <c r="A465">
        <v>208</v>
      </c>
      <c r="B465">
        <v>106.502342162819</v>
      </c>
      <c r="C465">
        <v>113.501678</v>
      </c>
    </row>
    <row r="466" spans="1:3">
      <c r="A466">
        <v>209</v>
      </c>
      <c r="B466">
        <v>106.746103880735</v>
      </c>
      <c r="C466">
        <v>113.893501</v>
      </c>
    </row>
    <row r="467" spans="1:3">
      <c r="A467">
        <v>210</v>
      </c>
      <c r="B467">
        <v>106.989865598651</v>
      </c>
      <c r="C467">
        <v>114.41011</v>
      </c>
    </row>
    <row r="468" spans="1:3">
      <c r="A468">
        <v>211</v>
      </c>
      <c r="B468">
        <v>107.233627316566</v>
      </c>
      <c r="C468">
        <v>114.709602</v>
      </c>
    </row>
    <row r="469" spans="1:3">
      <c r="A469">
        <v>212</v>
      </c>
      <c r="B469">
        <v>107.477389034482</v>
      </c>
      <c r="C469">
        <v>114.752022</v>
      </c>
    </row>
    <row r="470" spans="1:3">
      <c r="A470">
        <v>213</v>
      </c>
      <c r="B470">
        <v>107.721150752398</v>
      </c>
      <c r="C470">
        <v>114.762009</v>
      </c>
    </row>
    <row r="471" spans="1:3">
      <c r="A471">
        <v>214</v>
      </c>
      <c r="B471">
        <v>107.964912470314</v>
      </c>
      <c r="C471">
        <v>114.771988</v>
      </c>
    </row>
    <row r="472" spans="1:3">
      <c r="A472">
        <v>215</v>
      </c>
      <c r="B472">
        <v>108.20867418823</v>
      </c>
      <c r="C472">
        <v>114.81192</v>
      </c>
    </row>
    <row r="473" spans="1:3">
      <c r="A473">
        <v>216</v>
      </c>
      <c r="B473">
        <v>108.452435906145</v>
      </c>
      <c r="C473">
        <v>114.841873</v>
      </c>
    </row>
    <row r="474" spans="1:3">
      <c r="A474">
        <v>217</v>
      </c>
      <c r="B474">
        <v>108.696197624061</v>
      </c>
      <c r="C474">
        <v>114.851852</v>
      </c>
    </row>
    <row r="475" spans="1:3">
      <c r="A475">
        <v>218</v>
      </c>
      <c r="B475">
        <v>108.939959341977</v>
      </c>
      <c r="C475">
        <v>114.881805</v>
      </c>
    </row>
    <row r="476" spans="1:3">
      <c r="A476">
        <v>219</v>
      </c>
      <c r="B476">
        <v>109.183721059893</v>
      </c>
      <c r="C476">
        <v>115.121384</v>
      </c>
    </row>
    <row r="477" spans="1:3">
      <c r="A477">
        <v>220</v>
      </c>
      <c r="B477">
        <v>109.427482777809</v>
      </c>
      <c r="C477">
        <v>115.161316</v>
      </c>
    </row>
    <row r="478" spans="1:3">
      <c r="A478">
        <v>221</v>
      </c>
      <c r="B478">
        <v>109.671244495724</v>
      </c>
      <c r="C478">
        <v>115.341011</v>
      </c>
    </row>
    <row r="479" spans="1:3">
      <c r="A479">
        <v>222</v>
      </c>
      <c r="B479">
        <v>109.91500621364</v>
      </c>
      <c r="C479">
        <v>115.363472</v>
      </c>
    </row>
    <row r="480" spans="1:3">
      <c r="A480">
        <v>223</v>
      </c>
      <c r="B480">
        <v>110.158767931556</v>
      </c>
      <c r="C480">
        <v>115.508217</v>
      </c>
    </row>
    <row r="481" spans="1:3">
      <c r="A481">
        <v>224</v>
      </c>
      <c r="B481">
        <v>110.402529649472</v>
      </c>
      <c r="C481">
        <v>115.550644</v>
      </c>
    </row>
    <row r="482" spans="1:3">
      <c r="A482">
        <v>225</v>
      </c>
      <c r="B482">
        <v>110.646291367388</v>
      </c>
      <c r="C482">
        <v>115.610542</v>
      </c>
    </row>
    <row r="483" spans="1:3">
      <c r="A483">
        <v>226</v>
      </c>
      <c r="B483">
        <v>110.890053085303</v>
      </c>
      <c r="C483">
        <v>115.780251</v>
      </c>
    </row>
    <row r="484" spans="1:3">
      <c r="A484">
        <v>227</v>
      </c>
      <c r="B484">
        <v>111.133814803219</v>
      </c>
      <c r="C484">
        <v>115.97</v>
      </c>
    </row>
    <row r="485" spans="1:3">
      <c r="A485">
        <v>228</v>
      </c>
      <c r="B485">
        <v>111.377576521135</v>
      </c>
      <c r="C485">
        <v>116.299355</v>
      </c>
    </row>
    <row r="486" spans="1:3">
      <c r="A486">
        <v>229</v>
      </c>
      <c r="B486">
        <v>111.621338239051</v>
      </c>
      <c r="C486">
        <v>116.32</v>
      </c>
    </row>
    <row r="487" spans="1:3">
      <c r="A487">
        <v>230</v>
      </c>
      <c r="B487">
        <v>111.865099956967</v>
      </c>
      <c r="C487">
        <v>116.399178</v>
      </c>
    </row>
    <row r="488" spans="1:3">
      <c r="A488">
        <v>231</v>
      </c>
      <c r="B488">
        <v>112.108861674882</v>
      </c>
      <c r="C488">
        <v>116.58886</v>
      </c>
    </row>
    <row r="489" spans="1:3">
      <c r="A489">
        <v>232</v>
      </c>
      <c r="B489">
        <v>112.352623392798</v>
      </c>
      <c r="C489">
        <v>116.668724</v>
      </c>
    </row>
    <row r="490" spans="1:3">
      <c r="A490">
        <v>233</v>
      </c>
      <c r="B490">
        <v>112.596385110714</v>
      </c>
      <c r="C490">
        <v>116.768547</v>
      </c>
    </row>
    <row r="491" spans="1:3">
      <c r="A491">
        <v>234</v>
      </c>
      <c r="B491">
        <v>112.84014682863</v>
      </c>
      <c r="C491">
        <v>117.117943</v>
      </c>
    </row>
    <row r="492" spans="1:3">
      <c r="A492">
        <v>235</v>
      </c>
      <c r="B492">
        <v>113.083908546546</v>
      </c>
      <c r="C492">
        <v>117.307617</v>
      </c>
    </row>
    <row r="493" spans="1:3">
      <c r="A493">
        <v>236</v>
      </c>
      <c r="B493">
        <v>113.327670264461</v>
      </c>
      <c r="C493">
        <v>118.071297</v>
      </c>
    </row>
    <row r="494" spans="1:3">
      <c r="A494">
        <v>237</v>
      </c>
      <c r="B494">
        <v>113.571431982377</v>
      </c>
      <c r="C494">
        <v>118.690002</v>
      </c>
    </row>
    <row r="495" spans="1:3">
      <c r="A495">
        <v>238</v>
      </c>
      <c r="B495">
        <v>113.815193700293</v>
      </c>
      <c r="C495">
        <v>118.81501</v>
      </c>
    </row>
    <row r="496" spans="1:3">
      <c r="A496">
        <v>239</v>
      </c>
      <c r="B496">
        <v>114.058955418209</v>
      </c>
      <c r="C496">
        <v>118.824997</v>
      </c>
    </row>
    <row r="497" spans="1:3">
      <c r="A497">
        <v>240</v>
      </c>
      <c r="B497">
        <v>114.302717136125</v>
      </c>
      <c r="C497">
        <v>119.21</v>
      </c>
    </row>
    <row r="498" spans="1:3">
      <c r="A498">
        <v>241</v>
      </c>
      <c r="B498">
        <v>114.54647885404</v>
      </c>
      <c r="C498">
        <v>119.26</v>
      </c>
    </row>
    <row r="499" spans="1:3">
      <c r="A499">
        <v>242</v>
      </c>
      <c r="B499">
        <v>114.790240571956</v>
      </c>
      <c r="C499">
        <v>119.49</v>
      </c>
    </row>
    <row r="500" spans="1:3">
      <c r="A500">
        <v>243</v>
      </c>
      <c r="B500">
        <v>115.034002289872</v>
      </c>
      <c r="C500">
        <v>120.502106</v>
      </c>
    </row>
    <row r="501" spans="1:3">
      <c r="A501">
        <v>244</v>
      </c>
      <c r="B501">
        <v>115.277764007788</v>
      </c>
      <c r="C501">
        <v>120.671806</v>
      </c>
    </row>
    <row r="502" spans="1:3">
      <c r="A502">
        <v>245</v>
      </c>
      <c r="B502">
        <v>115.521525725704</v>
      </c>
      <c r="C502">
        <v>120.751671</v>
      </c>
    </row>
    <row r="503" spans="1:3">
      <c r="A503">
        <v>246</v>
      </c>
      <c r="B503">
        <v>115.765287443619</v>
      </c>
      <c r="C503">
        <v>120.891434</v>
      </c>
    </row>
    <row r="504" spans="1:3">
      <c r="A504">
        <v>247</v>
      </c>
      <c r="B504">
        <v>116.009049161535</v>
      </c>
      <c r="C504">
        <v>120.981277</v>
      </c>
    </row>
    <row r="505" spans="1:3">
      <c r="A505">
        <v>248</v>
      </c>
      <c r="B505">
        <v>116.252810879451</v>
      </c>
      <c r="C505">
        <v>124.1558</v>
      </c>
    </row>
    <row r="506" spans="1:3">
      <c r="A506">
        <v>249</v>
      </c>
      <c r="B506">
        <v>116.496572597367</v>
      </c>
      <c r="C506">
        <v>124.185753</v>
      </c>
    </row>
    <row r="507" spans="1:3">
      <c r="A507">
        <v>250</v>
      </c>
      <c r="B507">
        <v>116.740334315283</v>
      </c>
      <c r="C507">
        <v>124.592552</v>
      </c>
    </row>
    <row r="508" spans="1:3">
      <c r="A508">
        <v>251</v>
      </c>
      <c r="B508">
        <v>116.984096033198</v>
      </c>
      <c r="C508">
        <v>124.610016</v>
      </c>
    </row>
    <row r="509" spans="1:3">
      <c r="A509">
        <v>252</v>
      </c>
      <c r="B509">
        <v>117.227857751114</v>
      </c>
      <c r="C509">
        <v>124.794701</v>
      </c>
    </row>
    <row r="510" spans="1:3">
      <c r="A510">
        <v>253</v>
      </c>
      <c r="B510">
        <v>117.47161946903</v>
      </c>
      <c r="C510">
        <v>125.640739</v>
      </c>
    </row>
    <row r="511" spans="1:3">
      <c r="A511">
        <v>254</v>
      </c>
      <c r="B511">
        <v>117.715381186946</v>
      </c>
      <c r="C511">
        <v>126.304596</v>
      </c>
    </row>
    <row r="512" spans="1:3">
      <c r="A512">
        <v>255</v>
      </c>
      <c r="B512">
        <v>117.959142904862</v>
      </c>
      <c r="C512">
        <v>128.817749</v>
      </c>
    </row>
    <row r="513" spans="1:3">
      <c r="A513">
        <v>256</v>
      </c>
      <c r="B513">
        <v>118.202904622777</v>
      </c>
      <c r="C513">
        <v>131.173691</v>
      </c>
    </row>
    <row r="514" spans="1:3">
      <c r="A514">
        <v>257</v>
      </c>
      <c r="B514">
        <v>118.446666340693</v>
      </c>
      <c r="C514">
        <v>133.948898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4"/>
  <sheetViews>
    <sheetView workbookViewId="0">
      <selection activeCell="A1" sqref="A1"/>
    </sheetView>
  </sheetViews>
  <sheetFormatPr defaultColWidth="9" defaultRowHeight="15.6" outlineLevelCol="2"/>
  <sheetData>
    <row r="1" spans="1:3">
      <c r="A1">
        <v>1</v>
      </c>
      <c r="B1">
        <v>17.1300208155825</v>
      </c>
      <c r="C1">
        <v>0</v>
      </c>
    </row>
    <row r="2" spans="1:3">
      <c r="A2">
        <v>2</v>
      </c>
      <c r="B2">
        <v>16.7697941167862</v>
      </c>
      <c r="C2">
        <v>0</v>
      </c>
    </row>
    <row r="3" spans="1:3">
      <c r="A3">
        <v>3</v>
      </c>
      <c r="B3">
        <v>17.9335694179898</v>
      </c>
      <c r="C3">
        <v>0</v>
      </c>
    </row>
    <row r="4" spans="1:3">
      <c r="A4">
        <v>4</v>
      </c>
      <c r="B4">
        <v>17.8859797191934</v>
      </c>
      <c r="C4">
        <v>0</v>
      </c>
    </row>
    <row r="5" spans="1:3">
      <c r="A5">
        <v>5</v>
      </c>
      <c r="B5">
        <v>16.5224730203971</v>
      </c>
      <c r="C5">
        <v>0</v>
      </c>
    </row>
    <row r="6" spans="1:3">
      <c r="A6">
        <v>6</v>
      </c>
      <c r="B6">
        <v>18.5952293216008</v>
      </c>
      <c r="C6">
        <v>0</v>
      </c>
    </row>
    <row r="7" spans="1:3">
      <c r="A7">
        <v>7</v>
      </c>
      <c r="B7">
        <v>16.6917436228044</v>
      </c>
      <c r="C7">
        <v>0</v>
      </c>
    </row>
    <row r="8" spans="1:3">
      <c r="A8">
        <v>8</v>
      </c>
      <c r="B8">
        <v>17.0169269240081</v>
      </c>
      <c r="C8">
        <v>0</v>
      </c>
    </row>
    <row r="9" spans="1:3">
      <c r="A9">
        <v>9</v>
      </c>
      <c r="B9">
        <v>14.1807632252117</v>
      </c>
      <c r="C9">
        <v>0</v>
      </c>
    </row>
    <row r="10" spans="1:3">
      <c r="A10">
        <v>10</v>
      </c>
      <c r="B10">
        <v>13.5143225264154</v>
      </c>
      <c r="C10">
        <v>0</v>
      </c>
    </row>
    <row r="11" spans="1:3">
      <c r="A11">
        <v>11</v>
      </c>
      <c r="B11">
        <v>13.780591827619</v>
      </c>
      <c r="C11">
        <v>0</v>
      </c>
    </row>
    <row r="12" spans="1:3">
      <c r="A12">
        <v>12</v>
      </c>
      <c r="B12">
        <v>13.5166931288227</v>
      </c>
      <c r="C12">
        <v>0</v>
      </c>
    </row>
    <row r="13" spans="1:3">
      <c r="A13">
        <v>13</v>
      </c>
      <c r="B13">
        <v>15.5010864300263</v>
      </c>
      <c r="C13">
        <v>0</v>
      </c>
    </row>
    <row r="14" spans="1:3">
      <c r="A14">
        <v>14</v>
      </c>
      <c r="B14">
        <v>16.39569673123</v>
      </c>
      <c r="C14">
        <v>0</v>
      </c>
    </row>
    <row r="15" spans="1:3">
      <c r="A15">
        <v>15</v>
      </c>
      <c r="B15">
        <v>15.5525600324336</v>
      </c>
      <c r="C15">
        <v>0</v>
      </c>
    </row>
    <row r="16" spans="1:3">
      <c r="A16">
        <v>16</v>
      </c>
      <c r="B16">
        <v>11.4106253336373</v>
      </c>
      <c r="C16">
        <v>0</v>
      </c>
    </row>
    <row r="17" spans="1:3">
      <c r="A17">
        <v>17</v>
      </c>
      <c r="B17">
        <v>9.68385163484092</v>
      </c>
      <c r="C17">
        <v>0</v>
      </c>
    </row>
    <row r="18" spans="1:3">
      <c r="A18">
        <v>18</v>
      </c>
      <c r="B18">
        <v>10.3428359360446</v>
      </c>
      <c r="C18">
        <v>0</v>
      </c>
    </row>
    <row r="19" spans="1:3">
      <c r="A19">
        <v>19</v>
      </c>
      <c r="B19">
        <v>11.1392552372482</v>
      </c>
      <c r="C19">
        <v>0</v>
      </c>
    </row>
    <row r="20" spans="1:3">
      <c r="A20">
        <v>20</v>
      </c>
      <c r="B20">
        <v>12.5738745384519</v>
      </c>
      <c r="C20">
        <v>0</v>
      </c>
    </row>
    <row r="21" spans="1:3">
      <c r="A21">
        <v>21</v>
      </c>
      <c r="B21">
        <v>11.6325318396555</v>
      </c>
      <c r="C21">
        <v>0</v>
      </c>
    </row>
    <row r="22" spans="1:3">
      <c r="A22">
        <v>22</v>
      </c>
      <c r="B22">
        <v>11.2017181408592</v>
      </c>
      <c r="C22">
        <v>0</v>
      </c>
    </row>
    <row r="23" spans="1:3">
      <c r="A23">
        <v>23</v>
      </c>
      <c r="B23">
        <v>13.1468344420628</v>
      </c>
      <c r="C23">
        <v>0</v>
      </c>
    </row>
    <row r="24" spans="1:3">
      <c r="A24">
        <v>24</v>
      </c>
      <c r="B24">
        <v>14.5127277432665</v>
      </c>
      <c r="C24">
        <v>0</v>
      </c>
    </row>
    <row r="25" spans="1:3">
      <c r="A25">
        <v>25</v>
      </c>
      <c r="B25">
        <v>14.1211900444701</v>
      </c>
      <c r="C25">
        <v>0</v>
      </c>
    </row>
    <row r="26" spans="1:3">
      <c r="A26">
        <v>26</v>
      </c>
      <c r="B26">
        <v>13.5627513456738</v>
      </c>
      <c r="C26">
        <v>0</v>
      </c>
    </row>
    <row r="27" spans="1:3">
      <c r="A27">
        <v>27</v>
      </c>
      <c r="B27">
        <v>13.8682966468774</v>
      </c>
      <c r="C27">
        <v>0</v>
      </c>
    </row>
    <row r="28" spans="1:3">
      <c r="A28">
        <v>28</v>
      </c>
      <c r="B28">
        <v>11.8568249480811</v>
      </c>
      <c r="C28">
        <v>0</v>
      </c>
    </row>
    <row r="29" spans="1:3">
      <c r="A29">
        <v>29</v>
      </c>
      <c r="B29">
        <v>13.6939552492847</v>
      </c>
      <c r="C29">
        <v>0</v>
      </c>
    </row>
    <row r="30" spans="1:3">
      <c r="A30">
        <v>30</v>
      </c>
      <c r="B30">
        <v>13.6165955504884</v>
      </c>
      <c r="C30">
        <v>0</v>
      </c>
    </row>
    <row r="31" spans="1:3">
      <c r="A31">
        <v>31</v>
      </c>
      <c r="B31">
        <v>13.647237851692</v>
      </c>
      <c r="C31">
        <v>0</v>
      </c>
    </row>
    <row r="32" spans="1:3">
      <c r="A32">
        <v>32</v>
      </c>
      <c r="B32">
        <v>13.5404291528957</v>
      </c>
      <c r="C32">
        <v>0</v>
      </c>
    </row>
    <row r="33" spans="1:3">
      <c r="A33">
        <v>33</v>
      </c>
      <c r="B33">
        <v>14.1110494540993</v>
      </c>
      <c r="C33">
        <v>0</v>
      </c>
    </row>
    <row r="34" spans="1:3">
      <c r="A34">
        <v>34</v>
      </c>
      <c r="B34">
        <v>13.729353755303</v>
      </c>
      <c r="C34">
        <v>0</v>
      </c>
    </row>
    <row r="35" spans="1:3">
      <c r="A35">
        <v>35</v>
      </c>
      <c r="B35">
        <v>13.6814130565066</v>
      </c>
      <c r="C35">
        <v>0</v>
      </c>
    </row>
    <row r="36" spans="1:3">
      <c r="A36">
        <v>36</v>
      </c>
      <c r="B36">
        <v>14.2618603577103</v>
      </c>
      <c r="C36">
        <v>0</v>
      </c>
    </row>
    <row r="37" spans="1:3">
      <c r="A37">
        <v>37</v>
      </c>
      <c r="B37">
        <v>17.9938426589139</v>
      </c>
      <c r="C37">
        <v>0</v>
      </c>
    </row>
    <row r="38" spans="1:3">
      <c r="A38">
        <v>38</v>
      </c>
      <c r="B38">
        <v>16.1100099601176</v>
      </c>
      <c r="C38">
        <v>0</v>
      </c>
    </row>
    <row r="39" spans="1:3">
      <c r="A39">
        <v>39</v>
      </c>
      <c r="B39">
        <v>14.7956052613212</v>
      </c>
      <c r="C39">
        <v>0</v>
      </c>
    </row>
    <row r="40" spans="1:3">
      <c r="A40">
        <v>40</v>
      </c>
      <c r="B40">
        <v>14.9047845625249</v>
      </c>
      <c r="C40">
        <v>0</v>
      </c>
    </row>
    <row r="41" spans="1:3">
      <c r="A41">
        <v>41</v>
      </c>
      <c r="B41">
        <v>15.0630518637286</v>
      </c>
      <c r="C41">
        <v>0</v>
      </c>
    </row>
    <row r="42" spans="1:3">
      <c r="A42">
        <v>42</v>
      </c>
      <c r="B42">
        <v>16.3602041649322</v>
      </c>
      <c r="C42">
        <v>0</v>
      </c>
    </row>
    <row r="43" spans="1:3">
      <c r="A43">
        <v>43</v>
      </c>
      <c r="B43">
        <v>15.9882894661359</v>
      </c>
      <c r="C43">
        <v>0</v>
      </c>
    </row>
    <row r="44" spans="1:3">
      <c r="A44">
        <v>44</v>
      </c>
      <c r="B44">
        <v>18.5421247673395</v>
      </c>
      <c r="C44">
        <v>0</v>
      </c>
    </row>
    <row r="45" spans="1:3">
      <c r="A45">
        <v>45</v>
      </c>
      <c r="B45">
        <v>17.7480600685431</v>
      </c>
      <c r="C45">
        <v>0</v>
      </c>
    </row>
    <row r="46" spans="1:3">
      <c r="A46">
        <v>46</v>
      </c>
      <c r="B46">
        <v>18.0339673697468</v>
      </c>
      <c r="C46">
        <v>0</v>
      </c>
    </row>
    <row r="47" spans="1:3">
      <c r="A47">
        <v>47</v>
      </c>
      <c r="B47">
        <v>19.5471076709505</v>
      </c>
      <c r="C47">
        <v>0</v>
      </c>
    </row>
    <row r="48" spans="1:3">
      <c r="A48">
        <v>48</v>
      </c>
      <c r="B48">
        <v>20.5104429721541</v>
      </c>
      <c r="C48">
        <v>0</v>
      </c>
    </row>
    <row r="49" spans="1:3">
      <c r="A49">
        <v>49</v>
      </c>
      <c r="B49">
        <v>18.2633452733577</v>
      </c>
      <c r="C49">
        <v>0</v>
      </c>
    </row>
    <row r="50" spans="1:3">
      <c r="A50">
        <v>50</v>
      </c>
      <c r="B50">
        <v>17.4103815745614</v>
      </c>
      <c r="C50">
        <v>0</v>
      </c>
    </row>
    <row r="51" spans="1:3">
      <c r="A51">
        <v>51</v>
      </c>
      <c r="B51">
        <v>16.9599598757651</v>
      </c>
      <c r="C51">
        <v>0</v>
      </c>
    </row>
    <row r="52" spans="1:3">
      <c r="A52">
        <v>52</v>
      </c>
      <c r="B52">
        <v>14.5655841769687</v>
      </c>
      <c r="C52">
        <v>0</v>
      </c>
    </row>
    <row r="53" spans="1:3">
      <c r="A53">
        <v>53</v>
      </c>
      <c r="B53">
        <v>11.0519604781724</v>
      </c>
      <c r="C53">
        <v>0</v>
      </c>
    </row>
    <row r="54" spans="1:3">
      <c r="A54">
        <v>54</v>
      </c>
      <c r="B54">
        <v>12.948020779376</v>
      </c>
      <c r="C54">
        <v>0</v>
      </c>
    </row>
    <row r="55" spans="1:3">
      <c r="A55">
        <v>55</v>
      </c>
      <c r="B55">
        <v>13.1651860805796</v>
      </c>
      <c r="C55">
        <v>0</v>
      </c>
    </row>
    <row r="56" spans="1:3">
      <c r="A56">
        <v>56</v>
      </c>
      <c r="B56">
        <v>15.7975443817833</v>
      </c>
      <c r="C56">
        <v>0</v>
      </c>
    </row>
    <row r="57" spans="1:3">
      <c r="A57">
        <v>57</v>
      </c>
      <c r="B57">
        <v>10.781814682987</v>
      </c>
      <c r="C57">
        <v>0</v>
      </c>
    </row>
    <row r="58" spans="1:3">
      <c r="A58">
        <v>58</v>
      </c>
      <c r="B58">
        <v>8.92744698419062</v>
      </c>
      <c r="C58">
        <v>0</v>
      </c>
    </row>
    <row r="59" spans="1:3">
      <c r="A59">
        <v>59</v>
      </c>
      <c r="B59">
        <v>12.7575892853943</v>
      </c>
      <c r="C59">
        <v>0</v>
      </c>
    </row>
    <row r="60" spans="1:3">
      <c r="A60">
        <v>60</v>
      </c>
      <c r="B60">
        <v>14.4277885865979</v>
      </c>
      <c r="C60">
        <v>0</v>
      </c>
    </row>
    <row r="61" spans="1:3">
      <c r="A61">
        <v>61</v>
      </c>
      <c r="B61">
        <v>13.8988298878016</v>
      </c>
      <c r="C61">
        <v>0</v>
      </c>
    </row>
    <row r="62" spans="1:3">
      <c r="A62">
        <v>62</v>
      </c>
      <c r="B62">
        <v>12.8592971890052</v>
      </c>
      <c r="C62">
        <v>0</v>
      </c>
    </row>
    <row r="63" spans="1:3">
      <c r="A63">
        <v>63</v>
      </c>
      <c r="B63">
        <v>14.5099044902089</v>
      </c>
      <c r="C63">
        <v>0</v>
      </c>
    </row>
    <row r="64" spans="1:3">
      <c r="A64">
        <v>64</v>
      </c>
      <c r="B64">
        <v>16.6808357914125</v>
      </c>
      <c r="C64">
        <v>0</v>
      </c>
    </row>
    <row r="65" spans="1:3">
      <c r="A65">
        <v>65</v>
      </c>
      <c r="B65">
        <v>18.6848520926162</v>
      </c>
      <c r="C65">
        <v>0</v>
      </c>
    </row>
    <row r="66" spans="1:3">
      <c r="A66">
        <v>66</v>
      </c>
      <c r="B66">
        <v>17.6551763938198</v>
      </c>
      <c r="C66">
        <v>0</v>
      </c>
    </row>
    <row r="67" spans="1:3">
      <c r="A67">
        <v>67</v>
      </c>
      <c r="B67">
        <v>18.3436246950235</v>
      </c>
      <c r="C67">
        <v>0</v>
      </c>
    </row>
    <row r="68" spans="1:3">
      <c r="A68">
        <v>68</v>
      </c>
      <c r="B68">
        <v>16.9899289962271</v>
      </c>
      <c r="C68">
        <v>0</v>
      </c>
    </row>
    <row r="69" spans="1:3">
      <c r="A69">
        <v>69</v>
      </c>
      <c r="B69">
        <v>18.4147052974308</v>
      </c>
      <c r="C69">
        <v>0</v>
      </c>
    </row>
    <row r="70" spans="1:3">
      <c r="A70">
        <v>70</v>
      </c>
      <c r="B70">
        <v>18.2686355986344</v>
      </c>
      <c r="C70">
        <v>0</v>
      </c>
    </row>
    <row r="71" spans="1:3">
      <c r="A71">
        <v>71</v>
      </c>
      <c r="B71">
        <v>17.4745708998381</v>
      </c>
      <c r="C71">
        <v>0</v>
      </c>
    </row>
    <row r="72" spans="1:3">
      <c r="A72">
        <v>72</v>
      </c>
      <c r="B72">
        <v>12.9595442010418</v>
      </c>
      <c r="C72">
        <v>0</v>
      </c>
    </row>
    <row r="73" spans="1:3">
      <c r="A73">
        <v>73</v>
      </c>
      <c r="B73">
        <v>5.63660950224539</v>
      </c>
      <c r="C73">
        <v>0</v>
      </c>
    </row>
    <row r="74" spans="1:3">
      <c r="A74">
        <v>74</v>
      </c>
      <c r="B74">
        <v>5.03887980344902</v>
      </c>
      <c r="C74">
        <v>0</v>
      </c>
    </row>
    <row r="75" spans="1:3">
      <c r="A75">
        <v>75</v>
      </c>
      <c r="B75">
        <v>-1.59327389534732</v>
      </c>
      <c r="C75">
        <v>0</v>
      </c>
    </row>
    <row r="76" spans="1:3">
      <c r="A76">
        <v>76</v>
      </c>
      <c r="B76">
        <v>1.00392740585633</v>
      </c>
      <c r="C76">
        <v>0</v>
      </c>
    </row>
    <row r="77" spans="1:3">
      <c r="A77">
        <v>77</v>
      </c>
      <c r="B77">
        <v>3.05825170705998</v>
      </c>
      <c r="C77">
        <v>0</v>
      </c>
    </row>
    <row r="78" spans="1:3">
      <c r="A78">
        <v>78</v>
      </c>
      <c r="B78">
        <v>0.749554008263658</v>
      </c>
      <c r="C78">
        <v>0</v>
      </c>
    </row>
    <row r="79" spans="1:3">
      <c r="A79">
        <v>79</v>
      </c>
      <c r="B79">
        <v>9.94059630946731</v>
      </c>
      <c r="C79">
        <v>0</v>
      </c>
    </row>
    <row r="80" spans="1:3">
      <c r="A80">
        <v>80</v>
      </c>
      <c r="B80">
        <v>3.76246761067097</v>
      </c>
      <c r="C80">
        <v>0</v>
      </c>
    </row>
    <row r="81" spans="1:3">
      <c r="A81">
        <v>81</v>
      </c>
      <c r="B81">
        <v>2.89496291187459</v>
      </c>
      <c r="C81">
        <v>0</v>
      </c>
    </row>
    <row r="82" spans="1:3">
      <c r="A82">
        <v>82</v>
      </c>
      <c r="B82">
        <v>-8.11994178692177</v>
      </c>
      <c r="C82">
        <v>0</v>
      </c>
    </row>
    <row r="83" spans="1:3">
      <c r="A83">
        <v>83</v>
      </c>
      <c r="B83">
        <v>0.607156514281883</v>
      </c>
      <c r="C83">
        <v>0</v>
      </c>
    </row>
    <row r="84" spans="1:3">
      <c r="A84">
        <v>84</v>
      </c>
      <c r="B84">
        <v>-7.57477118451445</v>
      </c>
      <c r="C84">
        <v>0</v>
      </c>
    </row>
    <row r="85" spans="1:3">
      <c r="A85">
        <v>85</v>
      </c>
      <c r="B85">
        <v>-25.8645938833108</v>
      </c>
      <c r="C85">
        <v>0</v>
      </c>
    </row>
    <row r="86" spans="1:3">
      <c r="A86">
        <v>86</v>
      </c>
      <c r="B86">
        <v>-11.4814125821071</v>
      </c>
      <c r="C86">
        <v>0</v>
      </c>
    </row>
    <row r="87" spans="1:3">
      <c r="A87">
        <v>87</v>
      </c>
      <c r="B87">
        <v>-25.4280032809035</v>
      </c>
      <c r="C87">
        <v>0</v>
      </c>
    </row>
    <row r="88" spans="1:3">
      <c r="A88">
        <v>88</v>
      </c>
      <c r="B88">
        <v>-28.8422309796998</v>
      </c>
      <c r="C88">
        <v>0</v>
      </c>
    </row>
    <row r="89" spans="1:3">
      <c r="A89">
        <v>89</v>
      </c>
      <c r="B89">
        <v>-40.8639726784962</v>
      </c>
      <c r="C89">
        <v>0</v>
      </c>
    </row>
    <row r="90" spans="1:3">
      <c r="A90">
        <v>90</v>
      </c>
      <c r="B90">
        <v>-41.4945843772925</v>
      </c>
      <c r="C90">
        <v>0</v>
      </c>
    </row>
    <row r="91" spans="1:3">
      <c r="A91">
        <v>91</v>
      </c>
      <c r="B91">
        <v>-47.8602440760889</v>
      </c>
      <c r="C91">
        <v>0</v>
      </c>
    </row>
    <row r="92" spans="1:3">
      <c r="A92">
        <v>92</v>
      </c>
      <c r="B92">
        <v>-56.3777887748852</v>
      </c>
      <c r="C92">
        <v>0</v>
      </c>
    </row>
    <row r="93" spans="1:3">
      <c r="A93">
        <v>93</v>
      </c>
      <c r="B93">
        <v>-40.9186714736816</v>
      </c>
      <c r="C93">
        <v>0</v>
      </c>
    </row>
    <row r="94" spans="1:3">
      <c r="A94">
        <v>94</v>
      </c>
      <c r="B94">
        <v>-30.8984741724779</v>
      </c>
      <c r="C94">
        <v>0</v>
      </c>
    </row>
    <row r="95" spans="1:3">
      <c r="A95">
        <v>95</v>
      </c>
      <c r="B95">
        <v>-23.2374608712743</v>
      </c>
      <c r="C95">
        <v>0</v>
      </c>
    </row>
    <row r="96" spans="1:3">
      <c r="A96">
        <v>96</v>
      </c>
      <c r="B96">
        <v>-29.2773445700707</v>
      </c>
      <c r="C96">
        <v>0</v>
      </c>
    </row>
    <row r="97" spans="1:3">
      <c r="A97">
        <v>97</v>
      </c>
      <c r="B97">
        <v>-28.792554268867</v>
      </c>
      <c r="C97">
        <v>0</v>
      </c>
    </row>
    <row r="98" spans="1:3">
      <c r="A98">
        <v>98</v>
      </c>
      <c r="B98">
        <v>-26.7678629676633</v>
      </c>
      <c r="C98">
        <v>0</v>
      </c>
    </row>
    <row r="99" spans="1:3">
      <c r="A99">
        <v>99</v>
      </c>
      <c r="B99">
        <v>-30.7842176664597</v>
      </c>
      <c r="C99">
        <v>0</v>
      </c>
    </row>
    <row r="100" spans="1:3">
      <c r="A100">
        <v>100</v>
      </c>
      <c r="B100">
        <v>-27.713216365256</v>
      </c>
      <c r="C100">
        <v>0</v>
      </c>
    </row>
    <row r="101" spans="1:3">
      <c r="A101">
        <v>101</v>
      </c>
      <c r="B101">
        <v>-32.9930600640524</v>
      </c>
      <c r="C101">
        <v>0</v>
      </c>
    </row>
    <row r="102" spans="1:3">
      <c r="A102">
        <v>102</v>
      </c>
      <c r="B102">
        <v>-26.5165557628487</v>
      </c>
      <c r="C102">
        <v>0</v>
      </c>
    </row>
    <row r="103" spans="1:3">
      <c r="A103">
        <v>103</v>
      </c>
      <c r="B103">
        <v>-25.2815524616451</v>
      </c>
      <c r="C103">
        <v>0</v>
      </c>
    </row>
    <row r="104" spans="1:3">
      <c r="A104">
        <v>104</v>
      </c>
      <c r="B104">
        <v>-21.3122651604414</v>
      </c>
      <c r="C104">
        <v>0</v>
      </c>
    </row>
    <row r="105" spans="1:3">
      <c r="A105">
        <v>105</v>
      </c>
      <c r="B105">
        <v>-17.1751928592378</v>
      </c>
      <c r="C105">
        <v>0</v>
      </c>
    </row>
    <row r="106" spans="1:3">
      <c r="A106">
        <v>106</v>
      </c>
      <c r="B106">
        <v>-22.5833625580341</v>
      </c>
      <c r="C106">
        <v>0</v>
      </c>
    </row>
    <row r="107" spans="1:3">
      <c r="A107">
        <v>107</v>
      </c>
      <c r="B107">
        <v>-19.9565592568305</v>
      </c>
      <c r="C107">
        <v>0</v>
      </c>
    </row>
    <row r="108" spans="1:3">
      <c r="A108">
        <v>108</v>
      </c>
      <c r="B108">
        <v>-25.6213669556268</v>
      </c>
      <c r="C108">
        <v>0</v>
      </c>
    </row>
    <row r="109" spans="1:3">
      <c r="A109">
        <v>109</v>
      </c>
      <c r="B109">
        <v>-28.0879776544232</v>
      </c>
      <c r="C109">
        <v>0</v>
      </c>
    </row>
    <row r="110" spans="1:3">
      <c r="A110">
        <v>110</v>
      </c>
      <c r="B110">
        <v>-22.1642383532195</v>
      </c>
      <c r="C110">
        <v>0</v>
      </c>
    </row>
    <row r="111" spans="1:3">
      <c r="A111">
        <v>111</v>
      </c>
      <c r="B111">
        <v>-24.7394470520159</v>
      </c>
      <c r="C111">
        <v>0</v>
      </c>
    </row>
    <row r="112" spans="1:3">
      <c r="A112">
        <v>112</v>
      </c>
      <c r="B112">
        <v>-28.3807097508122</v>
      </c>
      <c r="C112">
        <v>0</v>
      </c>
    </row>
    <row r="113" spans="1:3">
      <c r="A113">
        <v>113</v>
      </c>
      <c r="B113">
        <v>-27.3529974496086</v>
      </c>
      <c r="C113">
        <v>0</v>
      </c>
    </row>
    <row r="114" spans="1:3">
      <c r="A114">
        <v>114</v>
      </c>
      <c r="B114">
        <v>-25.7132851484049</v>
      </c>
      <c r="C114">
        <v>0</v>
      </c>
    </row>
    <row r="115" spans="1:3">
      <c r="A115">
        <v>115</v>
      </c>
      <c r="B115">
        <v>-24.8731028472013</v>
      </c>
      <c r="C115">
        <v>0</v>
      </c>
    </row>
    <row r="116" spans="1:3">
      <c r="A116">
        <v>116</v>
      </c>
      <c r="B116">
        <v>-20.5583415459976</v>
      </c>
      <c r="C116">
        <v>0</v>
      </c>
    </row>
    <row r="117" spans="1:3">
      <c r="A117">
        <v>117</v>
      </c>
      <c r="B117">
        <v>-17.704503244794</v>
      </c>
      <c r="C117">
        <v>0</v>
      </c>
    </row>
    <row r="118" spans="1:3">
      <c r="A118">
        <v>118</v>
      </c>
      <c r="B118">
        <v>-14.3373429435903</v>
      </c>
      <c r="C118">
        <v>0</v>
      </c>
    </row>
    <row r="119" spans="1:3">
      <c r="A119">
        <v>119</v>
      </c>
      <c r="B119">
        <v>-18.5314016423867</v>
      </c>
      <c r="C119">
        <v>0</v>
      </c>
    </row>
    <row r="120" spans="1:3">
      <c r="A120">
        <v>120</v>
      </c>
      <c r="B120">
        <v>-23.110409341183</v>
      </c>
      <c r="C120">
        <v>0</v>
      </c>
    </row>
    <row r="121" spans="1:3">
      <c r="A121">
        <v>121</v>
      </c>
      <c r="B121">
        <v>-25.1229490399794</v>
      </c>
      <c r="C121">
        <v>0</v>
      </c>
    </row>
    <row r="122" spans="1:3">
      <c r="A122">
        <v>122</v>
      </c>
      <c r="B122">
        <v>-25.4376897387757</v>
      </c>
      <c r="C122">
        <v>0</v>
      </c>
    </row>
    <row r="123" spans="1:3">
      <c r="A123">
        <v>123</v>
      </c>
      <c r="B123">
        <v>-27.2330814375721</v>
      </c>
      <c r="C123">
        <v>0</v>
      </c>
    </row>
    <row r="124" spans="1:3">
      <c r="A124">
        <v>124</v>
      </c>
      <c r="B124">
        <v>-27.4688581363684</v>
      </c>
      <c r="C124">
        <v>0</v>
      </c>
    </row>
    <row r="125" spans="1:3">
      <c r="A125">
        <v>125</v>
      </c>
      <c r="B125">
        <v>-23.3909898351648</v>
      </c>
      <c r="C125">
        <v>0</v>
      </c>
    </row>
    <row r="126" spans="1:3">
      <c r="A126">
        <v>126</v>
      </c>
      <c r="B126">
        <v>-25.9760545339611</v>
      </c>
      <c r="C126">
        <v>0</v>
      </c>
    </row>
    <row r="127" spans="1:3">
      <c r="A127">
        <v>127</v>
      </c>
      <c r="B127">
        <v>-32.5687642327575</v>
      </c>
      <c r="C127">
        <v>0</v>
      </c>
    </row>
    <row r="128" spans="1:3">
      <c r="A128">
        <v>128</v>
      </c>
      <c r="B128">
        <v>-37.1181539315538</v>
      </c>
      <c r="C128">
        <v>0</v>
      </c>
    </row>
    <row r="129" spans="1:3">
      <c r="A129">
        <v>129</v>
      </c>
      <c r="B129">
        <v>-32.1551466303501</v>
      </c>
      <c r="C129">
        <v>0</v>
      </c>
    </row>
    <row r="130" spans="1:3">
      <c r="A130">
        <v>130</v>
      </c>
      <c r="B130">
        <v>-33.7749173291465</v>
      </c>
      <c r="C130">
        <v>0</v>
      </c>
    </row>
    <row r="131" spans="1:3">
      <c r="A131">
        <v>131</v>
      </c>
      <c r="B131">
        <v>-23.1936920279428</v>
      </c>
      <c r="C131">
        <v>0</v>
      </c>
    </row>
    <row r="132" spans="1:3">
      <c r="A132">
        <v>132</v>
      </c>
      <c r="B132">
        <v>-27.2496897267392</v>
      </c>
      <c r="C132">
        <v>0</v>
      </c>
    </row>
    <row r="133" spans="1:3">
      <c r="A133">
        <v>133</v>
      </c>
      <c r="B133">
        <v>-23.1816174255356</v>
      </c>
      <c r="C133">
        <v>0</v>
      </c>
    </row>
    <row r="134" spans="1:3">
      <c r="A134">
        <v>134</v>
      </c>
      <c r="B134">
        <v>-21.5199471243319</v>
      </c>
      <c r="C134">
        <v>0</v>
      </c>
    </row>
    <row r="135" spans="1:3">
      <c r="A135">
        <v>135</v>
      </c>
      <c r="B135">
        <v>-20.0273298231282</v>
      </c>
      <c r="C135">
        <v>0</v>
      </c>
    </row>
    <row r="136" spans="1:3">
      <c r="A136">
        <v>136</v>
      </c>
      <c r="B136">
        <v>-14.2887105219246</v>
      </c>
      <c r="C136">
        <v>0</v>
      </c>
    </row>
    <row r="137" spans="1:3">
      <c r="A137">
        <v>137</v>
      </c>
      <c r="B137">
        <v>-10.6482352207209</v>
      </c>
      <c r="C137">
        <v>0</v>
      </c>
    </row>
    <row r="138" spans="1:3">
      <c r="A138">
        <v>138</v>
      </c>
      <c r="B138">
        <v>-11.6614319195173</v>
      </c>
      <c r="C138">
        <v>0</v>
      </c>
    </row>
    <row r="139" spans="1:3">
      <c r="A139">
        <v>139</v>
      </c>
      <c r="B139">
        <v>-13.3508056183136</v>
      </c>
      <c r="C139">
        <v>0</v>
      </c>
    </row>
    <row r="140" spans="1:3">
      <c r="A140">
        <v>140</v>
      </c>
      <c r="B140">
        <v>-13.01166131711</v>
      </c>
      <c r="C140">
        <v>0</v>
      </c>
    </row>
    <row r="141" spans="1:3">
      <c r="A141">
        <v>141</v>
      </c>
      <c r="B141">
        <v>-10.8428500159064</v>
      </c>
      <c r="C141">
        <v>0</v>
      </c>
    </row>
    <row r="142" spans="1:3">
      <c r="A142">
        <v>142</v>
      </c>
      <c r="B142">
        <v>-5.85995271470267</v>
      </c>
      <c r="C142">
        <v>0</v>
      </c>
    </row>
    <row r="143" spans="1:3">
      <c r="A143">
        <v>143</v>
      </c>
      <c r="B143">
        <v>-3.30335541349902</v>
      </c>
      <c r="C143">
        <v>0</v>
      </c>
    </row>
    <row r="144" spans="1:3">
      <c r="A144">
        <v>144</v>
      </c>
      <c r="B144">
        <v>2.13693988770464</v>
      </c>
      <c r="C144">
        <v>0</v>
      </c>
    </row>
    <row r="145" spans="1:3">
      <c r="A145">
        <v>145</v>
      </c>
      <c r="B145">
        <v>3.68923418890824</v>
      </c>
      <c r="C145">
        <v>0</v>
      </c>
    </row>
    <row r="146" spans="1:3">
      <c r="A146">
        <v>146</v>
      </c>
      <c r="B146">
        <v>-1.09265350988809</v>
      </c>
      <c r="C146">
        <v>0</v>
      </c>
    </row>
    <row r="147" spans="1:3">
      <c r="A147">
        <v>147</v>
      </c>
      <c r="B147">
        <v>-5.03927620868444</v>
      </c>
      <c r="C147">
        <v>0</v>
      </c>
    </row>
    <row r="148" spans="1:3">
      <c r="A148">
        <v>148</v>
      </c>
      <c r="B148">
        <v>-15.6482209074808</v>
      </c>
      <c r="C148">
        <v>0</v>
      </c>
    </row>
    <row r="149" spans="1:3">
      <c r="A149">
        <v>149</v>
      </c>
      <c r="B149">
        <v>-14.5732366062771</v>
      </c>
      <c r="C149">
        <v>0</v>
      </c>
    </row>
    <row r="150" spans="1:3">
      <c r="A150">
        <v>150</v>
      </c>
      <c r="B150">
        <v>-12.4541383050735</v>
      </c>
      <c r="C150">
        <v>0</v>
      </c>
    </row>
    <row r="151" spans="1:3">
      <c r="A151">
        <v>151</v>
      </c>
      <c r="B151">
        <v>-9.97708500386983</v>
      </c>
      <c r="C151">
        <v>0</v>
      </c>
    </row>
    <row r="152" spans="1:3">
      <c r="A152">
        <v>152</v>
      </c>
      <c r="B152">
        <v>-10.7317517026662</v>
      </c>
      <c r="C152">
        <v>0</v>
      </c>
    </row>
    <row r="153" spans="1:3">
      <c r="A153">
        <v>153</v>
      </c>
      <c r="B153">
        <v>-10.8301374014625</v>
      </c>
      <c r="C153">
        <v>0</v>
      </c>
    </row>
    <row r="154" spans="1:3">
      <c r="A154">
        <v>154</v>
      </c>
      <c r="B154">
        <v>-13.6630511002589</v>
      </c>
      <c r="C154">
        <v>0</v>
      </c>
    </row>
    <row r="155" spans="1:3">
      <c r="A155">
        <v>155</v>
      </c>
      <c r="B155">
        <v>-14.0796287990552</v>
      </c>
      <c r="C155">
        <v>0</v>
      </c>
    </row>
    <row r="156" spans="1:3">
      <c r="A156">
        <v>156</v>
      </c>
      <c r="B156">
        <v>-14.1481684978516</v>
      </c>
      <c r="C156">
        <v>0</v>
      </c>
    </row>
    <row r="157" spans="1:3">
      <c r="A157">
        <v>157</v>
      </c>
      <c r="B157">
        <v>-20.6105531966479</v>
      </c>
      <c r="C157">
        <v>0</v>
      </c>
    </row>
    <row r="158" spans="1:3">
      <c r="A158">
        <v>158</v>
      </c>
      <c r="B158">
        <v>-16.5126648954443</v>
      </c>
      <c r="C158">
        <v>0</v>
      </c>
    </row>
    <row r="159" spans="1:3">
      <c r="A159">
        <v>159</v>
      </c>
      <c r="B159">
        <v>-20.7277655942406</v>
      </c>
      <c r="C159">
        <v>0</v>
      </c>
    </row>
    <row r="160" spans="1:3">
      <c r="A160">
        <v>160</v>
      </c>
      <c r="B160">
        <v>-15.715037293037</v>
      </c>
      <c r="C160">
        <v>0</v>
      </c>
    </row>
    <row r="161" spans="1:3">
      <c r="A161">
        <v>161</v>
      </c>
      <c r="B161">
        <v>-14.3616409918333</v>
      </c>
      <c r="C161">
        <v>0</v>
      </c>
    </row>
    <row r="162" spans="1:3">
      <c r="A162">
        <v>162</v>
      </c>
      <c r="B162">
        <v>-14.8279316906297</v>
      </c>
      <c r="C162">
        <v>0</v>
      </c>
    </row>
    <row r="163" spans="1:3">
      <c r="A163">
        <v>163</v>
      </c>
      <c r="B163">
        <v>-13.912035389426</v>
      </c>
      <c r="C163">
        <v>0</v>
      </c>
    </row>
    <row r="164" spans="1:3">
      <c r="A164">
        <v>164</v>
      </c>
      <c r="B164">
        <v>-11.7134090882224</v>
      </c>
      <c r="C164">
        <v>0</v>
      </c>
    </row>
    <row r="165" spans="1:3">
      <c r="A165">
        <v>165</v>
      </c>
      <c r="B165">
        <v>-13.9397547870187</v>
      </c>
      <c r="C165">
        <v>0</v>
      </c>
    </row>
    <row r="166" spans="1:3">
      <c r="A166">
        <v>166</v>
      </c>
      <c r="B166">
        <v>-13.3122344858151</v>
      </c>
      <c r="C166">
        <v>0</v>
      </c>
    </row>
    <row r="167" spans="1:3">
      <c r="A167">
        <v>167</v>
      </c>
      <c r="B167">
        <v>-17.4975041846114</v>
      </c>
      <c r="C167">
        <v>0</v>
      </c>
    </row>
    <row r="168" spans="1:3">
      <c r="A168">
        <v>168</v>
      </c>
      <c r="B168">
        <v>-16.4125708834077</v>
      </c>
      <c r="C168">
        <v>0</v>
      </c>
    </row>
    <row r="169" spans="1:3">
      <c r="A169">
        <v>169</v>
      </c>
      <c r="B169">
        <v>-15.3674015822041</v>
      </c>
      <c r="C169">
        <v>0</v>
      </c>
    </row>
    <row r="170" spans="1:3">
      <c r="A170">
        <v>170</v>
      </c>
      <c r="B170">
        <v>-10.7723222810005</v>
      </c>
      <c r="C170">
        <v>0</v>
      </c>
    </row>
    <row r="171" spans="1:3">
      <c r="A171">
        <v>171</v>
      </c>
      <c r="B171">
        <v>-6.95286097979681</v>
      </c>
      <c r="C171">
        <v>0</v>
      </c>
    </row>
    <row r="172" spans="1:3">
      <c r="A172">
        <v>172</v>
      </c>
      <c r="B172">
        <v>-5.79831767859315</v>
      </c>
      <c r="C172">
        <v>0</v>
      </c>
    </row>
    <row r="173" spans="1:3">
      <c r="A173">
        <v>173</v>
      </c>
      <c r="B173">
        <v>-3.8781023773895</v>
      </c>
      <c r="C173">
        <v>0</v>
      </c>
    </row>
    <row r="174" spans="1:3">
      <c r="A174">
        <v>174</v>
      </c>
      <c r="B174">
        <v>-5.46805107618584</v>
      </c>
      <c r="C174">
        <v>0</v>
      </c>
    </row>
    <row r="175" spans="1:3">
      <c r="A175">
        <v>175</v>
      </c>
      <c r="B175">
        <v>-4.09475677498219</v>
      </c>
      <c r="C175">
        <v>0</v>
      </c>
    </row>
    <row r="176" spans="1:3">
      <c r="A176">
        <v>176</v>
      </c>
      <c r="B176">
        <v>-4.23290747377857</v>
      </c>
      <c r="C176">
        <v>0</v>
      </c>
    </row>
    <row r="177" spans="1:3">
      <c r="A177">
        <v>177</v>
      </c>
      <c r="B177">
        <v>-5.0969641725749</v>
      </c>
      <c r="C177">
        <v>0</v>
      </c>
    </row>
    <row r="178" spans="1:3">
      <c r="A178">
        <v>178</v>
      </c>
      <c r="B178">
        <v>-9.36177787137126</v>
      </c>
      <c r="C178">
        <v>0</v>
      </c>
    </row>
    <row r="179" spans="1:3">
      <c r="A179">
        <v>179</v>
      </c>
      <c r="B179">
        <v>-8.02824857016759</v>
      </c>
      <c r="C179">
        <v>0</v>
      </c>
    </row>
    <row r="180" spans="1:3">
      <c r="A180">
        <v>180</v>
      </c>
      <c r="B180">
        <v>-6.77427826896394</v>
      </c>
      <c r="C180">
        <v>0</v>
      </c>
    </row>
    <row r="181" spans="1:3">
      <c r="A181">
        <v>181</v>
      </c>
      <c r="B181">
        <v>-4.20771696776029</v>
      </c>
      <c r="C181">
        <v>0</v>
      </c>
    </row>
    <row r="182" spans="1:3">
      <c r="A182">
        <v>182</v>
      </c>
      <c r="B182">
        <v>-9.58623866655662</v>
      </c>
      <c r="C182">
        <v>0</v>
      </c>
    </row>
    <row r="183" spans="1:3">
      <c r="A183">
        <v>183</v>
      </c>
      <c r="B183">
        <v>-9.36641836535301</v>
      </c>
      <c r="C183">
        <v>0</v>
      </c>
    </row>
    <row r="184" spans="1:3">
      <c r="A184">
        <v>184</v>
      </c>
      <c r="B184">
        <v>-10.1906800641493</v>
      </c>
      <c r="C184">
        <v>0</v>
      </c>
    </row>
    <row r="185" spans="1:3">
      <c r="A185">
        <v>185</v>
      </c>
      <c r="B185">
        <v>-11.3729277629457</v>
      </c>
      <c r="C185">
        <v>0</v>
      </c>
    </row>
    <row r="186" spans="1:3">
      <c r="A186">
        <v>186</v>
      </c>
      <c r="B186">
        <v>-7.89154146174204</v>
      </c>
      <c r="C186">
        <v>0</v>
      </c>
    </row>
    <row r="187" spans="1:3">
      <c r="A187">
        <v>187</v>
      </c>
      <c r="B187">
        <v>-6.13044516053839</v>
      </c>
      <c r="C187">
        <v>0</v>
      </c>
    </row>
    <row r="188" spans="1:3">
      <c r="A188">
        <v>188</v>
      </c>
      <c r="B188">
        <v>-3.60366285933472</v>
      </c>
      <c r="C188">
        <v>0</v>
      </c>
    </row>
    <row r="189" spans="1:3">
      <c r="A189">
        <v>189</v>
      </c>
      <c r="B189">
        <v>0.703041441868891</v>
      </c>
      <c r="C189">
        <v>0</v>
      </c>
    </row>
    <row r="190" spans="1:3">
      <c r="A190">
        <v>190</v>
      </c>
      <c r="B190">
        <v>1.55927574307256</v>
      </c>
      <c r="C190">
        <v>0</v>
      </c>
    </row>
    <row r="191" spans="1:3">
      <c r="A191">
        <v>191</v>
      </c>
      <c r="B191">
        <v>1.36146304427621</v>
      </c>
      <c r="C191">
        <v>0</v>
      </c>
    </row>
    <row r="192" spans="1:3">
      <c r="A192">
        <v>192</v>
      </c>
      <c r="B192">
        <v>1.18246534547987</v>
      </c>
      <c r="C192">
        <v>0</v>
      </c>
    </row>
    <row r="193" spans="1:3">
      <c r="A193">
        <v>193</v>
      </c>
      <c r="B193">
        <v>2.49347264668353</v>
      </c>
      <c r="C193">
        <v>0</v>
      </c>
    </row>
    <row r="194" spans="1:3">
      <c r="A194">
        <v>194</v>
      </c>
      <c r="B194">
        <v>0.984472947887184</v>
      </c>
      <c r="C194">
        <v>0</v>
      </c>
    </row>
    <row r="195" spans="1:3">
      <c r="A195">
        <v>195</v>
      </c>
      <c r="B195">
        <v>-0.384512750909153</v>
      </c>
      <c r="C195">
        <v>0</v>
      </c>
    </row>
    <row r="196" spans="1:3">
      <c r="A196">
        <v>196</v>
      </c>
      <c r="B196">
        <v>-0.903507449705529</v>
      </c>
      <c r="C196">
        <v>0</v>
      </c>
    </row>
    <row r="197" spans="1:3">
      <c r="A197">
        <v>197</v>
      </c>
      <c r="B197">
        <v>-1.57251114850189</v>
      </c>
      <c r="C197">
        <v>0</v>
      </c>
    </row>
    <row r="198" spans="1:3">
      <c r="A198">
        <v>198</v>
      </c>
      <c r="B198">
        <v>-0.231504847298226</v>
      </c>
      <c r="C198">
        <v>0</v>
      </c>
    </row>
    <row r="199" spans="1:3">
      <c r="A199">
        <v>199</v>
      </c>
      <c r="B199">
        <v>1.64949445390542</v>
      </c>
      <c r="C199">
        <v>0</v>
      </c>
    </row>
    <row r="200" spans="1:3">
      <c r="A200">
        <v>200</v>
      </c>
      <c r="B200">
        <v>6.82050275510909</v>
      </c>
      <c r="C200">
        <v>0</v>
      </c>
    </row>
    <row r="201" spans="1:3">
      <c r="A201">
        <v>201</v>
      </c>
      <c r="B201">
        <v>7.61150605631275</v>
      </c>
      <c r="C201">
        <v>0</v>
      </c>
    </row>
    <row r="202" spans="1:3">
      <c r="A202">
        <v>202</v>
      </c>
      <c r="B202">
        <v>8.30251735751636</v>
      </c>
      <c r="C202">
        <v>0</v>
      </c>
    </row>
    <row r="203" spans="1:3">
      <c r="A203">
        <v>203</v>
      </c>
      <c r="B203">
        <v>10.70352165872</v>
      </c>
      <c r="C203">
        <v>0</v>
      </c>
    </row>
    <row r="204" spans="1:3">
      <c r="A204">
        <v>204</v>
      </c>
      <c r="B204">
        <v>7.88452395992368</v>
      </c>
      <c r="C204">
        <v>0</v>
      </c>
    </row>
    <row r="205" spans="1:3">
      <c r="A205">
        <v>205</v>
      </c>
      <c r="B205">
        <v>10.3155262611273</v>
      </c>
      <c r="C205">
        <v>0</v>
      </c>
    </row>
    <row r="206" spans="1:3">
      <c r="A206">
        <v>206</v>
      </c>
      <c r="B206">
        <v>14.826530562331</v>
      </c>
      <c r="C206">
        <v>0</v>
      </c>
    </row>
    <row r="207" spans="1:3">
      <c r="A207">
        <v>207</v>
      </c>
      <c r="B207">
        <v>8.66753686353465</v>
      </c>
      <c r="C207">
        <v>0</v>
      </c>
    </row>
    <row r="208" spans="1:3">
      <c r="A208">
        <v>208</v>
      </c>
      <c r="B208">
        <v>9.0685401647383</v>
      </c>
      <c r="C208">
        <v>0</v>
      </c>
    </row>
    <row r="209" spans="1:3">
      <c r="A209">
        <v>209</v>
      </c>
      <c r="B209">
        <v>6.65954646594193</v>
      </c>
      <c r="C209">
        <v>0</v>
      </c>
    </row>
    <row r="210" spans="1:3">
      <c r="A210">
        <v>210</v>
      </c>
      <c r="B210">
        <v>8.15054676714558</v>
      </c>
      <c r="C210">
        <v>0</v>
      </c>
    </row>
    <row r="211" spans="1:3">
      <c r="A211">
        <v>211</v>
      </c>
      <c r="B211">
        <v>6.68155506834924</v>
      </c>
      <c r="C211">
        <v>0</v>
      </c>
    </row>
    <row r="212" spans="1:3">
      <c r="A212">
        <v>212</v>
      </c>
      <c r="B212">
        <v>8.87255236955289</v>
      </c>
      <c r="C212">
        <v>0</v>
      </c>
    </row>
    <row r="213" spans="1:3">
      <c r="A213">
        <v>213</v>
      </c>
      <c r="B213">
        <v>10.9035606707565</v>
      </c>
      <c r="C213">
        <v>0</v>
      </c>
    </row>
    <row r="214" spans="1:3">
      <c r="A214">
        <v>214</v>
      </c>
      <c r="B214">
        <v>10.7445669719602</v>
      </c>
      <c r="C214">
        <v>0</v>
      </c>
    </row>
    <row r="215" spans="1:3">
      <c r="A215">
        <v>215</v>
      </c>
      <c r="B215">
        <v>12.4555682731638</v>
      </c>
      <c r="C215">
        <v>0</v>
      </c>
    </row>
    <row r="216" spans="1:3">
      <c r="A216">
        <v>216</v>
      </c>
      <c r="B216">
        <v>12.8065685743675</v>
      </c>
      <c r="C216">
        <v>0</v>
      </c>
    </row>
    <row r="217" spans="1:3">
      <c r="A217">
        <v>217</v>
      </c>
      <c r="B217">
        <v>11.1775738755711</v>
      </c>
      <c r="C217">
        <v>0</v>
      </c>
    </row>
    <row r="218" spans="1:3">
      <c r="A218">
        <v>218</v>
      </c>
      <c r="B218">
        <v>3.85857617677479</v>
      </c>
      <c r="C218">
        <v>0</v>
      </c>
    </row>
    <row r="219" spans="1:3">
      <c r="A219">
        <v>219</v>
      </c>
      <c r="B219">
        <v>5.17957847797845</v>
      </c>
      <c r="C219">
        <v>0</v>
      </c>
    </row>
    <row r="220" spans="1:3">
      <c r="A220">
        <v>220</v>
      </c>
      <c r="B220">
        <v>1.30058277918212</v>
      </c>
      <c r="C220">
        <v>0</v>
      </c>
    </row>
    <row r="221" spans="1:3">
      <c r="A221">
        <v>221</v>
      </c>
      <c r="B221">
        <v>1.28158908038574</v>
      </c>
      <c r="C221">
        <v>0</v>
      </c>
    </row>
    <row r="222" spans="1:3">
      <c r="A222">
        <v>222</v>
      </c>
      <c r="B222">
        <v>4.02260338158939</v>
      </c>
      <c r="C222">
        <v>0</v>
      </c>
    </row>
    <row r="223" spans="1:3">
      <c r="A223">
        <v>223</v>
      </c>
      <c r="B223">
        <v>7.18360168279304</v>
      </c>
      <c r="C223">
        <v>0</v>
      </c>
    </row>
    <row r="224" spans="1:3">
      <c r="A224">
        <v>224</v>
      </c>
      <c r="B224">
        <v>7.06460198399671</v>
      </c>
      <c r="C224">
        <v>0</v>
      </c>
    </row>
    <row r="225" spans="1:3">
      <c r="A225">
        <v>225</v>
      </c>
      <c r="B225">
        <v>7.17561228520037</v>
      </c>
      <c r="C225">
        <v>0</v>
      </c>
    </row>
    <row r="226" spans="1:3">
      <c r="A226">
        <v>226</v>
      </c>
      <c r="B226">
        <v>6.25660858640401</v>
      </c>
      <c r="C226">
        <v>0</v>
      </c>
    </row>
    <row r="227" spans="1:3">
      <c r="A227">
        <v>227</v>
      </c>
      <c r="B227">
        <v>8.19762088760768</v>
      </c>
      <c r="C227">
        <v>0</v>
      </c>
    </row>
    <row r="228" spans="1:3">
      <c r="A228">
        <v>228</v>
      </c>
      <c r="B228">
        <v>11.3186251888113</v>
      </c>
      <c r="C228">
        <v>0</v>
      </c>
    </row>
    <row r="229" spans="1:3">
      <c r="A229">
        <v>229</v>
      </c>
      <c r="B229">
        <v>9.49962749001494</v>
      </c>
      <c r="C229">
        <v>0</v>
      </c>
    </row>
    <row r="230" spans="1:3">
      <c r="A230">
        <v>230</v>
      </c>
      <c r="B230">
        <v>14.1706357912186</v>
      </c>
      <c r="C230">
        <v>0</v>
      </c>
    </row>
    <row r="231" spans="1:3">
      <c r="A231">
        <v>231</v>
      </c>
      <c r="B231">
        <v>16.4116360924223</v>
      </c>
      <c r="C231">
        <v>0</v>
      </c>
    </row>
    <row r="232" spans="1:3">
      <c r="A232">
        <v>232</v>
      </c>
      <c r="B232">
        <v>17.0226463936259</v>
      </c>
      <c r="C232">
        <v>0</v>
      </c>
    </row>
    <row r="233" spans="1:3">
      <c r="A233">
        <v>233</v>
      </c>
      <c r="B233">
        <v>18.0136466948296</v>
      </c>
      <c r="C233">
        <v>0</v>
      </c>
    </row>
    <row r="234" spans="1:3">
      <c r="A234">
        <v>234</v>
      </c>
      <c r="B234">
        <v>14.2146529960332</v>
      </c>
      <c r="C234">
        <v>0</v>
      </c>
    </row>
    <row r="235" spans="1:3">
      <c r="A235">
        <v>235</v>
      </c>
      <c r="B235">
        <v>16.1456552972369</v>
      </c>
      <c r="C235">
        <v>0</v>
      </c>
    </row>
    <row r="236" spans="1:3">
      <c r="A236">
        <v>236</v>
      </c>
      <c r="B236">
        <v>15.2966595984405</v>
      </c>
      <c r="C236">
        <v>0</v>
      </c>
    </row>
    <row r="237" spans="1:3">
      <c r="A237">
        <v>237</v>
      </c>
      <c r="B237">
        <v>17.5576638996442</v>
      </c>
      <c r="C237">
        <v>0</v>
      </c>
    </row>
    <row r="238" spans="1:3">
      <c r="A238">
        <v>238</v>
      </c>
      <c r="B238">
        <v>14.2986632008478</v>
      </c>
      <c r="C238">
        <v>0</v>
      </c>
    </row>
    <row r="239" spans="1:3">
      <c r="A239">
        <v>239</v>
      </c>
      <c r="B239">
        <v>15.9796665020515</v>
      </c>
      <c r="C239">
        <v>0</v>
      </c>
    </row>
    <row r="240" spans="1:3">
      <c r="A240">
        <v>240</v>
      </c>
      <c r="B240">
        <v>15.6006708032551</v>
      </c>
      <c r="C240">
        <v>0</v>
      </c>
    </row>
    <row r="241" spans="1:3">
      <c r="A241">
        <v>241</v>
      </c>
      <c r="B241">
        <v>19.5916861044588</v>
      </c>
      <c r="C241">
        <v>0</v>
      </c>
    </row>
    <row r="242" spans="1:3">
      <c r="A242">
        <v>242</v>
      </c>
      <c r="B242">
        <v>18.2926774056624</v>
      </c>
      <c r="C242">
        <v>0</v>
      </c>
    </row>
    <row r="243" spans="1:3">
      <c r="A243">
        <v>243</v>
      </c>
      <c r="B243">
        <v>12.9336867068661</v>
      </c>
      <c r="C243">
        <v>0</v>
      </c>
    </row>
    <row r="244" spans="1:3">
      <c r="A244">
        <v>244</v>
      </c>
      <c r="B244">
        <v>9.52469300806973</v>
      </c>
      <c r="C244">
        <v>0</v>
      </c>
    </row>
    <row r="245" spans="1:3">
      <c r="A245">
        <v>245</v>
      </c>
      <c r="B245">
        <v>3.94570130927337</v>
      </c>
      <c r="C245">
        <v>0</v>
      </c>
    </row>
    <row r="246" spans="1:3">
      <c r="A246">
        <v>246</v>
      </c>
      <c r="B246">
        <v>7.39670761047705</v>
      </c>
      <c r="C246">
        <v>0</v>
      </c>
    </row>
    <row r="247" spans="1:3">
      <c r="A247">
        <v>247</v>
      </c>
      <c r="B247">
        <v>7.75770291168067</v>
      </c>
      <c r="C247">
        <v>0</v>
      </c>
    </row>
    <row r="248" spans="1:3">
      <c r="A248">
        <v>248</v>
      </c>
      <c r="B248">
        <v>16.4287112128843</v>
      </c>
      <c r="C248">
        <v>0</v>
      </c>
    </row>
    <row r="249" spans="1:3">
      <c r="A249">
        <v>249</v>
      </c>
      <c r="B249">
        <v>22.039721514088</v>
      </c>
      <c r="C249">
        <v>0</v>
      </c>
    </row>
    <row r="250" spans="1:3">
      <c r="A250">
        <v>250</v>
      </c>
      <c r="B250">
        <v>21.7507228152916</v>
      </c>
      <c r="C250">
        <v>0</v>
      </c>
    </row>
    <row r="251" spans="1:3">
      <c r="A251">
        <v>251</v>
      </c>
      <c r="B251">
        <v>26.1317221164953</v>
      </c>
      <c r="C251">
        <v>0</v>
      </c>
    </row>
    <row r="252" spans="1:3">
      <c r="A252">
        <v>252</v>
      </c>
      <c r="B252">
        <v>27.1327314176989</v>
      </c>
      <c r="C252">
        <v>0</v>
      </c>
    </row>
    <row r="253" spans="1:3">
      <c r="A253">
        <v>253</v>
      </c>
      <c r="B253">
        <v>39.8637317189026</v>
      </c>
      <c r="C253">
        <v>0</v>
      </c>
    </row>
    <row r="254" spans="1:3">
      <c r="A254">
        <v>254</v>
      </c>
      <c r="B254">
        <v>44.8647360201062</v>
      </c>
      <c r="C254">
        <v>0</v>
      </c>
    </row>
    <row r="255" spans="1:3">
      <c r="A255">
        <v>255</v>
      </c>
      <c r="B255">
        <v>42.1857403213099</v>
      </c>
      <c r="C255">
        <v>0</v>
      </c>
    </row>
    <row r="256" spans="1:3">
      <c r="A256">
        <v>256</v>
      </c>
      <c r="B256">
        <v>40.1467446225136</v>
      </c>
      <c r="C256">
        <v>0</v>
      </c>
    </row>
    <row r="257" spans="1:3">
      <c r="A257">
        <v>257</v>
      </c>
      <c r="B257">
        <v>44.4577489237172</v>
      </c>
      <c r="C257">
        <v>0</v>
      </c>
    </row>
    <row r="258" spans="1:3">
      <c r="A258">
        <v>1</v>
      </c>
      <c r="B258">
        <v>159.899352184417</v>
      </c>
      <c r="C258">
        <v>102.520172</v>
      </c>
    </row>
    <row r="259" spans="1:3">
      <c r="A259">
        <v>2</v>
      </c>
      <c r="B259">
        <v>159.888347883214</v>
      </c>
      <c r="C259">
        <v>111.048721</v>
      </c>
    </row>
    <row r="260" spans="1:3">
      <c r="A260">
        <v>3</v>
      </c>
      <c r="B260">
        <v>159.87734358201</v>
      </c>
      <c r="C260">
        <v>117.425385</v>
      </c>
    </row>
    <row r="261" spans="1:3">
      <c r="A261">
        <v>4</v>
      </c>
      <c r="B261">
        <v>159.866339280807</v>
      </c>
      <c r="C261">
        <v>117.968285</v>
      </c>
    </row>
    <row r="262" spans="1:3">
      <c r="A262">
        <v>5</v>
      </c>
      <c r="B262">
        <v>159.855334979603</v>
      </c>
      <c r="C262">
        <v>118.067001</v>
      </c>
    </row>
    <row r="263" spans="1:3">
      <c r="A263">
        <v>6</v>
      </c>
      <c r="B263">
        <v>159.844330678399</v>
      </c>
      <c r="C263">
        <v>121.383652</v>
      </c>
    </row>
    <row r="264" spans="1:3">
      <c r="A264">
        <v>7</v>
      </c>
      <c r="B264">
        <v>159.833326377196</v>
      </c>
      <c r="C264">
        <v>124.70488</v>
      </c>
    </row>
    <row r="265" spans="1:3">
      <c r="A265">
        <v>8</v>
      </c>
      <c r="B265">
        <v>159.822322075992</v>
      </c>
      <c r="C265">
        <v>125.805862</v>
      </c>
    </row>
    <row r="266" spans="1:3">
      <c r="A266">
        <v>9</v>
      </c>
      <c r="B266">
        <v>159.811317774788</v>
      </c>
      <c r="C266">
        <v>125.944046</v>
      </c>
    </row>
    <row r="267" spans="1:3">
      <c r="A267">
        <v>10</v>
      </c>
      <c r="B267">
        <v>159.800313473585</v>
      </c>
      <c r="C267">
        <v>126.335655</v>
      </c>
    </row>
    <row r="268" spans="1:3">
      <c r="A268">
        <v>11</v>
      </c>
      <c r="B268">
        <v>159.789309172381</v>
      </c>
      <c r="C268">
        <v>127.977478</v>
      </c>
    </row>
    <row r="269" spans="1:3">
      <c r="A269">
        <v>12</v>
      </c>
      <c r="B269">
        <v>159.778304871177</v>
      </c>
      <c r="C269">
        <v>128.036713</v>
      </c>
    </row>
    <row r="270" spans="1:3">
      <c r="A270">
        <v>13</v>
      </c>
      <c r="B270">
        <v>159.767300569974</v>
      </c>
      <c r="C270">
        <v>129.576599</v>
      </c>
    </row>
    <row r="271" spans="1:3">
      <c r="A271">
        <v>14</v>
      </c>
      <c r="B271">
        <v>159.75629626877</v>
      </c>
      <c r="C271">
        <v>130.050385</v>
      </c>
    </row>
    <row r="272" spans="1:3">
      <c r="A272">
        <v>15</v>
      </c>
      <c r="B272">
        <v>159.745291967566</v>
      </c>
      <c r="C272">
        <v>130.099747</v>
      </c>
    </row>
    <row r="273" spans="1:3">
      <c r="A273">
        <v>16</v>
      </c>
      <c r="B273">
        <v>159.734287666363</v>
      </c>
      <c r="C273">
        <v>130.297165</v>
      </c>
    </row>
    <row r="274" spans="1:3">
      <c r="A274">
        <v>17</v>
      </c>
      <c r="B274">
        <v>159.723283365159</v>
      </c>
      <c r="C274">
        <v>130.62291</v>
      </c>
    </row>
    <row r="275" spans="1:3">
      <c r="A275">
        <v>18</v>
      </c>
      <c r="B275">
        <v>159.712279063955</v>
      </c>
      <c r="C275">
        <v>131.076965</v>
      </c>
    </row>
    <row r="276" spans="1:3">
      <c r="A276">
        <v>19</v>
      </c>
      <c r="B276">
        <v>159.701274762752</v>
      </c>
      <c r="C276">
        <v>131.09671</v>
      </c>
    </row>
    <row r="277" spans="1:3">
      <c r="A277">
        <v>20</v>
      </c>
      <c r="B277">
        <v>159.690270461548</v>
      </c>
      <c r="C277">
        <v>131.208099</v>
      </c>
    </row>
    <row r="278" spans="1:3">
      <c r="A278">
        <v>21</v>
      </c>
      <c r="B278">
        <v>159.679266160344</v>
      </c>
      <c r="C278">
        <v>131.313873</v>
      </c>
    </row>
    <row r="279" spans="1:3">
      <c r="A279">
        <v>22</v>
      </c>
      <c r="B279">
        <v>159.668261859141</v>
      </c>
      <c r="C279">
        <v>131.323746</v>
      </c>
    </row>
    <row r="280" spans="1:3">
      <c r="A280">
        <v>23</v>
      </c>
      <c r="B280">
        <v>159.657257557937</v>
      </c>
      <c r="C280">
        <v>132.064072</v>
      </c>
    </row>
    <row r="281" spans="1:3">
      <c r="A281">
        <v>24</v>
      </c>
      <c r="B281">
        <v>159.646253256734</v>
      </c>
      <c r="C281">
        <v>132.271362</v>
      </c>
    </row>
    <row r="282" spans="1:3">
      <c r="A282">
        <v>25</v>
      </c>
      <c r="B282">
        <v>159.63524895553</v>
      </c>
      <c r="C282">
        <v>132.54776</v>
      </c>
    </row>
    <row r="283" spans="1:3">
      <c r="A283">
        <v>26</v>
      </c>
      <c r="B283">
        <v>159.624244654326</v>
      </c>
      <c r="C283">
        <v>132.942581</v>
      </c>
    </row>
    <row r="284" spans="1:3">
      <c r="A284">
        <v>27</v>
      </c>
      <c r="B284">
        <v>159.613240353123</v>
      </c>
      <c r="C284">
        <v>133.100525</v>
      </c>
    </row>
    <row r="285" spans="1:3">
      <c r="A285">
        <v>28</v>
      </c>
      <c r="B285">
        <v>159.602236051919</v>
      </c>
      <c r="C285">
        <v>133.110397</v>
      </c>
    </row>
    <row r="286" spans="1:3">
      <c r="A286">
        <v>29</v>
      </c>
      <c r="B286">
        <v>159.591231750715</v>
      </c>
      <c r="C286">
        <v>133.130142</v>
      </c>
    </row>
    <row r="287" spans="1:3">
      <c r="A287">
        <v>30</v>
      </c>
      <c r="B287">
        <v>159.580227449512</v>
      </c>
      <c r="C287">
        <v>133.455887</v>
      </c>
    </row>
    <row r="288" spans="1:3">
      <c r="A288">
        <v>31</v>
      </c>
      <c r="B288">
        <v>159.569223148308</v>
      </c>
      <c r="C288">
        <v>133.495361</v>
      </c>
    </row>
    <row r="289" spans="1:3">
      <c r="A289">
        <v>32</v>
      </c>
      <c r="B289">
        <v>159.558218847104</v>
      </c>
      <c r="C289">
        <v>133.524979</v>
      </c>
    </row>
    <row r="290" spans="1:3">
      <c r="A290">
        <v>33</v>
      </c>
      <c r="B290">
        <v>159.547214545901</v>
      </c>
      <c r="C290">
        <v>133.771759</v>
      </c>
    </row>
    <row r="291" spans="1:3">
      <c r="A291">
        <v>34</v>
      </c>
      <c r="B291">
        <v>159.536210244697</v>
      </c>
      <c r="C291">
        <v>133.949432</v>
      </c>
    </row>
    <row r="292" spans="1:3">
      <c r="A292">
        <v>35</v>
      </c>
      <c r="B292">
        <v>159.525205943493</v>
      </c>
      <c r="C292">
        <v>135.143829</v>
      </c>
    </row>
    <row r="293" spans="1:3">
      <c r="A293">
        <v>36</v>
      </c>
      <c r="B293">
        <v>159.51420164229</v>
      </c>
      <c r="C293">
        <v>135.265167</v>
      </c>
    </row>
    <row r="294" spans="1:3">
      <c r="A294">
        <v>37</v>
      </c>
      <c r="B294">
        <v>159.503197341086</v>
      </c>
      <c r="C294">
        <v>135.275101</v>
      </c>
    </row>
    <row r="295" spans="1:3">
      <c r="A295">
        <v>38</v>
      </c>
      <c r="B295">
        <v>159.492193039882</v>
      </c>
      <c r="C295">
        <v>135.479431</v>
      </c>
    </row>
    <row r="296" spans="1:3">
      <c r="A296">
        <v>39</v>
      </c>
      <c r="B296">
        <v>159.481188738679</v>
      </c>
      <c r="C296">
        <v>135.627487</v>
      </c>
    </row>
    <row r="297" spans="1:3">
      <c r="A297">
        <v>40</v>
      </c>
      <c r="B297">
        <v>159.470184437475</v>
      </c>
      <c r="C297">
        <v>136.160538</v>
      </c>
    </row>
    <row r="298" spans="1:3">
      <c r="A298">
        <v>41</v>
      </c>
      <c r="B298">
        <v>159.459180136271</v>
      </c>
      <c r="C298">
        <v>136.535645</v>
      </c>
    </row>
    <row r="299" spans="1:3">
      <c r="A299">
        <v>42</v>
      </c>
      <c r="B299">
        <v>159.448175835068</v>
      </c>
      <c r="C299">
        <v>136.915833</v>
      </c>
    </row>
    <row r="300" spans="1:3">
      <c r="A300">
        <v>43</v>
      </c>
      <c r="B300">
        <v>159.437171533864</v>
      </c>
      <c r="C300">
        <v>137.432907</v>
      </c>
    </row>
    <row r="301" spans="1:3">
      <c r="A301">
        <v>44</v>
      </c>
      <c r="B301">
        <v>159.426167232661</v>
      </c>
      <c r="C301">
        <v>137.453644</v>
      </c>
    </row>
    <row r="302" spans="1:3">
      <c r="A302">
        <v>45</v>
      </c>
      <c r="B302">
        <v>159.415162931457</v>
      </c>
      <c r="C302">
        <v>137.572128</v>
      </c>
    </row>
    <row r="303" spans="1:3">
      <c r="A303">
        <v>46</v>
      </c>
      <c r="B303">
        <v>159.404158630253</v>
      </c>
      <c r="C303">
        <v>138.075516</v>
      </c>
    </row>
    <row r="304" spans="1:3">
      <c r="A304">
        <v>47</v>
      </c>
      <c r="B304">
        <v>159.39315432905</v>
      </c>
      <c r="C304">
        <v>138.397446</v>
      </c>
    </row>
    <row r="305" spans="1:3">
      <c r="A305">
        <v>48</v>
      </c>
      <c r="B305">
        <v>159.382150027846</v>
      </c>
      <c r="C305">
        <v>138.776337</v>
      </c>
    </row>
    <row r="306" spans="1:3">
      <c r="A306">
        <v>49</v>
      </c>
      <c r="B306">
        <v>159.371145726642</v>
      </c>
      <c r="C306">
        <v>140.069443</v>
      </c>
    </row>
    <row r="307" spans="1:3">
      <c r="A307">
        <v>50</v>
      </c>
      <c r="B307">
        <v>159.360141425439</v>
      </c>
      <c r="C307">
        <v>140.575134</v>
      </c>
    </row>
    <row r="308" spans="1:3">
      <c r="A308">
        <v>51</v>
      </c>
      <c r="B308">
        <v>159.349137124235</v>
      </c>
      <c r="C308">
        <v>140.91835</v>
      </c>
    </row>
    <row r="309" spans="1:3">
      <c r="A309">
        <v>52</v>
      </c>
      <c r="B309">
        <v>159.338132823031</v>
      </c>
      <c r="C309">
        <v>141.579712</v>
      </c>
    </row>
    <row r="310" spans="1:3">
      <c r="A310">
        <v>53</v>
      </c>
      <c r="B310">
        <v>159.327128521828</v>
      </c>
      <c r="C310">
        <v>141.649063</v>
      </c>
    </row>
    <row r="311" spans="1:3">
      <c r="A311">
        <v>54</v>
      </c>
      <c r="B311">
        <v>159.316124220624</v>
      </c>
      <c r="C311">
        <v>141.659012</v>
      </c>
    </row>
    <row r="312" spans="1:3">
      <c r="A312">
        <v>55</v>
      </c>
      <c r="B312">
        <v>159.30511991942</v>
      </c>
      <c r="C312">
        <v>142.434631</v>
      </c>
    </row>
    <row r="313" spans="1:3">
      <c r="A313">
        <v>56</v>
      </c>
      <c r="B313">
        <v>159.294115618217</v>
      </c>
      <c r="C313">
        <v>142.633499</v>
      </c>
    </row>
    <row r="314" spans="1:3">
      <c r="A314">
        <v>57</v>
      </c>
      <c r="B314">
        <v>159.283111317013</v>
      </c>
      <c r="C314">
        <v>142.683228</v>
      </c>
    </row>
    <row r="315" spans="1:3">
      <c r="A315">
        <v>58</v>
      </c>
      <c r="B315">
        <v>159.272107015809</v>
      </c>
      <c r="C315">
        <v>143.299728</v>
      </c>
    </row>
    <row r="316" spans="1:3">
      <c r="A316">
        <v>59</v>
      </c>
      <c r="B316">
        <v>159.261102714606</v>
      </c>
      <c r="C316">
        <v>143.697479</v>
      </c>
    </row>
    <row r="317" spans="1:3">
      <c r="A317">
        <v>60</v>
      </c>
      <c r="B317">
        <v>159.250098413402</v>
      </c>
      <c r="C317">
        <v>143.777023</v>
      </c>
    </row>
    <row r="318" spans="1:3">
      <c r="A318">
        <v>61</v>
      </c>
      <c r="B318">
        <v>159.239094112198</v>
      </c>
      <c r="C318">
        <v>144.045517</v>
      </c>
    </row>
    <row r="319" spans="1:3">
      <c r="A319">
        <v>62</v>
      </c>
      <c r="B319">
        <v>159.228089810995</v>
      </c>
      <c r="C319">
        <v>144.125061</v>
      </c>
    </row>
    <row r="320" spans="1:3">
      <c r="A320">
        <v>63</v>
      </c>
      <c r="B320">
        <v>159.217085509791</v>
      </c>
      <c r="C320">
        <v>144.125061</v>
      </c>
    </row>
    <row r="321" spans="1:3">
      <c r="A321">
        <v>64</v>
      </c>
      <c r="B321">
        <v>159.206081208587</v>
      </c>
      <c r="C321">
        <v>144.154892</v>
      </c>
    </row>
    <row r="322" spans="1:3">
      <c r="A322">
        <v>65</v>
      </c>
      <c r="B322">
        <v>159.195076907384</v>
      </c>
      <c r="C322">
        <v>144.20462</v>
      </c>
    </row>
    <row r="323" spans="1:3">
      <c r="A323">
        <v>66</v>
      </c>
      <c r="B323">
        <v>159.18407260618</v>
      </c>
      <c r="C323">
        <v>144.274506</v>
      </c>
    </row>
    <row r="324" spans="1:3">
      <c r="A324">
        <v>67</v>
      </c>
      <c r="B324">
        <v>159.173068304977</v>
      </c>
      <c r="C324">
        <v>144.552643</v>
      </c>
    </row>
    <row r="325" spans="1:3">
      <c r="A325">
        <v>68</v>
      </c>
      <c r="B325">
        <v>159.162064003773</v>
      </c>
      <c r="C325">
        <v>144.771408</v>
      </c>
    </row>
    <row r="326" spans="1:3">
      <c r="A326">
        <v>69</v>
      </c>
      <c r="B326">
        <v>159.151059702569</v>
      </c>
      <c r="C326">
        <v>145.029953</v>
      </c>
    </row>
    <row r="327" spans="1:3">
      <c r="A327">
        <v>70</v>
      </c>
      <c r="B327">
        <v>159.140055401366</v>
      </c>
      <c r="C327">
        <v>145.358093</v>
      </c>
    </row>
    <row r="328" spans="1:3">
      <c r="A328">
        <v>71</v>
      </c>
      <c r="B328">
        <v>159.129051100162</v>
      </c>
      <c r="C328">
        <v>145.805573</v>
      </c>
    </row>
    <row r="329" spans="1:3">
      <c r="A329">
        <v>72</v>
      </c>
      <c r="B329">
        <v>159.118046798958</v>
      </c>
      <c r="C329">
        <v>146.392242</v>
      </c>
    </row>
    <row r="330" spans="1:3">
      <c r="A330">
        <v>73</v>
      </c>
      <c r="B330">
        <v>159.107042497755</v>
      </c>
      <c r="C330">
        <v>146.501633</v>
      </c>
    </row>
    <row r="331" spans="1:3">
      <c r="A331">
        <v>74</v>
      </c>
      <c r="B331">
        <v>159.096038196551</v>
      </c>
      <c r="C331">
        <v>146.730331</v>
      </c>
    </row>
    <row r="332" spans="1:3">
      <c r="A332">
        <v>75</v>
      </c>
      <c r="B332">
        <v>159.085033895347</v>
      </c>
      <c r="C332">
        <v>147.267303</v>
      </c>
    </row>
    <row r="333" spans="1:3">
      <c r="A333">
        <v>76</v>
      </c>
      <c r="B333">
        <v>159.074029594144</v>
      </c>
      <c r="C333">
        <v>147.396561</v>
      </c>
    </row>
    <row r="334" spans="1:3">
      <c r="A334">
        <v>77</v>
      </c>
      <c r="B334">
        <v>159.06302529294</v>
      </c>
      <c r="C334">
        <v>147.482574</v>
      </c>
    </row>
    <row r="335" spans="1:3">
      <c r="A335">
        <v>78</v>
      </c>
      <c r="B335">
        <v>159.052020991736</v>
      </c>
      <c r="C335">
        <v>147.505951</v>
      </c>
    </row>
    <row r="336" spans="1:3">
      <c r="A336">
        <v>79</v>
      </c>
      <c r="B336">
        <v>159.041016690533</v>
      </c>
      <c r="C336">
        <v>147.5159</v>
      </c>
    </row>
    <row r="337" spans="1:3">
      <c r="A337">
        <v>80</v>
      </c>
      <c r="B337">
        <v>159.030012389329</v>
      </c>
      <c r="C337">
        <v>147.694885</v>
      </c>
    </row>
    <row r="338" spans="1:3">
      <c r="A338">
        <v>81</v>
      </c>
      <c r="B338">
        <v>159.019008088125</v>
      </c>
      <c r="C338">
        <v>147.754532</v>
      </c>
    </row>
    <row r="339" spans="1:3">
      <c r="A339">
        <v>82</v>
      </c>
      <c r="B339">
        <v>159.008003786922</v>
      </c>
      <c r="C339">
        <v>148.271622</v>
      </c>
    </row>
    <row r="340" spans="1:3">
      <c r="A340">
        <v>83</v>
      </c>
      <c r="B340">
        <v>158.996999485718</v>
      </c>
      <c r="C340">
        <v>148.321335</v>
      </c>
    </row>
    <row r="341" spans="1:3">
      <c r="A341">
        <v>84</v>
      </c>
      <c r="B341">
        <v>158.985995184514</v>
      </c>
      <c r="C341">
        <v>148.530151</v>
      </c>
    </row>
    <row r="342" spans="1:3">
      <c r="A342">
        <v>85</v>
      </c>
      <c r="B342">
        <v>158.974990883311</v>
      </c>
      <c r="C342">
        <v>148.589813</v>
      </c>
    </row>
    <row r="343" spans="1:3">
      <c r="A343">
        <v>86</v>
      </c>
      <c r="B343">
        <v>158.963986582107</v>
      </c>
      <c r="C343">
        <v>149.912338</v>
      </c>
    </row>
    <row r="344" spans="1:3">
      <c r="A344">
        <v>87</v>
      </c>
      <c r="B344">
        <v>158.952982280904</v>
      </c>
      <c r="C344">
        <v>149.972015</v>
      </c>
    </row>
    <row r="345" spans="1:3">
      <c r="A345">
        <v>88</v>
      </c>
      <c r="B345">
        <v>158.9419779797</v>
      </c>
      <c r="C345">
        <v>150.888062</v>
      </c>
    </row>
    <row r="346" spans="1:3">
      <c r="A346">
        <v>89</v>
      </c>
      <c r="B346">
        <v>158.930973678496</v>
      </c>
      <c r="C346">
        <v>151.07576</v>
      </c>
    </row>
    <row r="347" spans="1:3">
      <c r="A347">
        <v>90</v>
      </c>
      <c r="B347">
        <v>158.919969377293</v>
      </c>
      <c r="C347">
        <v>151.155304</v>
      </c>
    </row>
    <row r="348" spans="1:3">
      <c r="A348">
        <v>91</v>
      </c>
      <c r="B348">
        <v>158.908965076089</v>
      </c>
      <c r="C348">
        <v>151.411224</v>
      </c>
    </row>
    <row r="349" spans="1:3">
      <c r="A349">
        <v>92</v>
      </c>
      <c r="B349">
        <v>158.897960774885</v>
      </c>
      <c r="C349">
        <v>151.722107</v>
      </c>
    </row>
    <row r="350" spans="1:3">
      <c r="A350">
        <v>93</v>
      </c>
      <c r="B350">
        <v>158.886956473682</v>
      </c>
      <c r="C350">
        <v>152.219299</v>
      </c>
    </row>
    <row r="351" spans="1:3">
      <c r="A351">
        <v>94</v>
      </c>
      <c r="B351">
        <v>158.875952172478</v>
      </c>
      <c r="C351">
        <v>152.487793</v>
      </c>
    </row>
    <row r="352" spans="1:3">
      <c r="A352">
        <v>95</v>
      </c>
      <c r="B352">
        <v>158.864947871274</v>
      </c>
      <c r="C352">
        <v>152.527557</v>
      </c>
    </row>
    <row r="353" spans="1:3">
      <c r="A353">
        <v>96</v>
      </c>
      <c r="B353">
        <v>158.853943570071</v>
      </c>
      <c r="C353">
        <v>152.865631</v>
      </c>
    </row>
    <row r="354" spans="1:3">
      <c r="A354">
        <v>97</v>
      </c>
      <c r="B354">
        <v>158.842939268867</v>
      </c>
      <c r="C354">
        <v>153.253448</v>
      </c>
    </row>
    <row r="355" spans="1:3">
      <c r="A355">
        <v>98</v>
      </c>
      <c r="B355">
        <v>158.831934967663</v>
      </c>
      <c r="C355">
        <v>153.710861</v>
      </c>
    </row>
    <row r="356" spans="1:3">
      <c r="A356">
        <v>99</v>
      </c>
      <c r="B356">
        <v>158.82093066646</v>
      </c>
      <c r="C356">
        <v>153.740692</v>
      </c>
    </row>
    <row r="357" spans="1:3">
      <c r="A357">
        <v>100</v>
      </c>
      <c r="B357">
        <v>158.809926365256</v>
      </c>
      <c r="C357">
        <v>153.889847</v>
      </c>
    </row>
    <row r="358" spans="1:3">
      <c r="A358">
        <v>101</v>
      </c>
      <c r="B358">
        <v>158.798922064052</v>
      </c>
      <c r="C358">
        <v>154.12851</v>
      </c>
    </row>
    <row r="359" spans="1:3">
      <c r="A359">
        <v>102</v>
      </c>
      <c r="B359">
        <v>158.787917762849</v>
      </c>
      <c r="C359">
        <v>154.237885</v>
      </c>
    </row>
    <row r="360" spans="1:3">
      <c r="A360">
        <v>103</v>
      </c>
      <c r="B360">
        <v>158.776913461645</v>
      </c>
      <c r="C360">
        <v>155.033386</v>
      </c>
    </row>
    <row r="361" spans="1:3">
      <c r="A361">
        <v>104</v>
      </c>
      <c r="B361">
        <v>158.765909160441</v>
      </c>
      <c r="C361">
        <v>156.169998</v>
      </c>
    </row>
    <row r="362" spans="1:3">
      <c r="A362">
        <v>105</v>
      </c>
      <c r="B362">
        <v>158.754904859238</v>
      </c>
      <c r="C362">
        <v>156.850006</v>
      </c>
    </row>
    <row r="363" spans="1:3">
      <c r="A363">
        <v>106</v>
      </c>
      <c r="B363">
        <v>158.743900558034</v>
      </c>
      <c r="C363">
        <v>157.211075</v>
      </c>
    </row>
    <row r="364" spans="1:3">
      <c r="A364">
        <v>107</v>
      </c>
      <c r="B364">
        <v>158.73289625683</v>
      </c>
      <c r="C364">
        <v>157.380005</v>
      </c>
    </row>
    <row r="365" spans="1:3">
      <c r="A365">
        <v>108</v>
      </c>
      <c r="B365">
        <v>158.721891955627</v>
      </c>
      <c r="C365">
        <v>157.49176</v>
      </c>
    </row>
    <row r="366" spans="1:3">
      <c r="A366">
        <v>109</v>
      </c>
      <c r="B366">
        <v>158.710887654423</v>
      </c>
      <c r="C366">
        <v>157.5</v>
      </c>
    </row>
    <row r="367" spans="1:3">
      <c r="A367">
        <v>110</v>
      </c>
      <c r="B367">
        <v>158.69988335322</v>
      </c>
      <c r="C367">
        <v>158.533585</v>
      </c>
    </row>
    <row r="368" spans="1:3">
      <c r="A368">
        <v>111</v>
      </c>
      <c r="B368">
        <v>158.688879052016</v>
      </c>
      <c r="C368">
        <v>158.759995</v>
      </c>
    </row>
    <row r="369" spans="1:3">
      <c r="A369">
        <v>112</v>
      </c>
      <c r="B369">
        <v>158.677874750812</v>
      </c>
      <c r="C369">
        <v>158.759995</v>
      </c>
    </row>
    <row r="370" spans="1:3">
      <c r="A370">
        <v>113</v>
      </c>
      <c r="B370">
        <v>158.666870449609</v>
      </c>
      <c r="C370">
        <v>158.789993</v>
      </c>
    </row>
    <row r="371" spans="1:3">
      <c r="A371">
        <v>114</v>
      </c>
      <c r="B371">
        <v>158.655866148405</v>
      </c>
      <c r="C371">
        <v>158.979996</v>
      </c>
    </row>
    <row r="372" spans="1:3">
      <c r="A372">
        <v>115</v>
      </c>
      <c r="B372">
        <v>158.644861847201</v>
      </c>
      <c r="C372">
        <v>159.169998</v>
      </c>
    </row>
    <row r="373" spans="1:3">
      <c r="A373">
        <v>116</v>
      </c>
      <c r="B373">
        <v>158.633857545998</v>
      </c>
      <c r="C373">
        <v>159.369995</v>
      </c>
    </row>
    <row r="374" spans="1:3">
      <c r="A374">
        <v>117</v>
      </c>
      <c r="B374">
        <v>158.622853244794</v>
      </c>
      <c r="C374">
        <v>159.378815</v>
      </c>
    </row>
    <row r="375" spans="1:3">
      <c r="A375">
        <v>118</v>
      </c>
      <c r="B375">
        <v>158.61184894359</v>
      </c>
      <c r="C375">
        <v>159.604156</v>
      </c>
    </row>
    <row r="376" spans="1:3">
      <c r="A376">
        <v>119</v>
      </c>
      <c r="B376">
        <v>158.600844642387</v>
      </c>
      <c r="C376">
        <v>159.801575</v>
      </c>
    </row>
    <row r="377" spans="1:3">
      <c r="A377">
        <v>120</v>
      </c>
      <c r="B377">
        <v>158.589840341183</v>
      </c>
      <c r="C377">
        <v>160.077957</v>
      </c>
    </row>
    <row r="378" spans="1:3">
      <c r="A378">
        <v>121</v>
      </c>
      <c r="B378">
        <v>158.578836039979</v>
      </c>
      <c r="C378">
        <v>160.279999</v>
      </c>
    </row>
    <row r="379" spans="1:3">
      <c r="A379">
        <v>122</v>
      </c>
      <c r="B379">
        <v>158.567831738776</v>
      </c>
      <c r="C379">
        <v>160.462677</v>
      </c>
    </row>
    <row r="380" spans="1:3">
      <c r="A380">
        <v>123</v>
      </c>
      <c r="B380">
        <v>158.556827437572</v>
      </c>
      <c r="C380">
        <v>161.160004</v>
      </c>
    </row>
    <row r="381" spans="1:3">
      <c r="A381">
        <v>124</v>
      </c>
      <c r="B381">
        <v>158.545823136368</v>
      </c>
      <c r="C381">
        <v>161.369995</v>
      </c>
    </row>
    <row r="382" spans="1:3">
      <c r="A382">
        <v>125</v>
      </c>
      <c r="B382">
        <v>158.534818835165</v>
      </c>
      <c r="C382">
        <v>161.490005</v>
      </c>
    </row>
    <row r="383" spans="1:3">
      <c r="A383">
        <v>126</v>
      </c>
      <c r="B383">
        <v>158.523814533961</v>
      </c>
      <c r="C383">
        <v>161.913971</v>
      </c>
    </row>
    <row r="384" spans="1:3">
      <c r="A384">
        <v>127</v>
      </c>
      <c r="B384">
        <v>158.512810232757</v>
      </c>
      <c r="C384">
        <v>162.003967</v>
      </c>
    </row>
    <row r="385" spans="1:3">
      <c r="A385">
        <v>128</v>
      </c>
      <c r="B385">
        <v>158.501805931554</v>
      </c>
      <c r="C385">
        <v>162.121277</v>
      </c>
    </row>
    <row r="386" spans="1:3">
      <c r="A386">
        <v>129</v>
      </c>
      <c r="B386">
        <v>158.49080163035</v>
      </c>
      <c r="C386">
        <v>162.679993</v>
      </c>
    </row>
    <row r="387" spans="1:3">
      <c r="A387">
        <v>130</v>
      </c>
      <c r="B387">
        <v>158.479797329146</v>
      </c>
      <c r="C387">
        <v>162.79248</v>
      </c>
    </row>
    <row r="388" spans="1:3">
      <c r="A388">
        <v>131</v>
      </c>
      <c r="B388">
        <v>158.468793027943</v>
      </c>
      <c r="C388">
        <v>163.679993</v>
      </c>
    </row>
    <row r="389" spans="1:3">
      <c r="A389">
        <v>132</v>
      </c>
      <c r="B389">
        <v>158.457788726739</v>
      </c>
      <c r="C389">
        <v>164.134918</v>
      </c>
    </row>
    <row r="390" spans="1:3">
      <c r="A390">
        <v>133</v>
      </c>
      <c r="B390">
        <v>158.446784425536</v>
      </c>
      <c r="C390">
        <v>164.270004</v>
      </c>
    </row>
    <row r="391" spans="1:3">
      <c r="A391">
        <v>134</v>
      </c>
      <c r="B391">
        <v>158.435780124332</v>
      </c>
      <c r="C391">
        <v>164.270004</v>
      </c>
    </row>
    <row r="392" spans="1:3">
      <c r="A392">
        <v>135</v>
      </c>
      <c r="B392">
        <v>158.424775823128</v>
      </c>
      <c r="C392">
        <v>164.509995</v>
      </c>
    </row>
    <row r="393" spans="1:3">
      <c r="A393">
        <v>136</v>
      </c>
      <c r="B393">
        <v>158.413771521925</v>
      </c>
      <c r="C393">
        <v>164.529999</v>
      </c>
    </row>
    <row r="394" spans="1:3">
      <c r="A394">
        <v>137</v>
      </c>
      <c r="B394">
        <v>158.402767220721</v>
      </c>
      <c r="C394">
        <v>164.600006</v>
      </c>
    </row>
    <row r="395" spans="1:3">
      <c r="A395">
        <v>138</v>
      </c>
      <c r="B395">
        <v>158.391762919517</v>
      </c>
      <c r="C395">
        <v>164.610001</v>
      </c>
    </row>
    <row r="396" spans="1:3">
      <c r="A396">
        <v>139</v>
      </c>
      <c r="B396">
        <v>158.380758618314</v>
      </c>
      <c r="C396">
        <v>164.639999</v>
      </c>
    </row>
    <row r="397" spans="1:3">
      <c r="A397">
        <v>140</v>
      </c>
      <c r="B397">
        <v>158.36975431711</v>
      </c>
      <c r="C397">
        <v>164.743652</v>
      </c>
    </row>
    <row r="398" spans="1:3">
      <c r="A398">
        <v>141</v>
      </c>
      <c r="B398">
        <v>158.358750015906</v>
      </c>
      <c r="C398">
        <v>164.949997</v>
      </c>
    </row>
    <row r="399" spans="1:3">
      <c r="A399">
        <v>142</v>
      </c>
      <c r="B399">
        <v>158.347745714703</v>
      </c>
      <c r="C399">
        <v>165.309998</v>
      </c>
    </row>
    <row r="400" spans="1:3">
      <c r="A400">
        <v>143</v>
      </c>
      <c r="B400">
        <v>158.336741413499</v>
      </c>
      <c r="C400">
        <v>165.550003</v>
      </c>
    </row>
    <row r="401" spans="1:3">
      <c r="A401">
        <v>144</v>
      </c>
      <c r="B401">
        <v>158.325737112295</v>
      </c>
      <c r="C401">
        <v>165.610001</v>
      </c>
    </row>
    <row r="402" spans="1:3">
      <c r="A402">
        <v>145</v>
      </c>
      <c r="B402">
        <v>158.314732811092</v>
      </c>
      <c r="C402">
        <v>165.75</v>
      </c>
    </row>
    <row r="403" spans="1:3">
      <c r="A403">
        <v>146</v>
      </c>
      <c r="B403">
        <v>158.303728509888</v>
      </c>
      <c r="C403">
        <v>165.990005</v>
      </c>
    </row>
    <row r="404" spans="1:3">
      <c r="A404">
        <v>147</v>
      </c>
      <c r="B404">
        <v>158.292724208684</v>
      </c>
      <c r="C404">
        <v>166.300003</v>
      </c>
    </row>
    <row r="405" spans="1:3">
      <c r="A405">
        <v>148</v>
      </c>
      <c r="B405">
        <v>158.281719907481</v>
      </c>
      <c r="C405">
        <v>166.449997</v>
      </c>
    </row>
    <row r="406" spans="1:3">
      <c r="A406">
        <v>149</v>
      </c>
      <c r="B406">
        <v>158.270715606277</v>
      </c>
      <c r="C406">
        <v>166.690002</v>
      </c>
    </row>
    <row r="407" spans="1:3">
      <c r="A407">
        <v>150</v>
      </c>
      <c r="B407">
        <v>158.259711305073</v>
      </c>
      <c r="C407">
        <v>166.75</v>
      </c>
    </row>
    <row r="408" spans="1:3">
      <c r="A408">
        <v>151</v>
      </c>
      <c r="B408">
        <v>158.24870700387</v>
      </c>
      <c r="C408">
        <v>166.889999</v>
      </c>
    </row>
    <row r="409" spans="1:3">
      <c r="A409">
        <v>152</v>
      </c>
      <c r="B409">
        <v>158.237702702666</v>
      </c>
      <c r="C409">
        <v>167.970001</v>
      </c>
    </row>
    <row r="410" spans="1:3">
      <c r="A410">
        <v>153</v>
      </c>
      <c r="B410">
        <v>158.226698401463</v>
      </c>
      <c r="C410">
        <v>168.199554</v>
      </c>
    </row>
    <row r="411" spans="1:3">
      <c r="A411">
        <v>154</v>
      </c>
      <c r="B411">
        <v>158.215694100259</v>
      </c>
      <c r="C411">
        <v>168.300003</v>
      </c>
    </row>
    <row r="412" spans="1:3">
      <c r="A412">
        <v>155</v>
      </c>
      <c r="B412">
        <v>158.204689799055</v>
      </c>
      <c r="C412">
        <v>168.380005</v>
      </c>
    </row>
    <row r="413" spans="1:3">
      <c r="A413">
        <v>156</v>
      </c>
      <c r="B413">
        <v>158.193685497852</v>
      </c>
      <c r="C413">
        <v>168.470001</v>
      </c>
    </row>
    <row r="414" spans="1:3">
      <c r="A414">
        <v>157</v>
      </c>
      <c r="B414">
        <v>158.182681196648</v>
      </c>
      <c r="C414">
        <v>168.699997</v>
      </c>
    </row>
    <row r="415" spans="1:3">
      <c r="A415">
        <v>158</v>
      </c>
      <c r="B415">
        <v>158.171676895444</v>
      </c>
      <c r="C415">
        <v>168.720001</v>
      </c>
    </row>
    <row r="416" spans="1:3">
      <c r="A416">
        <v>159</v>
      </c>
      <c r="B416">
        <v>158.160672594241</v>
      </c>
      <c r="C416">
        <v>168.981613</v>
      </c>
    </row>
    <row r="417" spans="1:3">
      <c r="A417">
        <v>160</v>
      </c>
      <c r="B417">
        <v>158.149668293037</v>
      </c>
      <c r="C417">
        <v>169.407135</v>
      </c>
    </row>
    <row r="418" spans="1:3">
      <c r="A418">
        <v>161</v>
      </c>
      <c r="B418">
        <v>158.138663991833</v>
      </c>
      <c r="C418">
        <v>170</v>
      </c>
    </row>
    <row r="419" spans="1:3">
      <c r="A419">
        <v>162</v>
      </c>
      <c r="B419">
        <v>158.12765969063</v>
      </c>
      <c r="C419">
        <v>170.055115</v>
      </c>
    </row>
    <row r="420" spans="1:3">
      <c r="A420">
        <v>163</v>
      </c>
      <c r="B420">
        <v>158.116655389426</v>
      </c>
      <c r="C420">
        <v>170.064926</v>
      </c>
    </row>
    <row r="421" spans="1:3">
      <c r="A421">
        <v>164</v>
      </c>
      <c r="B421">
        <v>158.105651088222</v>
      </c>
      <c r="C421">
        <v>170.169998</v>
      </c>
    </row>
    <row r="422" spans="1:3">
      <c r="A422">
        <v>165</v>
      </c>
      <c r="B422">
        <v>158.094646787019</v>
      </c>
      <c r="C422">
        <v>170.339996</v>
      </c>
    </row>
    <row r="423" spans="1:3">
      <c r="A423">
        <v>166</v>
      </c>
      <c r="B423">
        <v>158.083642485815</v>
      </c>
      <c r="C423">
        <v>170.379089</v>
      </c>
    </row>
    <row r="424" spans="1:3">
      <c r="A424">
        <v>167</v>
      </c>
      <c r="B424">
        <v>158.072638184611</v>
      </c>
      <c r="C424">
        <v>170.84053</v>
      </c>
    </row>
    <row r="425" spans="1:3">
      <c r="A425">
        <v>168</v>
      </c>
      <c r="B425">
        <v>158.061633883408</v>
      </c>
      <c r="C425">
        <v>170.86998</v>
      </c>
    </row>
    <row r="426" spans="1:3">
      <c r="A426">
        <v>169</v>
      </c>
      <c r="B426">
        <v>158.050629582204</v>
      </c>
      <c r="C426">
        <v>171.144913</v>
      </c>
    </row>
    <row r="427" spans="1:3">
      <c r="A427">
        <v>170</v>
      </c>
      <c r="B427">
        <v>158.039625281</v>
      </c>
      <c r="C427">
        <v>171.311798</v>
      </c>
    </row>
    <row r="428" spans="1:3">
      <c r="A428">
        <v>171</v>
      </c>
      <c r="B428">
        <v>158.028620979797</v>
      </c>
      <c r="C428">
        <v>171.459061</v>
      </c>
    </row>
    <row r="429" spans="1:3">
      <c r="A429">
        <v>172</v>
      </c>
      <c r="B429">
        <v>158.017616678593</v>
      </c>
      <c r="C429">
        <v>171.550003</v>
      </c>
    </row>
    <row r="430" spans="1:3">
      <c r="A430">
        <v>173</v>
      </c>
      <c r="B430">
        <v>158.00661237739</v>
      </c>
      <c r="C430">
        <v>171.550003</v>
      </c>
    </row>
    <row r="431" spans="1:3">
      <c r="A431">
        <v>174</v>
      </c>
      <c r="B431">
        <v>157.995608076186</v>
      </c>
      <c r="C431">
        <v>171.589996</v>
      </c>
    </row>
    <row r="432" spans="1:3">
      <c r="A432">
        <v>175</v>
      </c>
      <c r="B432">
        <v>157.984603774982</v>
      </c>
      <c r="C432">
        <v>172.018692</v>
      </c>
    </row>
    <row r="433" spans="1:3">
      <c r="A433">
        <v>176</v>
      </c>
      <c r="B433">
        <v>157.973599473779</v>
      </c>
      <c r="C433">
        <v>172.077591</v>
      </c>
    </row>
    <row r="434" spans="1:3">
      <c r="A434">
        <v>177</v>
      </c>
      <c r="B434">
        <v>157.962595172575</v>
      </c>
      <c r="C434">
        <v>172.087387</v>
      </c>
    </row>
    <row r="435" spans="1:3">
      <c r="A435">
        <v>178</v>
      </c>
      <c r="B435">
        <v>157.951590871371</v>
      </c>
      <c r="C435">
        <v>172.264145</v>
      </c>
    </row>
    <row r="436" spans="1:3">
      <c r="A436">
        <v>179</v>
      </c>
      <c r="B436">
        <v>157.940586570168</v>
      </c>
      <c r="C436">
        <v>172.264145</v>
      </c>
    </row>
    <row r="437" spans="1:3">
      <c r="A437">
        <v>180</v>
      </c>
      <c r="B437">
        <v>157.929582268964</v>
      </c>
      <c r="C437">
        <v>172.470001</v>
      </c>
    </row>
    <row r="438" spans="1:3">
      <c r="A438">
        <v>181</v>
      </c>
      <c r="B438">
        <v>157.91857796776</v>
      </c>
      <c r="C438">
        <v>172.470306</v>
      </c>
    </row>
    <row r="439" spans="1:3">
      <c r="A439">
        <v>182</v>
      </c>
      <c r="B439">
        <v>157.907573666557</v>
      </c>
      <c r="C439">
        <v>172.610001</v>
      </c>
    </row>
    <row r="440" spans="1:3">
      <c r="A440">
        <v>183</v>
      </c>
      <c r="B440">
        <v>157.896569365353</v>
      </c>
      <c r="C440">
        <v>172.804092</v>
      </c>
    </row>
    <row r="441" spans="1:3">
      <c r="A441">
        <v>184</v>
      </c>
      <c r="B441">
        <v>157.885565064149</v>
      </c>
      <c r="C441">
        <v>172.869995</v>
      </c>
    </row>
    <row r="442" spans="1:3">
      <c r="A442">
        <v>185</v>
      </c>
      <c r="B442">
        <v>157.874560762946</v>
      </c>
      <c r="C442">
        <v>173.098648</v>
      </c>
    </row>
    <row r="443" spans="1:3">
      <c r="A443">
        <v>186</v>
      </c>
      <c r="B443">
        <v>157.863556461742</v>
      </c>
      <c r="C443">
        <v>173.137924</v>
      </c>
    </row>
    <row r="444" spans="1:3">
      <c r="A444">
        <v>187</v>
      </c>
      <c r="B444">
        <v>157.852552160538</v>
      </c>
      <c r="C444">
        <v>173.186996</v>
      </c>
    </row>
    <row r="445" spans="1:3">
      <c r="A445">
        <v>188</v>
      </c>
      <c r="B445">
        <v>157.841547859335</v>
      </c>
      <c r="C445">
        <v>173.196823</v>
      </c>
    </row>
    <row r="446" spans="1:3">
      <c r="A446">
        <v>189</v>
      </c>
      <c r="B446">
        <v>157.830543558131</v>
      </c>
      <c r="C446">
        <v>173.206619</v>
      </c>
    </row>
    <row r="447" spans="1:3">
      <c r="A447">
        <v>190</v>
      </c>
      <c r="B447">
        <v>157.819539256927</v>
      </c>
      <c r="C447">
        <v>173.216461</v>
      </c>
    </row>
    <row r="448" spans="1:3">
      <c r="A448">
        <v>191</v>
      </c>
      <c r="B448">
        <v>157.808534955724</v>
      </c>
      <c r="C448">
        <v>173.259995</v>
      </c>
    </row>
    <row r="449" spans="1:3">
      <c r="A449">
        <v>192</v>
      </c>
      <c r="B449">
        <v>157.79753065452</v>
      </c>
      <c r="C449">
        <v>173.265564</v>
      </c>
    </row>
    <row r="450" spans="1:3">
      <c r="A450">
        <v>193</v>
      </c>
      <c r="B450">
        <v>157.786526353316</v>
      </c>
      <c r="C450">
        <v>173.285187</v>
      </c>
    </row>
    <row r="451" spans="1:3">
      <c r="A451">
        <v>194</v>
      </c>
      <c r="B451">
        <v>157.775522052113</v>
      </c>
      <c r="C451">
        <v>173.294998</v>
      </c>
    </row>
    <row r="452" spans="1:3">
      <c r="A452">
        <v>195</v>
      </c>
      <c r="B452">
        <v>157.764517750909</v>
      </c>
      <c r="C452">
        <v>173.314636</v>
      </c>
    </row>
    <row r="453" spans="1:3">
      <c r="A453">
        <v>196</v>
      </c>
      <c r="B453">
        <v>157.753513449706</v>
      </c>
      <c r="C453">
        <v>173.470001</v>
      </c>
    </row>
    <row r="454" spans="1:3">
      <c r="A454">
        <v>197</v>
      </c>
      <c r="B454">
        <v>157.742509148502</v>
      </c>
      <c r="C454">
        <v>173.481537</v>
      </c>
    </row>
    <row r="455" spans="1:3">
      <c r="A455">
        <v>198</v>
      </c>
      <c r="B455">
        <v>157.731504847298</v>
      </c>
      <c r="C455">
        <v>173.569901</v>
      </c>
    </row>
    <row r="456" spans="1:3">
      <c r="A456">
        <v>199</v>
      </c>
      <c r="B456">
        <v>157.720500546095</v>
      </c>
      <c r="C456">
        <v>173.610001</v>
      </c>
    </row>
    <row r="457" spans="1:3">
      <c r="A457">
        <v>200</v>
      </c>
      <c r="B457">
        <v>157.709496244891</v>
      </c>
      <c r="C457">
        <v>173.658264</v>
      </c>
    </row>
    <row r="458" spans="1:3">
      <c r="A458">
        <v>201</v>
      </c>
      <c r="B458">
        <v>157.698491943687</v>
      </c>
      <c r="C458">
        <v>173.677887</v>
      </c>
    </row>
    <row r="459" spans="1:3">
      <c r="A459">
        <v>202</v>
      </c>
      <c r="B459">
        <v>157.687487642484</v>
      </c>
      <c r="C459">
        <v>173.72699</v>
      </c>
    </row>
    <row r="460" spans="1:3">
      <c r="A460">
        <v>203</v>
      </c>
      <c r="B460">
        <v>157.67648334128</v>
      </c>
      <c r="C460">
        <v>173.756439</v>
      </c>
    </row>
    <row r="461" spans="1:3">
      <c r="A461">
        <v>204</v>
      </c>
      <c r="B461">
        <v>157.665479040076</v>
      </c>
      <c r="C461">
        <v>173.776062</v>
      </c>
    </row>
    <row r="462" spans="1:3">
      <c r="A462">
        <v>205</v>
      </c>
      <c r="B462">
        <v>157.654474738873</v>
      </c>
      <c r="C462">
        <v>173.779999</v>
      </c>
    </row>
    <row r="463" spans="1:3">
      <c r="A463">
        <v>206</v>
      </c>
      <c r="B463">
        <v>157.643470437669</v>
      </c>
      <c r="C463">
        <v>173.903717</v>
      </c>
    </row>
    <row r="464" spans="1:3">
      <c r="A464">
        <v>207</v>
      </c>
      <c r="B464">
        <v>157.632466136465</v>
      </c>
      <c r="C464">
        <v>173.992081</v>
      </c>
    </row>
    <row r="465" spans="1:3">
      <c r="A465">
        <v>208</v>
      </c>
      <c r="B465">
        <v>157.621461835262</v>
      </c>
      <c r="C465">
        <v>174.158981</v>
      </c>
    </row>
    <row r="466" spans="1:3">
      <c r="A466">
        <v>209</v>
      </c>
      <c r="B466">
        <v>157.610457534058</v>
      </c>
      <c r="C466">
        <v>174.276794</v>
      </c>
    </row>
    <row r="467" spans="1:3">
      <c r="A467">
        <v>210</v>
      </c>
      <c r="B467">
        <v>157.599453232854</v>
      </c>
      <c r="C467">
        <v>174.374969</v>
      </c>
    </row>
    <row r="468" spans="1:3">
      <c r="A468">
        <v>211</v>
      </c>
      <c r="B468">
        <v>157.588448931651</v>
      </c>
      <c r="C468">
        <v>174.380005</v>
      </c>
    </row>
    <row r="469" spans="1:3">
      <c r="A469">
        <v>212</v>
      </c>
      <c r="B469">
        <v>157.577444630447</v>
      </c>
      <c r="C469">
        <v>174.522232</v>
      </c>
    </row>
    <row r="470" spans="1:3">
      <c r="A470">
        <v>213</v>
      </c>
      <c r="B470">
        <v>157.566440329243</v>
      </c>
      <c r="C470">
        <v>174.860001</v>
      </c>
    </row>
    <row r="471" spans="1:3">
      <c r="A471">
        <v>214</v>
      </c>
      <c r="B471">
        <v>157.55543602804</v>
      </c>
      <c r="C471">
        <v>175.09166</v>
      </c>
    </row>
    <row r="472" spans="1:3">
      <c r="A472">
        <v>215</v>
      </c>
      <c r="B472">
        <v>157.544431726836</v>
      </c>
      <c r="C472">
        <v>175.268387</v>
      </c>
    </row>
    <row r="473" spans="1:3">
      <c r="A473">
        <v>216</v>
      </c>
      <c r="B473">
        <v>157.533427425633</v>
      </c>
      <c r="C473">
        <v>175.297852</v>
      </c>
    </row>
    <row r="474" spans="1:3">
      <c r="A474">
        <v>217</v>
      </c>
      <c r="B474">
        <v>157.522423124429</v>
      </c>
      <c r="C474">
        <v>175.360001</v>
      </c>
    </row>
    <row r="475" spans="1:3">
      <c r="A475">
        <v>218</v>
      </c>
      <c r="B475">
        <v>157.511418823225</v>
      </c>
      <c r="C475">
        <v>175.425461</v>
      </c>
    </row>
    <row r="476" spans="1:3">
      <c r="A476">
        <v>219</v>
      </c>
      <c r="B476">
        <v>157.500414522022</v>
      </c>
      <c r="C476">
        <v>175.539993</v>
      </c>
    </row>
    <row r="477" spans="1:3">
      <c r="A477">
        <v>220</v>
      </c>
      <c r="B477">
        <v>157.489410220818</v>
      </c>
      <c r="C477">
        <v>175.602203</v>
      </c>
    </row>
    <row r="478" spans="1:3">
      <c r="A478">
        <v>221</v>
      </c>
      <c r="B478">
        <v>157.478405919614</v>
      </c>
      <c r="C478">
        <v>175.80838</v>
      </c>
    </row>
    <row r="479" spans="1:3">
      <c r="A479">
        <v>222</v>
      </c>
      <c r="B479">
        <v>157.467401618411</v>
      </c>
      <c r="C479">
        <v>175.886917</v>
      </c>
    </row>
    <row r="480" spans="1:3">
      <c r="A480">
        <v>223</v>
      </c>
      <c r="B480">
        <v>157.456397317207</v>
      </c>
      <c r="C480">
        <v>176.151993</v>
      </c>
    </row>
    <row r="481" spans="1:3">
      <c r="A481">
        <v>224</v>
      </c>
      <c r="B481">
        <v>157.445393016003</v>
      </c>
      <c r="C481">
        <v>176.151993</v>
      </c>
    </row>
    <row r="482" spans="1:3">
      <c r="A482">
        <v>225</v>
      </c>
      <c r="B482">
        <v>157.4343887148</v>
      </c>
      <c r="C482">
        <v>176.309097</v>
      </c>
    </row>
    <row r="483" spans="1:3">
      <c r="A483">
        <v>226</v>
      </c>
      <c r="B483">
        <v>157.423384413596</v>
      </c>
      <c r="C483">
        <v>176.377808</v>
      </c>
    </row>
    <row r="484" spans="1:3">
      <c r="A484">
        <v>227</v>
      </c>
      <c r="B484">
        <v>157.412380112392</v>
      </c>
      <c r="C484">
        <v>176.52507</v>
      </c>
    </row>
    <row r="485" spans="1:3">
      <c r="A485">
        <v>228</v>
      </c>
      <c r="B485">
        <v>157.401375811189</v>
      </c>
      <c r="C485">
        <v>176.603622</v>
      </c>
    </row>
    <row r="486" spans="1:3">
      <c r="A486">
        <v>229</v>
      </c>
      <c r="B486">
        <v>157.390371509985</v>
      </c>
      <c r="C486">
        <v>176.658142</v>
      </c>
    </row>
    <row r="487" spans="1:3">
      <c r="A487">
        <v>230</v>
      </c>
      <c r="B487">
        <v>157.379367208781</v>
      </c>
      <c r="C487">
        <v>176.770523</v>
      </c>
    </row>
    <row r="488" spans="1:3">
      <c r="A488">
        <v>231</v>
      </c>
      <c r="B488">
        <v>157.368362907578</v>
      </c>
      <c r="C488">
        <v>176.839249</v>
      </c>
    </row>
    <row r="489" spans="1:3">
      <c r="A489">
        <v>232</v>
      </c>
      <c r="B489">
        <v>157.357358606374</v>
      </c>
      <c r="C489">
        <v>176.839249</v>
      </c>
    </row>
    <row r="490" spans="1:3">
      <c r="A490">
        <v>233</v>
      </c>
      <c r="B490">
        <v>157.34635430517</v>
      </c>
      <c r="C490">
        <v>176.850006</v>
      </c>
    </row>
    <row r="491" spans="1:3">
      <c r="A491">
        <v>234</v>
      </c>
      <c r="B491">
        <v>157.335350003967</v>
      </c>
      <c r="C491">
        <v>177.029373</v>
      </c>
    </row>
    <row r="492" spans="1:3">
      <c r="A492">
        <v>235</v>
      </c>
      <c r="B492">
        <v>157.324345702763</v>
      </c>
      <c r="C492">
        <v>177.163223</v>
      </c>
    </row>
    <row r="493" spans="1:3">
      <c r="A493">
        <v>236</v>
      </c>
      <c r="B493">
        <v>157.313341401559</v>
      </c>
      <c r="C493">
        <v>177.408691</v>
      </c>
    </row>
    <row r="494" spans="1:3">
      <c r="A494">
        <v>237</v>
      </c>
      <c r="B494">
        <v>157.302337100356</v>
      </c>
      <c r="C494">
        <v>177.438126</v>
      </c>
    </row>
    <row r="495" spans="1:3">
      <c r="A495">
        <v>238</v>
      </c>
      <c r="B495">
        <v>157.291332799152</v>
      </c>
      <c r="C495">
        <v>177.49704</v>
      </c>
    </row>
    <row r="496" spans="1:3">
      <c r="A496">
        <v>239</v>
      </c>
      <c r="B496">
        <v>157.280328497949</v>
      </c>
      <c r="C496">
        <v>177.516693</v>
      </c>
    </row>
    <row r="497" spans="1:3">
      <c r="A497">
        <v>240</v>
      </c>
      <c r="B497">
        <v>157.269324196745</v>
      </c>
      <c r="C497">
        <v>177.565765</v>
      </c>
    </row>
    <row r="498" spans="1:3">
      <c r="A498">
        <v>241</v>
      </c>
      <c r="B498">
        <v>157.258319895541</v>
      </c>
      <c r="C498">
        <v>177.634491</v>
      </c>
    </row>
    <row r="499" spans="1:3">
      <c r="A499">
        <v>242</v>
      </c>
      <c r="B499">
        <v>157.247315594338</v>
      </c>
      <c r="C499">
        <v>177.752319</v>
      </c>
    </row>
    <row r="500" spans="1:3">
      <c r="A500">
        <v>243</v>
      </c>
      <c r="B500">
        <v>157.236311293134</v>
      </c>
      <c r="C500">
        <v>177.810913</v>
      </c>
    </row>
    <row r="501" spans="1:3">
      <c r="A501">
        <v>244</v>
      </c>
      <c r="B501">
        <v>157.22530699193</v>
      </c>
      <c r="C501">
        <v>177.879929</v>
      </c>
    </row>
    <row r="502" spans="1:3">
      <c r="A502">
        <v>245</v>
      </c>
      <c r="B502">
        <v>157.214302690727</v>
      </c>
      <c r="C502">
        <v>177.968292</v>
      </c>
    </row>
    <row r="503" spans="1:3">
      <c r="A503">
        <v>246</v>
      </c>
      <c r="B503">
        <v>157.203298389523</v>
      </c>
      <c r="C503">
        <v>178.43956</v>
      </c>
    </row>
    <row r="504" spans="1:3">
      <c r="A504">
        <v>247</v>
      </c>
      <c r="B504">
        <v>157.192294088319</v>
      </c>
      <c r="C504">
        <v>178.910004</v>
      </c>
    </row>
    <row r="505" spans="1:3">
      <c r="A505">
        <v>248</v>
      </c>
      <c r="B505">
        <v>157.181289787116</v>
      </c>
      <c r="C505">
        <v>178.940262</v>
      </c>
    </row>
    <row r="506" spans="1:3">
      <c r="A506">
        <v>249</v>
      </c>
      <c r="B506">
        <v>157.170285485912</v>
      </c>
      <c r="C506">
        <v>179.210007</v>
      </c>
    </row>
    <row r="507" spans="1:3">
      <c r="A507">
        <v>250</v>
      </c>
      <c r="B507">
        <v>157.159281184708</v>
      </c>
      <c r="C507">
        <v>179.892593</v>
      </c>
    </row>
    <row r="508" spans="1:3">
      <c r="A508">
        <v>251</v>
      </c>
      <c r="B508">
        <v>157.148276883505</v>
      </c>
      <c r="C508">
        <v>183.279999</v>
      </c>
    </row>
    <row r="509" spans="1:3">
      <c r="A509">
        <v>252</v>
      </c>
      <c r="B509">
        <v>157.137272582301</v>
      </c>
      <c r="C509">
        <v>184.270004</v>
      </c>
    </row>
    <row r="510" spans="1:3">
      <c r="A510">
        <v>253</v>
      </c>
      <c r="B510">
        <v>157.126268281097</v>
      </c>
      <c r="C510">
        <v>196.99</v>
      </c>
    </row>
    <row r="511" spans="1:3">
      <c r="A511">
        <v>254</v>
      </c>
      <c r="B511">
        <v>157.115263979894</v>
      </c>
      <c r="C511">
        <v>197.24</v>
      </c>
    </row>
    <row r="512" spans="1:3">
      <c r="A512">
        <v>255</v>
      </c>
      <c r="B512">
        <v>157.10425967869</v>
      </c>
      <c r="C512">
        <v>199.29</v>
      </c>
    </row>
    <row r="513" spans="1:3">
      <c r="A513">
        <v>256</v>
      </c>
      <c r="B513">
        <v>157.093255377486</v>
      </c>
      <c r="C513">
        <v>201.54</v>
      </c>
    </row>
    <row r="514" spans="1:3">
      <c r="A514">
        <v>257</v>
      </c>
      <c r="B514">
        <v>157.082251076283</v>
      </c>
      <c r="C514">
        <v>201.98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Manager>CPS</Manager>
  <Company>Northeastern University</Company>
  <Application>Microsoft Excel Online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Data</vt:lpstr>
      <vt:lpstr>Part 1</vt:lpstr>
      <vt:lpstr>Part 2</vt:lpstr>
      <vt:lpstr>Part 3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ALY6050- Module 3 Project Data</dc:title>
  <dc:subject>Enterprise Analytics - Forecasting</dc:subject>
  <dc:creator>Rasoul Behboudi</dc:creator>
  <cp:keywords>Forecasting/Prediction</cp:keywords>
  <cp:lastModifiedBy>Ragul Puhazhendi</cp:lastModifiedBy>
  <dcterms:created xsi:type="dcterms:W3CDTF">2020-11-08T14:21:00Z</dcterms:created>
  <dcterms:modified xsi:type="dcterms:W3CDTF">2023-05-18T21:57:01Z</dcterms:modified>
  <cp:category>Analytics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D29A1DB11FD544FCA0F8709735650BBB</vt:lpwstr>
  </property>
  <property fmtid="{D5CDD505-2E9C-101B-9397-08002B2CF9AE}" pid="3" name="KSOProductBuildVer">
    <vt:lpwstr>1033-11.2.0.11537</vt:lpwstr>
  </property>
</Properties>
</file>